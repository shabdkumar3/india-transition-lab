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ucliveac.sharepoint.com/sites/HINT/Shared Documents/PhDs/Hadi/My PhD/PhD Publications/04 RE+ H2 cost data paper/Revision/"/>
    </mc:Choice>
  </mc:AlternateContent>
  <xr:revisionPtr revIDLastSave="229" documentId="13_ncr:1_{7172DD4E-E1B8-4DEC-9C05-4A1408AC4E94}" xr6:coauthVersionLast="47" xr6:coauthVersionMax="47" xr10:uidLastSave="{3F0A1DD2-195F-494E-B2BD-232CF81004E4}"/>
  <bookViews>
    <workbookView xWindow="-28920" yWindow="120" windowWidth="29040" windowHeight="15840" xr2:uid="{F8D0585A-0441-42AF-8914-EC7CC0C44BFC}"/>
  </bookViews>
  <sheets>
    <sheet name="Preface" sheetId="10" r:id="rId1"/>
    <sheet name="Conversion rates" sheetId="11" r:id="rId2"/>
    <sheet name="CAPEX-Utility PV" sheetId="1" r:id="rId3"/>
    <sheet name="LCOE-Utility PV" sheetId="2" r:id="rId4"/>
    <sheet name="CAPEX-Rooftop PV" sheetId="3" r:id="rId5"/>
    <sheet name="LCOE-Rooftop PV" sheetId="4" r:id="rId6"/>
    <sheet name="CAPEX-CSP" sheetId="13" r:id="rId7"/>
    <sheet name="LCOE-CSP" sheetId="14" r:id="rId8"/>
    <sheet name="CAPEX-Onshore Wind" sheetId="5" r:id="rId9"/>
    <sheet name="LCOE-Onshore Wind" sheetId="6" r:id="rId10"/>
    <sheet name="CAPEX-Offshore wind" sheetId="7" r:id="rId11"/>
    <sheet name="LCOE-Offshore wind" sheetId="8" r:id="rId12"/>
    <sheet name="CAPEX-Li-Ion BESS" sheetId="9" r:id="rId13"/>
    <sheet name="CAPEX-Alkaline Electrolysis" sheetId="16" r:id="rId14"/>
    <sheet name="LCOH-Alkaline Electrolysis" sheetId="15" r:id="rId15"/>
    <sheet name="CAPEX-PEM Electrolysis" sheetId="18" r:id="rId16"/>
    <sheet name="LCOH-PEM Electrolysis" sheetId="17" r:id="rId17"/>
    <sheet name="NREL ATB-U.S. Data" sheetId="12" r:id="rId18"/>
    <sheet name="IEA WEO-World Data" sheetId="19" r:id="rId19"/>
    <sheet name="Fraunhofer ISE-Germany Data" sheetId="20" r:id="rId20"/>
    <sheet name="ETIP-EU Data" sheetId="21" r:id="rId21"/>
    <sheet name="CSIRO-Australia Data" sheetId="22" r:id="rId22"/>
  </sheets>
  <definedNames>
    <definedName name="_xlnm._FilterDatabase" localSheetId="17" hidden="1">'NREL ATB-U.S. Data'!$C$441:$AG$561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Q441" i="12" l="1"/>
  <c r="CR441" i="12"/>
  <c r="CS441" i="12"/>
  <c r="CQ442" i="12"/>
  <c r="CR442" i="12"/>
  <c r="CS442" i="12"/>
  <c r="CQ443" i="12"/>
  <c r="CR443" i="12"/>
  <c r="CS443" i="12"/>
  <c r="CQ438" i="12" l="1"/>
  <c r="CR438" i="12"/>
  <c r="CS438" i="12"/>
  <c r="CQ439" i="12"/>
  <c r="CR439" i="12"/>
  <c r="CS439" i="12"/>
  <c r="CQ440" i="12"/>
  <c r="CR440" i="12"/>
  <c r="CS440" i="12"/>
  <c r="CM409" i="12" l="1"/>
  <c r="CQ409" i="12" s="1"/>
  <c r="CN409" i="12"/>
  <c r="CR409" i="12" s="1"/>
  <c r="CO409" i="12"/>
  <c r="CS409" i="12" s="1"/>
  <c r="CM410" i="12"/>
  <c r="CQ410" i="12" s="1"/>
  <c r="CN410" i="12"/>
  <c r="CR410" i="12" s="1"/>
  <c r="CO410" i="12"/>
  <c r="CS410" i="12" s="1"/>
  <c r="CM411" i="12"/>
  <c r="CQ411" i="12" s="1"/>
  <c r="CN411" i="12"/>
  <c r="CR411" i="12" s="1"/>
  <c r="CO411" i="12"/>
  <c r="CS411" i="12" s="1"/>
  <c r="CM412" i="12"/>
  <c r="CQ412" i="12" s="1"/>
  <c r="CN412" i="12"/>
  <c r="CR412" i="12" s="1"/>
  <c r="CO412" i="12"/>
  <c r="CS412" i="12" s="1"/>
  <c r="CM413" i="12"/>
  <c r="CQ413" i="12" s="1"/>
  <c r="CN413" i="12"/>
  <c r="CR413" i="12" s="1"/>
  <c r="CO413" i="12"/>
  <c r="CS413" i="12" s="1"/>
  <c r="CM414" i="12"/>
  <c r="CQ414" i="12" s="1"/>
  <c r="CN414" i="12"/>
  <c r="CR414" i="12" s="1"/>
  <c r="CO414" i="12"/>
  <c r="CS414" i="12" s="1"/>
  <c r="CM415" i="12"/>
  <c r="CQ415" i="12" s="1"/>
  <c r="CN415" i="12"/>
  <c r="CR415" i="12" s="1"/>
  <c r="CO415" i="12"/>
  <c r="CS415" i="12" s="1"/>
  <c r="CM416" i="12"/>
  <c r="CQ416" i="12" s="1"/>
  <c r="CN416" i="12"/>
  <c r="CR416" i="12" s="1"/>
  <c r="CO416" i="12"/>
  <c r="CS416" i="12" s="1"/>
  <c r="CM417" i="12"/>
  <c r="CQ417" i="12" s="1"/>
  <c r="CN417" i="12"/>
  <c r="CR417" i="12" s="1"/>
  <c r="CO417" i="12"/>
  <c r="CS417" i="12" s="1"/>
  <c r="CM418" i="12"/>
  <c r="CQ418" i="12" s="1"/>
  <c r="CN418" i="12"/>
  <c r="CR418" i="12" s="1"/>
  <c r="CO418" i="12"/>
  <c r="CS418" i="12" s="1"/>
  <c r="CM419" i="12"/>
  <c r="CQ419" i="12" s="1"/>
  <c r="CN419" i="12"/>
  <c r="CR419" i="12" s="1"/>
  <c r="CO419" i="12"/>
  <c r="CS419" i="12" s="1"/>
  <c r="CM420" i="12"/>
  <c r="CQ420" i="12" s="1"/>
  <c r="CN420" i="12"/>
  <c r="CR420" i="12" s="1"/>
  <c r="CO420" i="12"/>
  <c r="CS420" i="12" s="1"/>
  <c r="CM421" i="12"/>
  <c r="CQ421" i="12" s="1"/>
  <c r="CN421" i="12"/>
  <c r="CR421" i="12" s="1"/>
  <c r="CO421" i="12"/>
  <c r="CS421" i="12" s="1"/>
  <c r="CM422" i="12"/>
  <c r="CQ422" i="12" s="1"/>
  <c r="CN422" i="12"/>
  <c r="CR422" i="12" s="1"/>
  <c r="CO422" i="12"/>
  <c r="CS422" i="12" s="1"/>
  <c r="CM423" i="12"/>
  <c r="CQ423" i="12" s="1"/>
  <c r="CN423" i="12"/>
  <c r="CR423" i="12" s="1"/>
  <c r="CO423" i="12"/>
  <c r="CS423" i="12" s="1"/>
  <c r="CM424" i="12"/>
  <c r="CQ424" i="12" s="1"/>
  <c r="CN424" i="12"/>
  <c r="CR424" i="12" s="1"/>
  <c r="CO424" i="12"/>
  <c r="CS424" i="12" s="1"/>
  <c r="CM425" i="12"/>
  <c r="CQ425" i="12" s="1"/>
  <c r="CN425" i="12"/>
  <c r="CR425" i="12" s="1"/>
  <c r="CO425" i="12"/>
  <c r="CS425" i="12" s="1"/>
  <c r="CM426" i="12"/>
  <c r="CQ426" i="12" s="1"/>
  <c r="CN426" i="12"/>
  <c r="CR426" i="12" s="1"/>
  <c r="CO426" i="12"/>
  <c r="CS426" i="12" s="1"/>
  <c r="CM427" i="12"/>
  <c r="CQ427" i="12" s="1"/>
  <c r="CN427" i="12"/>
  <c r="CR427" i="12" s="1"/>
  <c r="CO427" i="12"/>
  <c r="CS427" i="12" s="1"/>
  <c r="CM428" i="12"/>
  <c r="CQ428" i="12" s="1"/>
  <c r="CN428" i="12"/>
  <c r="CR428" i="12" s="1"/>
  <c r="CO428" i="12"/>
  <c r="CS428" i="12" s="1"/>
  <c r="CM429" i="12"/>
  <c r="CQ429" i="12" s="1"/>
  <c r="CN429" i="12"/>
  <c r="CR429" i="12" s="1"/>
  <c r="CO429" i="12"/>
  <c r="CS429" i="12" s="1"/>
  <c r="CM430" i="12"/>
  <c r="CQ430" i="12" s="1"/>
  <c r="CN430" i="12"/>
  <c r="CR430" i="12" s="1"/>
  <c r="CO430" i="12"/>
  <c r="CS430" i="12" s="1"/>
  <c r="CM431" i="12"/>
  <c r="CQ431" i="12" s="1"/>
  <c r="CN431" i="12"/>
  <c r="CR431" i="12" s="1"/>
  <c r="CO431" i="12"/>
  <c r="CS431" i="12" s="1"/>
  <c r="CM432" i="12"/>
  <c r="CQ432" i="12" s="1"/>
  <c r="CN432" i="12"/>
  <c r="CR432" i="12" s="1"/>
  <c r="CO432" i="12"/>
  <c r="CS432" i="12" s="1"/>
  <c r="CM433" i="12"/>
  <c r="CQ433" i="12" s="1"/>
  <c r="CN433" i="12"/>
  <c r="CR433" i="12" s="1"/>
  <c r="CO433" i="12"/>
  <c r="CS433" i="12" s="1"/>
  <c r="CM434" i="12"/>
  <c r="CQ434" i="12" s="1"/>
  <c r="CN434" i="12"/>
  <c r="CR434" i="12" s="1"/>
  <c r="CO434" i="12"/>
  <c r="CS434" i="12" s="1"/>
  <c r="CM435" i="12"/>
  <c r="CQ435" i="12" s="1"/>
  <c r="CN435" i="12"/>
  <c r="CR435" i="12" s="1"/>
  <c r="CO435" i="12"/>
  <c r="CS435" i="12" s="1"/>
  <c r="CM436" i="12"/>
  <c r="CQ436" i="12" s="1"/>
  <c r="CN436" i="12"/>
  <c r="CR436" i="12" s="1"/>
  <c r="CO436" i="12"/>
  <c r="CS436" i="12" s="1"/>
  <c r="CM437" i="12"/>
  <c r="CQ437" i="12" s="1"/>
  <c r="CN437" i="12"/>
  <c r="CR437" i="12" s="1"/>
  <c r="CO437" i="12"/>
  <c r="CS437" i="12" s="1"/>
  <c r="CO408" i="12"/>
  <c r="CS408" i="12" s="1"/>
  <c r="CN408" i="12"/>
  <c r="CR408" i="12" s="1"/>
  <c r="CM408" i="12"/>
  <c r="CQ408" i="12" s="1"/>
  <c r="X25" i="11" l="1"/>
  <c r="W25" i="11"/>
  <c r="W24" i="11"/>
  <c r="V24" i="11"/>
  <c r="V25" i="11"/>
  <c r="V23" i="11"/>
  <c r="U23" i="11"/>
  <c r="U24" i="11"/>
  <c r="U25" i="11"/>
  <c r="U22" i="11"/>
  <c r="T22" i="11"/>
  <c r="T23" i="11"/>
  <c r="T24" i="11"/>
  <c r="T25" i="11"/>
  <c r="T21" i="11"/>
  <c r="S21" i="11"/>
  <c r="S22" i="11"/>
  <c r="S23" i="11"/>
  <c r="S24" i="11"/>
  <c r="S25" i="11"/>
  <c r="S20" i="11"/>
  <c r="R20" i="11"/>
  <c r="R21" i="11"/>
  <c r="R22" i="11"/>
  <c r="R23" i="11"/>
  <c r="R24" i="11"/>
  <c r="R25" i="11"/>
  <c r="R19" i="11"/>
  <c r="Q19" i="11"/>
  <c r="Q20" i="11"/>
  <c r="Q21" i="11"/>
  <c r="Q22" i="11"/>
  <c r="Q23" i="11"/>
  <c r="Q24" i="11"/>
  <c r="Q25" i="11"/>
  <c r="Q18" i="11"/>
  <c r="P18" i="11"/>
  <c r="P19" i="11"/>
  <c r="P20" i="11"/>
  <c r="P21" i="11"/>
  <c r="P22" i="11"/>
  <c r="P23" i="11"/>
  <c r="P24" i="11"/>
  <c r="P25" i="11"/>
  <c r="P17" i="11"/>
  <c r="V5" i="20"/>
  <c r="V6" i="20"/>
  <c r="H165" i="21"/>
  <c r="V165" i="21"/>
  <c r="X164" i="21"/>
  <c r="H164" i="21"/>
  <c r="H163" i="21"/>
  <c r="J165" i="21"/>
  <c r="H130" i="21"/>
  <c r="J134" i="21"/>
  <c r="AG166" i="21"/>
  <c r="AF166" i="21"/>
  <c r="AE166" i="21"/>
  <c r="AD166" i="21"/>
  <c r="AC166" i="21"/>
  <c r="AB166" i="21"/>
  <c r="AA166" i="21"/>
  <c r="Z166" i="21"/>
  <c r="Y166" i="21"/>
  <c r="X166" i="21"/>
  <c r="W166" i="21"/>
  <c r="V166" i="21"/>
  <c r="S166" i="21"/>
  <c r="R166" i="21"/>
  <c r="Q166" i="21"/>
  <c r="P166" i="21"/>
  <c r="O166" i="21"/>
  <c r="N166" i="21"/>
  <c r="M166" i="21"/>
  <c r="L166" i="21"/>
  <c r="K166" i="21"/>
  <c r="J166" i="21"/>
  <c r="I166" i="21"/>
  <c r="H166" i="21"/>
  <c r="AG165" i="21"/>
  <c r="AF165" i="21"/>
  <c r="AE165" i="21"/>
  <c r="AD165" i="21"/>
  <c r="AC165" i="21"/>
  <c r="AB165" i="21"/>
  <c r="AA165" i="21"/>
  <c r="Z165" i="21"/>
  <c r="Y165" i="21"/>
  <c r="X165" i="21"/>
  <c r="W165" i="21"/>
  <c r="S165" i="21"/>
  <c r="R165" i="21"/>
  <c r="Q165" i="21"/>
  <c r="P165" i="21"/>
  <c r="O165" i="21"/>
  <c r="N165" i="21"/>
  <c r="M165" i="21"/>
  <c r="L165" i="21"/>
  <c r="K165" i="21"/>
  <c r="I165" i="21"/>
  <c r="AG164" i="21"/>
  <c r="AF164" i="21"/>
  <c r="AE164" i="21"/>
  <c r="AD164" i="21"/>
  <c r="AC164" i="21"/>
  <c r="AB164" i="21"/>
  <c r="AA164" i="21"/>
  <c r="Z164" i="21"/>
  <c r="Y164" i="21"/>
  <c r="W164" i="21"/>
  <c r="V164" i="21"/>
  <c r="S164" i="21"/>
  <c r="R164" i="21"/>
  <c r="Q164" i="21"/>
  <c r="P164" i="21"/>
  <c r="O164" i="21"/>
  <c r="N164" i="21"/>
  <c r="M164" i="21"/>
  <c r="L164" i="21"/>
  <c r="K164" i="21"/>
  <c r="J164" i="21"/>
  <c r="I164" i="21"/>
  <c r="AG163" i="21"/>
  <c r="AF163" i="21"/>
  <c r="AE163" i="21"/>
  <c r="AD163" i="21"/>
  <c r="AC163" i="21"/>
  <c r="AB163" i="21"/>
  <c r="AA163" i="21"/>
  <c r="Z163" i="21"/>
  <c r="Y163" i="21"/>
  <c r="X163" i="21"/>
  <c r="W163" i="21"/>
  <c r="V163" i="21"/>
  <c r="S163" i="21"/>
  <c r="R163" i="21"/>
  <c r="Q163" i="21"/>
  <c r="P163" i="21"/>
  <c r="O163" i="21"/>
  <c r="N163" i="21"/>
  <c r="M163" i="21"/>
  <c r="L163" i="21"/>
  <c r="K163" i="21"/>
  <c r="J163" i="21"/>
  <c r="I163" i="21"/>
  <c r="AG162" i="21"/>
  <c r="AF162" i="21"/>
  <c r="AE162" i="21"/>
  <c r="AD162" i="21"/>
  <c r="AC162" i="21"/>
  <c r="AB162" i="21"/>
  <c r="AA162" i="21"/>
  <c r="Z162" i="21"/>
  <c r="Y162" i="21"/>
  <c r="X162" i="21"/>
  <c r="W162" i="21"/>
  <c r="V162" i="21"/>
  <c r="S162" i="21"/>
  <c r="R162" i="21"/>
  <c r="Q162" i="21"/>
  <c r="P162" i="21"/>
  <c r="O162" i="21"/>
  <c r="N162" i="21"/>
  <c r="M162" i="21"/>
  <c r="L162" i="21"/>
  <c r="K162" i="21"/>
  <c r="J162" i="21"/>
  <c r="I162" i="21"/>
  <c r="H162" i="21"/>
  <c r="AG134" i="21"/>
  <c r="AF134" i="21"/>
  <c r="AE134" i="21"/>
  <c r="AD134" i="21"/>
  <c r="AC134" i="21"/>
  <c r="AB134" i="21"/>
  <c r="AA134" i="21"/>
  <c r="Z134" i="21"/>
  <c r="Y134" i="21"/>
  <c r="X134" i="21"/>
  <c r="W134" i="21"/>
  <c r="V134" i="21"/>
  <c r="S134" i="21"/>
  <c r="R134" i="21"/>
  <c r="Q134" i="21"/>
  <c r="P134" i="21"/>
  <c r="O134" i="21"/>
  <c r="N134" i="21"/>
  <c r="M134" i="21"/>
  <c r="L134" i="21"/>
  <c r="K134" i="21"/>
  <c r="I134" i="21"/>
  <c r="H134" i="21"/>
  <c r="AG133" i="21"/>
  <c r="AF133" i="21"/>
  <c r="AE133" i="21"/>
  <c r="AD133" i="21"/>
  <c r="AC133" i="21"/>
  <c r="AB133" i="21"/>
  <c r="AA133" i="21"/>
  <c r="Z133" i="21"/>
  <c r="Y133" i="21"/>
  <c r="X133" i="21"/>
  <c r="W133" i="21"/>
  <c r="V133" i="21"/>
  <c r="S133" i="21"/>
  <c r="R133" i="21"/>
  <c r="Q133" i="21"/>
  <c r="P133" i="21"/>
  <c r="O133" i="21"/>
  <c r="N133" i="21"/>
  <c r="M133" i="21"/>
  <c r="L133" i="21"/>
  <c r="K133" i="21"/>
  <c r="J133" i="21"/>
  <c r="I133" i="21"/>
  <c r="H133" i="21"/>
  <c r="AG132" i="21"/>
  <c r="AF132" i="21"/>
  <c r="AE132" i="21"/>
  <c r="AD132" i="21"/>
  <c r="AC132" i="21"/>
  <c r="AB132" i="21"/>
  <c r="AA132" i="21"/>
  <c r="Z132" i="21"/>
  <c r="Y132" i="21"/>
  <c r="X132" i="21"/>
  <c r="W132" i="21"/>
  <c r="V132" i="21"/>
  <c r="S132" i="21"/>
  <c r="R132" i="21"/>
  <c r="Q132" i="21"/>
  <c r="P132" i="21"/>
  <c r="O132" i="21"/>
  <c r="N132" i="21"/>
  <c r="M132" i="21"/>
  <c r="L132" i="21"/>
  <c r="K132" i="21"/>
  <c r="J132" i="21"/>
  <c r="I132" i="21"/>
  <c r="H132" i="21"/>
  <c r="AG131" i="21"/>
  <c r="AF131" i="21"/>
  <c r="AE131" i="21"/>
  <c r="AD131" i="21"/>
  <c r="AC131" i="21"/>
  <c r="AB131" i="21"/>
  <c r="AA131" i="21"/>
  <c r="Z131" i="21"/>
  <c r="Y131" i="21"/>
  <c r="X131" i="21"/>
  <c r="W131" i="21"/>
  <c r="V131" i="21"/>
  <c r="S131" i="21"/>
  <c r="R131" i="21"/>
  <c r="Q131" i="21"/>
  <c r="P131" i="21"/>
  <c r="O131" i="21"/>
  <c r="N131" i="21"/>
  <c r="M131" i="21"/>
  <c r="L131" i="21"/>
  <c r="K131" i="21"/>
  <c r="J131" i="21"/>
  <c r="I131" i="21"/>
  <c r="H131" i="21"/>
  <c r="AG130" i="21"/>
  <c r="AF130" i="21"/>
  <c r="AE130" i="21"/>
  <c r="AD130" i="21"/>
  <c r="AC130" i="21"/>
  <c r="AB130" i="21"/>
  <c r="AA130" i="21"/>
  <c r="Z130" i="21"/>
  <c r="Y130" i="21"/>
  <c r="X130" i="21"/>
  <c r="W130" i="21"/>
  <c r="V130" i="21"/>
  <c r="S130" i="21"/>
  <c r="R130" i="21"/>
  <c r="Q130" i="21"/>
  <c r="P130" i="21"/>
  <c r="O130" i="21"/>
  <c r="N130" i="21"/>
  <c r="M130" i="21"/>
  <c r="L130" i="21"/>
  <c r="K130" i="21"/>
  <c r="J130" i="21"/>
  <c r="I130" i="21"/>
  <c r="H68" i="21"/>
  <c r="I68" i="21"/>
  <c r="J68" i="21"/>
  <c r="K68" i="21"/>
  <c r="L68" i="21"/>
  <c r="M68" i="21"/>
  <c r="N68" i="21"/>
  <c r="O68" i="21"/>
  <c r="P68" i="21"/>
  <c r="Q68" i="21"/>
  <c r="R68" i="21"/>
  <c r="S68" i="21"/>
  <c r="H69" i="21"/>
  <c r="I69" i="21"/>
  <c r="J69" i="21"/>
  <c r="K69" i="21"/>
  <c r="L69" i="21"/>
  <c r="M69" i="21"/>
  <c r="N69" i="21"/>
  <c r="O69" i="21"/>
  <c r="P69" i="21"/>
  <c r="Q69" i="21"/>
  <c r="R69" i="21"/>
  <c r="S69" i="21"/>
  <c r="H70" i="21"/>
  <c r="I70" i="21"/>
  <c r="J70" i="21"/>
  <c r="K70" i="21"/>
  <c r="L70" i="21"/>
  <c r="M70" i="21"/>
  <c r="N70" i="21"/>
  <c r="O70" i="21"/>
  <c r="P70" i="21"/>
  <c r="Q70" i="21"/>
  <c r="R70" i="21"/>
  <c r="S70" i="21"/>
  <c r="H71" i="21"/>
  <c r="I71" i="21"/>
  <c r="J71" i="21"/>
  <c r="K71" i="21"/>
  <c r="L71" i="21"/>
  <c r="M71" i="21"/>
  <c r="N71" i="21"/>
  <c r="O71" i="21"/>
  <c r="P71" i="21"/>
  <c r="Q71" i="21"/>
  <c r="R71" i="21"/>
  <c r="S71" i="21"/>
  <c r="H72" i="21"/>
  <c r="I72" i="21"/>
  <c r="J72" i="21"/>
  <c r="K72" i="21"/>
  <c r="L72" i="21"/>
  <c r="M72" i="21"/>
  <c r="N72" i="21"/>
  <c r="O72" i="21"/>
  <c r="P72" i="21"/>
  <c r="Q72" i="21"/>
  <c r="R72" i="21"/>
  <c r="S72" i="21"/>
  <c r="H73" i="21"/>
  <c r="I73" i="21"/>
  <c r="J73" i="21"/>
  <c r="K73" i="21"/>
  <c r="L73" i="21"/>
  <c r="M73" i="21"/>
  <c r="N73" i="21"/>
  <c r="O73" i="21"/>
  <c r="P73" i="21"/>
  <c r="Q73" i="21"/>
  <c r="R73" i="21"/>
  <c r="S73" i="21"/>
  <c r="AG104" i="21"/>
  <c r="AF104" i="21"/>
  <c r="AE104" i="21"/>
  <c r="AD104" i="21"/>
  <c r="AC104" i="21"/>
  <c r="AB104" i="21"/>
  <c r="AA104" i="21"/>
  <c r="Z104" i="21"/>
  <c r="Y104" i="21"/>
  <c r="X104" i="21"/>
  <c r="W104" i="21"/>
  <c r="V104" i="21"/>
  <c r="S104" i="21"/>
  <c r="R104" i="21"/>
  <c r="Q104" i="21"/>
  <c r="P104" i="21"/>
  <c r="O104" i="21"/>
  <c r="N104" i="21"/>
  <c r="M104" i="21"/>
  <c r="L104" i="21"/>
  <c r="K104" i="21"/>
  <c r="J104" i="21"/>
  <c r="I104" i="21"/>
  <c r="H104" i="21"/>
  <c r="AG103" i="21"/>
  <c r="AF103" i="21"/>
  <c r="AE103" i="21"/>
  <c r="AD103" i="21"/>
  <c r="AC103" i="21"/>
  <c r="AB103" i="21"/>
  <c r="AA103" i="21"/>
  <c r="Z103" i="21"/>
  <c r="Y103" i="21"/>
  <c r="X103" i="21"/>
  <c r="W103" i="21"/>
  <c r="V103" i="21"/>
  <c r="S103" i="21"/>
  <c r="R103" i="21"/>
  <c r="Q103" i="21"/>
  <c r="P103" i="21"/>
  <c r="O103" i="21"/>
  <c r="N103" i="21"/>
  <c r="M103" i="21"/>
  <c r="L103" i="21"/>
  <c r="K103" i="21"/>
  <c r="J103" i="21"/>
  <c r="I103" i="21"/>
  <c r="H103" i="21"/>
  <c r="AG102" i="21"/>
  <c r="AF102" i="21"/>
  <c r="AE102" i="21"/>
  <c r="AD102" i="21"/>
  <c r="AC102" i="21"/>
  <c r="AB102" i="21"/>
  <c r="AA102" i="21"/>
  <c r="Z102" i="21"/>
  <c r="Y102" i="21"/>
  <c r="X102" i="21"/>
  <c r="W102" i="21"/>
  <c r="V102" i="21"/>
  <c r="S102" i="21"/>
  <c r="R102" i="21"/>
  <c r="Q102" i="21"/>
  <c r="P102" i="21"/>
  <c r="O102" i="21"/>
  <c r="N102" i="21"/>
  <c r="M102" i="21"/>
  <c r="L102" i="21"/>
  <c r="K102" i="21"/>
  <c r="J102" i="21"/>
  <c r="I102" i="21"/>
  <c r="H102" i="21"/>
  <c r="AG101" i="21"/>
  <c r="AF101" i="21"/>
  <c r="AE101" i="21"/>
  <c r="AD101" i="21"/>
  <c r="AC101" i="21"/>
  <c r="AB101" i="21"/>
  <c r="AA101" i="21"/>
  <c r="Z101" i="21"/>
  <c r="Y101" i="21"/>
  <c r="X101" i="21"/>
  <c r="W101" i="21"/>
  <c r="V101" i="21"/>
  <c r="S101" i="21"/>
  <c r="R101" i="21"/>
  <c r="Q101" i="21"/>
  <c r="P101" i="21"/>
  <c r="O101" i="21"/>
  <c r="N101" i="21"/>
  <c r="M101" i="21"/>
  <c r="L101" i="21"/>
  <c r="K101" i="21"/>
  <c r="J101" i="21"/>
  <c r="I101" i="21"/>
  <c r="H101" i="21"/>
  <c r="AG100" i="21"/>
  <c r="AF100" i="21"/>
  <c r="AE100" i="21"/>
  <c r="AD100" i="21"/>
  <c r="AC100" i="21"/>
  <c r="AB100" i="21"/>
  <c r="AA100" i="21"/>
  <c r="Z100" i="21"/>
  <c r="Y100" i="21"/>
  <c r="X100" i="21"/>
  <c r="W100" i="21"/>
  <c r="V100" i="21"/>
  <c r="S100" i="21"/>
  <c r="R100" i="21"/>
  <c r="Q100" i="21"/>
  <c r="P100" i="21"/>
  <c r="O100" i="21"/>
  <c r="N100" i="21"/>
  <c r="M100" i="21"/>
  <c r="L100" i="21"/>
  <c r="K100" i="21"/>
  <c r="J100" i="21"/>
  <c r="I100" i="21"/>
  <c r="H100" i="21"/>
  <c r="AG99" i="21"/>
  <c r="AF99" i="21"/>
  <c r="AE99" i="21"/>
  <c r="AD99" i="21"/>
  <c r="AC99" i="21"/>
  <c r="AB99" i="21"/>
  <c r="AA99" i="21"/>
  <c r="Z99" i="21"/>
  <c r="Y99" i="21"/>
  <c r="X99" i="21"/>
  <c r="W99" i="21"/>
  <c r="V99" i="21"/>
  <c r="S99" i="21"/>
  <c r="R99" i="21"/>
  <c r="Q99" i="21"/>
  <c r="P99" i="21"/>
  <c r="O99" i="21"/>
  <c r="N99" i="21"/>
  <c r="M99" i="21"/>
  <c r="L99" i="21"/>
  <c r="K99" i="21"/>
  <c r="J99" i="21"/>
  <c r="I99" i="21"/>
  <c r="H99" i="21"/>
  <c r="AG73" i="21"/>
  <c r="AF73" i="21"/>
  <c r="AE73" i="21"/>
  <c r="AD73" i="21"/>
  <c r="AC73" i="21"/>
  <c r="AB73" i="21"/>
  <c r="AA73" i="21"/>
  <c r="Z73" i="21"/>
  <c r="Y73" i="21"/>
  <c r="X73" i="21"/>
  <c r="W73" i="21"/>
  <c r="V73" i="21"/>
  <c r="AG72" i="21"/>
  <c r="AF72" i="21"/>
  <c r="AE72" i="21"/>
  <c r="AD72" i="21"/>
  <c r="AC72" i="21"/>
  <c r="AB72" i="21"/>
  <c r="AA72" i="21"/>
  <c r="Z72" i="21"/>
  <c r="Y72" i="21"/>
  <c r="X72" i="21"/>
  <c r="W72" i="21"/>
  <c r="V72" i="21"/>
  <c r="AG71" i="21"/>
  <c r="AF71" i="21"/>
  <c r="AE71" i="21"/>
  <c r="AD71" i="21"/>
  <c r="AC71" i="21"/>
  <c r="AB71" i="21"/>
  <c r="AA71" i="21"/>
  <c r="Z71" i="21"/>
  <c r="Y71" i="21"/>
  <c r="X71" i="21"/>
  <c r="W71" i="21"/>
  <c r="V71" i="21"/>
  <c r="AG70" i="21"/>
  <c r="AF70" i="21"/>
  <c r="AE70" i="21"/>
  <c r="AD70" i="21"/>
  <c r="AC70" i="21"/>
  <c r="AB70" i="21"/>
  <c r="AA70" i="21"/>
  <c r="Z70" i="21"/>
  <c r="Y70" i="21"/>
  <c r="X70" i="21"/>
  <c r="W70" i="21"/>
  <c r="V70" i="21"/>
  <c r="AG69" i="21"/>
  <c r="AF69" i="21"/>
  <c r="AE69" i="21"/>
  <c r="AD69" i="21"/>
  <c r="AC69" i="21"/>
  <c r="AB69" i="21"/>
  <c r="AA69" i="21"/>
  <c r="Z69" i="21"/>
  <c r="Y69" i="21"/>
  <c r="X69" i="21"/>
  <c r="W69" i="21"/>
  <c r="V69" i="21"/>
  <c r="AG68" i="21"/>
  <c r="AF68" i="21"/>
  <c r="AE68" i="21"/>
  <c r="AD68" i="21"/>
  <c r="AC68" i="21"/>
  <c r="AB68" i="21"/>
  <c r="AA68" i="21"/>
  <c r="Z68" i="21"/>
  <c r="Y68" i="21"/>
  <c r="X68" i="21"/>
  <c r="W68" i="21"/>
  <c r="V68" i="21"/>
  <c r="AG42" i="21"/>
  <c r="AF42" i="21"/>
  <c r="AE42" i="21"/>
  <c r="AD42" i="21"/>
  <c r="AC42" i="21"/>
  <c r="AB42" i="21"/>
  <c r="AA42" i="21"/>
  <c r="Z42" i="21"/>
  <c r="Y42" i="21"/>
  <c r="X42" i="21"/>
  <c r="W42" i="21"/>
  <c r="V42" i="21"/>
  <c r="AG41" i="21"/>
  <c r="AF41" i="21"/>
  <c r="AE41" i="21"/>
  <c r="AD41" i="21"/>
  <c r="AC41" i="21"/>
  <c r="AB41" i="21"/>
  <c r="AA41" i="21"/>
  <c r="Z41" i="21"/>
  <c r="Y41" i="21"/>
  <c r="X41" i="21"/>
  <c r="W41" i="21"/>
  <c r="V41" i="21"/>
  <c r="AG40" i="21"/>
  <c r="AF40" i="21"/>
  <c r="AE40" i="21"/>
  <c r="AD40" i="21"/>
  <c r="AC40" i="21"/>
  <c r="AB40" i="21"/>
  <c r="AA40" i="21"/>
  <c r="Z40" i="21"/>
  <c r="Y40" i="21"/>
  <c r="X40" i="21"/>
  <c r="W40" i="21"/>
  <c r="V40" i="21"/>
  <c r="AG39" i="21"/>
  <c r="AF39" i="21"/>
  <c r="AE39" i="21"/>
  <c r="AD39" i="21"/>
  <c r="AC39" i="21"/>
  <c r="AB39" i="21"/>
  <c r="AA39" i="21"/>
  <c r="Z39" i="21"/>
  <c r="Y39" i="21"/>
  <c r="X39" i="21"/>
  <c r="W39" i="21"/>
  <c r="V39" i="21"/>
  <c r="AG38" i="21"/>
  <c r="AF38" i="21"/>
  <c r="AE38" i="21"/>
  <c r="AD38" i="21"/>
  <c r="AC38" i="21"/>
  <c r="AB38" i="21"/>
  <c r="AA38" i="21"/>
  <c r="Z38" i="21"/>
  <c r="Y38" i="21"/>
  <c r="X38" i="21"/>
  <c r="W38" i="21"/>
  <c r="V38" i="21"/>
  <c r="AG37" i="21"/>
  <c r="AF37" i="21"/>
  <c r="AE37" i="21"/>
  <c r="AD37" i="21"/>
  <c r="AC37" i="21"/>
  <c r="AB37" i="21"/>
  <c r="AA37" i="21"/>
  <c r="Z37" i="21"/>
  <c r="Y37" i="21"/>
  <c r="X37" i="21"/>
  <c r="W37" i="21"/>
  <c r="V37" i="21"/>
  <c r="AG11" i="21"/>
  <c r="AF11" i="21"/>
  <c r="AE11" i="21"/>
  <c r="AD11" i="21"/>
  <c r="AC11" i="21"/>
  <c r="AB11" i="21"/>
  <c r="AA11" i="21"/>
  <c r="Z11" i="21"/>
  <c r="Y11" i="21"/>
  <c r="X11" i="21"/>
  <c r="W11" i="21"/>
  <c r="V11" i="21"/>
  <c r="AG10" i="21"/>
  <c r="AF10" i="21"/>
  <c r="AE10" i="21"/>
  <c r="AD10" i="21"/>
  <c r="AC10" i="21"/>
  <c r="AB10" i="21"/>
  <c r="AA10" i="21"/>
  <c r="Z10" i="21"/>
  <c r="Y10" i="21"/>
  <c r="X10" i="21"/>
  <c r="W10" i="21"/>
  <c r="V10" i="21"/>
  <c r="AG9" i="21"/>
  <c r="AF9" i="21"/>
  <c r="AE9" i="21"/>
  <c r="AD9" i="21"/>
  <c r="AC9" i="21"/>
  <c r="AB9" i="21"/>
  <c r="AA9" i="21"/>
  <c r="Z9" i="21"/>
  <c r="Y9" i="21"/>
  <c r="X9" i="21"/>
  <c r="W9" i="21"/>
  <c r="V9" i="21"/>
  <c r="AG8" i="21"/>
  <c r="AF8" i="21"/>
  <c r="AE8" i="21"/>
  <c r="AD8" i="21"/>
  <c r="AC8" i="21"/>
  <c r="AB8" i="21"/>
  <c r="AA8" i="21"/>
  <c r="Z8" i="21"/>
  <c r="Y8" i="21"/>
  <c r="X8" i="21"/>
  <c r="W8" i="21"/>
  <c r="V8" i="21"/>
  <c r="AG7" i="21"/>
  <c r="AF7" i="21"/>
  <c r="AE7" i="21"/>
  <c r="AD7" i="21"/>
  <c r="AC7" i="21"/>
  <c r="AB7" i="21"/>
  <c r="AA7" i="21"/>
  <c r="Z7" i="21"/>
  <c r="Y7" i="21"/>
  <c r="X7" i="21"/>
  <c r="W7" i="21"/>
  <c r="V7" i="21"/>
  <c r="AG6" i="21"/>
  <c r="AF6" i="21"/>
  <c r="AE6" i="21"/>
  <c r="AD6" i="21"/>
  <c r="AC6" i="21"/>
  <c r="AB6" i="21"/>
  <c r="AA6" i="21"/>
  <c r="Z6" i="21"/>
  <c r="Y6" i="21"/>
  <c r="X6" i="21"/>
  <c r="W6" i="21"/>
  <c r="V6" i="21"/>
  <c r="S11" i="21"/>
  <c r="R11" i="21"/>
  <c r="Q11" i="21"/>
  <c r="P11" i="21"/>
  <c r="O11" i="21"/>
  <c r="N11" i="21"/>
  <c r="M11" i="21"/>
  <c r="L11" i="21"/>
  <c r="K11" i="21"/>
  <c r="J11" i="21"/>
  <c r="I11" i="21"/>
  <c r="H11" i="21"/>
  <c r="S10" i="21"/>
  <c r="R10" i="21"/>
  <c r="Q10" i="21"/>
  <c r="P10" i="21"/>
  <c r="O10" i="21"/>
  <c r="N10" i="21"/>
  <c r="M10" i="21"/>
  <c r="L10" i="21"/>
  <c r="K10" i="21"/>
  <c r="J10" i="21"/>
  <c r="I10" i="21"/>
  <c r="H10" i="21"/>
  <c r="S9" i="21"/>
  <c r="R9" i="21"/>
  <c r="Q9" i="21"/>
  <c r="P9" i="21"/>
  <c r="O9" i="21"/>
  <c r="N9" i="21"/>
  <c r="M9" i="21"/>
  <c r="L9" i="21"/>
  <c r="K9" i="21"/>
  <c r="J9" i="21"/>
  <c r="I9" i="21"/>
  <c r="H9" i="21"/>
  <c r="S8" i="21"/>
  <c r="R8" i="21"/>
  <c r="Q8" i="21"/>
  <c r="P8" i="21"/>
  <c r="O8" i="21"/>
  <c r="N8" i="21"/>
  <c r="M8" i="21"/>
  <c r="L8" i="21"/>
  <c r="K8" i="21"/>
  <c r="J8" i="21"/>
  <c r="I8" i="21"/>
  <c r="H8" i="21"/>
  <c r="S7" i="21"/>
  <c r="R7" i="21"/>
  <c r="Q7" i="21"/>
  <c r="P7" i="21"/>
  <c r="O7" i="21"/>
  <c r="N7" i="21"/>
  <c r="M7" i="21"/>
  <c r="L7" i="21"/>
  <c r="K7" i="21"/>
  <c r="J7" i="21"/>
  <c r="I7" i="21"/>
  <c r="H7" i="21"/>
  <c r="S6" i="21"/>
  <c r="R6" i="21"/>
  <c r="Q6" i="21"/>
  <c r="P6" i="21"/>
  <c r="O6" i="21"/>
  <c r="N6" i="21"/>
  <c r="M6" i="21"/>
  <c r="L6" i="21"/>
  <c r="K6" i="21"/>
  <c r="J6" i="21"/>
  <c r="I6" i="21"/>
  <c r="H6" i="21"/>
  <c r="S37" i="21"/>
  <c r="R37" i="21"/>
  <c r="Q37" i="21"/>
  <c r="P37" i="21"/>
  <c r="O37" i="21"/>
  <c r="N37" i="21"/>
  <c r="M37" i="21"/>
  <c r="L37" i="21"/>
  <c r="K37" i="21"/>
  <c r="J37" i="21"/>
  <c r="I37" i="21"/>
  <c r="H37" i="21"/>
  <c r="S42" i="21"/>
  <c r="R42" i="21"/>
  <c r="Q42" i="21"/>
  <c r="P42" i="21"/>
  <c r="O42" i="21"/>
  <c r="N42" i="21"/>
  <c r="M42" i="21"/>
  <c r="L42" i="21"/>
  <c r="K42" i="21"/>
  <c r="J42" i="21"/>
  <c r="I42" i="21"/>
  <c r="H42" i="21"/>
  <c r="S41" i="21"/>
  <c r="R41" i="21"/>
  <c r="Q41" i="21"/>
  <c r="P41" i="21"/>
  <c r="O41" i="21"/>
  <c r="N41" i="21"/>
  <c r="M41" i="21"/>
  <c r="L41" i="21"/>
  <c r="K41" i="21"/>
  <c r="J41" i="21"/>
  <c r="I41" i="21"/>
  <c r="H41" i="21"/>
  <c r="S40" i="21"/>
  <c r="R40" i="21"/>
  <c r="Q40" i="21"/>
  <c r="P40" i="21"/>
  <c r="O40" i="21"/>
  <c r="N40" i="21"/>
  <c r="M40" i="21"/>
  <c r="L40" i="21"/>
  <c r="K40" i="21"/>
  <c r="J40" i="21"/>
  <c r="I40" i="21"/>
  <c r="H40" i="21"/>
  <c r="S39" i="21"/>
  <c r="R39" i="21"/>
  <c r="Q39" i="21"/>
  <c r="P39" i="21"/>
  <c r="O39" i="21"/>
  <c r="N39" i="21"/>
  <c r="M39" i="21"/>
  <c r="L39" i="21"/>
  <c r="K39" i="21"/>
  <c r="J39" i="21"/>
  <c r="I39" i="21"/>
  <c r="H39" i="21"/>
  <c r="R38" i="21"/>
  <c r="O38" i="21"/>
  <c r="L38" i="21"/>
  <c r="I38" i="21"/>
  <c r="S38" i="21"/>
  <c r="P38" i="21"/>
  <c r="M38" i="21"/>
  <c r="J38" i="21"/>
  <c r="Q38" i="21"/>
  <c r="N38" i="21"/>
  <c r="K38" i="21"/>
  <c r="H38" i="21"/>
  <c r="W12" i="11" l="1"/>
  <c r="V11" i="11"/>
  <c r="V12" i="11"/>
  <c r="U10" i="11"/>
  <c r="U11" i="11"/>
  <c r="U12" i="11"/>
  <c r="T9" i="11"/>
  <c r="T10" i="11"/>
  <c r="T11" i="11"/>
  <c r="T12" i="11"/>
  <c r="X12" i="11"/>
  <c r="W11" i="11"/>
  <c r="V10" i="11"/>
  <c r="U9" i="11"/>
  <c r="T8" i="11"/>
  <c r="S8" i="11"/>
  <c r="S9" i="11"/>
  <c r="S10" i="11"/>
  <c r="S11" i="11"/>
  <c r="S12" i="11"/>
  <c r="S7" i="11"/>
  <c r="R7" i="11"/>
  <c r="R8" i="11"/>
  <c r="R9" i="11"/>
  <c r="R10" i="11"/>
  <c r="R11" i="11"/>
  <c r="R12" i="11"/>
  <c r="R6" i="11"/>
  <c r="Q6" i="11"/>
  <c r="Q7" i="11"/>
  <c r="Q8" i="11"/>
  <c r="Q9" i="11"/>
  <c r="Q10" i="11"/>
  <c r="Q11" i="11"/>
  <c r="Q12" i="11"/>
  <c r="Q5" i="11"/>
  <c r="P5" i="11"/>
  <c r="P6" i="11"/>
  <c r="P7" i="11"/>
  <c r="P8" i="11"/>
  <c r="P9" i="11"/>
  <c r="P10" i="11"/>
  <c r="P11" i="11"/>
  <c r="P12" i="11"/>
  <c r="P4" i="11"/>
  <c r="C4" i="11"/>
  <c r="C5" i="11"/>
  <c r="D5" i="11"/>
  <c r="C6" i="11"/>
  <c r="D6" i="11"/>
  <c r="E6" i="11"/>
  <c r="C7" i="11"/>
  <c r="D7" i="11"/>
  <c r="E7" i="11"/>
  <c r="F7" i="11"/>
  <c r="C8" i="11"/>
  <c r="D8" i="11"/>
  <c r="E8" i="11"/>
  <c r="F8" i="11"/>
  <c r="G8" i="11"/>
  <c r="C9" i="11"/>
  <c r="D9" i="11"/>
  <c r="E9" i="11"/>
  <c r="F9" i="11"/>
  <c r="G9" i="11"/>
  <c r="H9" i="11"/>
  <c r="C10" i="11"/>
  <c r="D10" i="11"/>
  <c r="E10" i="11"/>
  <c r="F10" i="11"/>
  <c r="G10" i="11"/>
  <c r="H10" i="11"/>
  <c r="I10" i="11"/>
  <c r="C11" i="11"/>
  <c r="D11" i="11"/>
  <c r="E11" i="11"/>
  <c r="F11" i="11"/>
  <c r="G11" i="11"/>
  <c r="H11" i="11"/>
  <c r="I11" i="11"/>
  <c r="J11" i="11"/>
  <c r="C12" i="11"/>
  <c r="D12" i="11"/>
  <c r="E12" i="11"/>
  <c r="F12" i="11"/>
  <c r="G12" i="11"/>
  <c r="H12" i="11"/>
  <c r="I12" i="11"/>
  <c r="J12" i="11"/>
  <c r="K12" i="11"/>
  <c r="L24" i="11" l="1"/>
  <c r="Y24" i="11" s="1"/>
  <c r="L23" i="11"/>
  <c r="Y23" i="11" s="1"/>
  <c r="K23" i="11"/>
  <c r="X23" i="11" s="1"/>
  <c r="L22" i="11"/>
  <c r="Y22" i="11" s="1"/>
  <c r="K22" i="11"/>
  <c r="X22" i="11" s="1"/>
  <c r="J22" i="11"/>
  <c r="W22" i="11" s="1"/>
  <c r="L21" i="11"/>
  <c r="Y21" i="11" s="1"/>
  <c r="K21" i="11"/>
  <c r="X21" i="11" s="1"/>
  <c r="J21" i="11"/>
  <c r="W21" i="11" s="1"/>
  <c r="I21" i="11"/>
  <c r="V21" i="11" s="1"/>
  <c r="L20" i="11"/>
  <c r="Y20" i="11" s="1"/>
  <c r="K20" i="11"/>
  <c r="X20" i="11" s="1"/>
  <c r="J20" i="11"/>
  <c r="W20" i="11" s="1"/>
  <c r="I20" i="11"/>
  <c r="V20" i="11" s="1"/>
  <c r="H20" i="11"/>
  <c r="U20" i="11" s="1"/>
  <c r="E17" i="11"/>
  <c r="R17" i="11" s="1"/>
  <c r="F17" i="11"/>
  <c r="S17" i="11" s="1"/>
  <c r="G17" i="11"/>
  <c r="T17" i="11" s="1"/>
  <c r="H17" i="11"/>
  <c r="U17" i="11" s="1"/>
  <c r="I17" i="11"/>
  <c r="V17" i="11" s="1"/>
  <c r="J17" i="11"/>
  <c r="W17" i="11" s="1"/>
  <c r="K17" i="11"/>
  <c r="X17" i="11" s="1"/>
  <c r="L17" i="11"/>
  <c r="Y17" i="11" s="1"/>
  <c r="L19" i="11"/>
  <c r="Y19" i="11" s="1"/>
  <c r="K19" i="11"/>
  <c r="X19" i="11" s="1"/>
  <c r="J19" i="11"/>
  <c r="W19" i="11" s="1"/>
  <c r="I19" i="11"/>
  <c r="V19" i="11" s="1"/>
  <c r="H19" i="11"/>
  <c r="U19" i="11" s="1"/>
  <c r="G19" i="11"/>
  <c r="T19" i="11" s="1"/>
  <c r="L18" i="11"/>
  <c r="Y18" i="11" s="1"/>
  <c r="K18" i="11"/>
  <c r="X18" i="11" s="1"/>
  <c r="J18" i="11"/>
  <c r="W18" i="11" s="1"/>
  <c r="I18" i="11"/>
  <c r="V18" i="11" s="1"/>
  <c r="H18" i="11"/>
  <c r="U18" i="11" s="1"/>
  <c r="G18" i="11"/>
  <c r="T18" i="11" s="1"/>
  <c r="F18" i="11"/>
  <c r="S18" i="11" s="1"/>
  <c r="L16" i="11"/>
  <c r="Y16" i="11" s="1"/>
  <c r="K16" i="11"/>
  <c r="X16" i="11" s="1"/>
  <c r="J16" i="11"/>
  <c r="W16" i="11" s="1"/>
  <c r="I16" i="11"/>
  <c r="V16" i="11" s="1"/>
  <c r="H16" i="11"/>
  <c r="U16" i="11" s="1"/>
  <c r="G16" i="11"/>
  <c r="T16" i="11" s="1"/>
  <c r="F16" i="11"/>
  <c r="S16" i="11" s="1"/>
  <c r="E16" i="11"/>
  <c r="R16" i="11" s="1"/>
  <c r="D16" i="11"/>
  <c r="Q16" i="11" s="1"/>
  <c r="W4" i="11" l="1"/>
  <c r="V4" i="11"/>
  <c r="X5" i="11"/>
  <c r="W9" i="11"/>
  <c r="T6" i="11"/>
  <c r="W6" i="11"/>
  <c r="V5" i="11"/>
  <c r="T3" i="11"/>
  <c r="Y5" i="11"/>
  <c r="U3" i="11"/>
  <c r="S4" i="11"/>
  <c r="U6" i="11"/>
  <c r="Y9" i="11"/>
  <c r="V6" i="11"/>
  <c r="X10" i="11"/>
  <c r="V7" i="11"/>
  <c r="Y10" i="11"/>
  <c r="X6" i="11"/>
  <c r="Y11" i="11"/>
  <c r="Y6" i="11"/>
  <c r="X7" i="11"/>
  <c r="T5" i="11"/>
  <c r="Y4" i="11"/>
  <c r="Y7" i="11"/>
  <c r="W8" i="11"/>
  <c r="W5" i="11"/>
  <c r="X8" i="11"/>
  <c r="U4" i="11"/>
  <c r="T4" i="11"/>
  <c r="X9" i="11"/>
  <c r="V3" i="11"/>
  <c r="R4" i="11"/>
  <c r="W3" i="11"/>
  <c r="U7" i="11"/>
  <c r="X3" i="11"/>
  <c r="Y3" i="11"/>
  <c r="W7" i="11"/>
  <c r="S5" i="11"/>
  <c r="U5" i="11"/>
  <c r="X4" i="11"/>
  <c r="V8" i="11"/>
  <c r="Y8" i="11"/>
  <c r="K3" i="11"/>
  <c r="L10" i="11"/>
  <c r="J7" i="11"/>
  <c r="F5" i="11"/>
  <c r="L4" i="11"/>
  <c r="H5" i="11"/>
  <c r="I8" i="11"/>
  <c r="J8" i="11"/>
  <c r="R3" i="11"/>
  <c r="E3" i="11"/>
  <c r="K8" i="11"/>
  <c r="S3" i="11"/>
  <c r="F3" i="11"/>
  <c r="L8" i="11"/>
  <c r="L5" i="11"/>
  <c r="G4" i="11"/>
  <c r="J9" i="11"/>
  <c r="I7" i="11"/>
  <c r="K6" i="11"/>
  <c r="L6" i="11"/>
  <c r="G5" i="11"/>
  <c r="Q3" i="11"/>
  <c r="D3" i="11"/>
  <c r="J4" i="11"/>
  <c r="J5" i="11"/>
  <c r="I4" i="11"/>
  <c r="K5" i="11"/>
  <c r="H4" i="11"/>
  <c r="G3" i="11"/>
  <c r="H3" i="11"/>
  <c r="G6" i="11"/>
  <c r="F4" i="11"/>
  <c r="K9" i="11"/>
  <c r="L3" i="11"/>
  <c r="L9" i="11"/>
  <c r="J6" i="11"/>
  <c r="L11" i="11"/>
  <c r="K7" i="11"/>
  <c r="L7" i="11"/>
  <c r="K4" i="11"/>
  <c r="I5" i="11"/>
  <c r="I3" i="11"/>
  <c r="H6" i="11"/>
  <c r="E4" i="11"/>
  <c r="J3" i="11"/>
  <c r="I6" i="11"/>
  <c r="H7" i="11"/>
  <c r="K10" i="1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3"/>
        </ext>
      </extLst>
    </bk>
    <bk>
      <extLst>
        <ext uri="{3e2802c4-a4d2-4d8b-9148-e3be6c30e623}">
          <xlrd:rvb i="26"/>
        </ext>
      </extLst>
    </bk>
    <bk>
      <extLst>
        <ext uri="{3e2802c4-a4d2-4d8b-9148-e3be6c30e623}">
          <xlrd:rvb i="38"/>
        </ext>
      </extLst>
    </bk>
    <bk>
      <extLst>
        <ext uri="{3e2802c4-a4d2-4d8b-9148-e3be6c30e623}">
          <xlrd:rvb i="51"/>
        </ext>
      </extLst>
    </bk>
    <bk>
      <extLst>
        <ext uri="{3e2802c4-a4d2-4d8b-9148-e3be6c30e623}">
          <xlrd:rvb i="63"/>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<sst xmlns="http://schemas.openxmlformats.org/spreadsheetml/2006/main" count="3372" uniqueCount="456">
  <si>
    <t>Year</t>
  </si>
  <si>
    <t>Currency</t>
  </si>
  <si>
    <t>USD</t>
  </si>
  <si>
    <t>1 USD in following years is equal to...</t>
  </si>
  <si>
    <t>Inflation rate</t>
  </si>
  <si>
    <t>1 EUR in following years is equal to …</t>
  </si>
  <si>
    <t>IEA 2023 (EU)</t>
  </si>
  <si>
    <t>IEA 2023 (India)</t>
  </si>
  <si>
    <t>Breyer et al. 2023 (EU)</t>
  </si>
  <si>
    <t>Bogdanov et al. 2021 (World)</t>
  </si>
  <si>
    <t>Bogdanov et al. 2023 (Japan)</t>
  </si>
  <si>
    <t>IEA 2023 (China)</t>
  </si>
  <si>
    <t>Jacobson et al. 2022 (World)</t>
  </si>
  <si>
    <t>Grant et al. 2021 (World)</t>
  </si>
  <si>
    <t>Neumann et al. 2023 (Europe)</t>
  </si>
  <si>
    <t>Ghorbani et al. 2020 (Iran)</t>
  </si>
  <si>
    <t>Insel et al. 2022 (Turkiye)</t>
  </si>
  <si>
    <t>Actual CAPEX</t>
  </si>
  <si>
    <t>Min.</t>
  </si>
  <si>
    <t>Mean</t>
  </si>
  <si>
    <t>Max.</t>
  </si>
  <si>
    <t>Min</t>
  </si>
  <si>
    <t>Max</t>
  </si>
  <si>
    <t>General Electric 2021 (Egypt)</t>
  </si>
  <si>
    <t>*All values in USD per kW</t>
  </si>
  <si>
    <t>Mandys et al. 2023 (UK)</t>
  </si>
  <si>
    <t>Abbott et al. 2023 (World)</t>
  </si>
  <si>
    <t>Actual LCOE</t>
  </si>
  <si>
    <t>Mean.</t>
  </si>
  <si>
    <t>Auction</t>
  </si>
  <si>
    <t>*All values in USD per MWh</t>
  </si>
  <si>
    <t>Sens et al. 2022 (Germany)</t>
  </si>
  <si>
    <t>General Electric 2021 (Brazil)</t>
  </si>
  <si>
    <t>Lu et al. 2021 (China)</t>
  </si>
  <si>
    <t>1 CNY in following years is equal to …</t>
  </si>
  <si>
    <t>Neumann et al. 2023 (EU)</t>
  </si>
  <si>
    <t>Chaianong et al. 2020 (Thailand)</t>
  </si>
  <si>
    <t>IEA 2023 (Europe)</t>
  </si>
  <si>
    <t>Breyer et al. 2022 (EU)</t>
  </si>
  <si>
    <t>Brändle et al. 2021-Base (World)</t>
  </si>
  <si>
    <t>Brändle et al. 2021-Opt. (World)</t>
  </si>
  <si>
    <t>Wiser et al. 2021 (World)</t>
  </si>
  <si>
    <t>IEA 2021 (Europe)</t>
  </si>
  <si>
    <t>PNE 2050 (Brazil)</t>
  </si>
  <si>
    <t>Breyer et al. 2023 (Europe)</t>
  </si>
  <si>
    <t>BP 2020 (World)</t>
  </si>
  <si>
    <t>BNEF 2020 (World)</t>
  </si>
  <si>
    <t>Ghorbani et al. 2021 (Iran)</t>
  </si>
  <si>
    <t>IEA 2020 (World)</t>
  </si>
  <si>
    <t>Vartiainen et al. 2020 (Europe)</t>
  </si>
  <si>
    <t>BNEF 2023 (World)</t>
  </si>
  <si>
    <t>EPRI 2020 (World)</t>
  </si>
  <si>
    <t>Mongird et al. 2020 (US)</t>
  </si>
  <si>
    <t>Mauler et al. 2021 (World)</t>
  </si>
  <si>
    <t>He et al. 2020 (China)</t>
  </si>
  <si>
    <t>Beuse et al. 2020 (World)</t>
  </si>
  <si>
    <t>Penisa et al. 2020 (World)</t>
  </si>
  <si>
    <t>*All values in USD per kWh, for 4-hours storage system.</t>
  </si>
  <si>
    <t>Utility-scale PV</t>
  </si>
  <si>
    <t>Offshore wind</t>
  </si>
  <si>
    <t xml:space="preserve">*All values are inflation-corrected for the year 2024 USD equivalency. </t>
  </si>
  <si>
    <t>Contents</t>
  </si>
  <si>
    <t>Conversion rates</t>
  </si>
  <si>
    <t>CAPEX</t>
  </si>
  <si>
    <t>Rooftop (Residential, Commercial, and Industrial) PV</t>
  </si>
  <si>
    <t>Onshore wind power</t>
  </si>
  <si>
    <t>Offshore wind power</t>
  </si>
  <si>
    <t>Li-ion stationary battery</t>
  </si>
  <si>
    <t>Offshore wind (floating)</t>
  </si>
  <si>
    <t>Advanced</t>
  </si>
  <si>
    <t>Moderate</t>
  </si>
  <si>
    <t>Conservative</t>
  </si>
  <si>
    <t>Onshore wind (distributed - residential)</t>
  </si>
  <si>
    <t>Onshore wind (distributed - commercial)</t>
  </si>
  <si>
    <t>Onshore wind (distributed - Midsize)</t>
  </si>
  <si>
    <t>Onshore wind (distributed - Large)</t>
  </si>
  <si>
    <t>Gulagi et al. 2021 (India)</t>
  </si>
  <si>
    <t>Zhang et al. 2021 (China)</t>
  </si>
  <si>
    <t>Resch et al. 2020 (EU)</t>
  </si>
  <si>
    <t>Barbosa et al. 2020 (Brazil)</t>
  </si>
  <si>
    <t>Rozon et al. 2023 (World)</t>
  </si>
  <si>
    <t>Makhloufi et al. 2022 (Algeria)</t>
  </si>
  <si>
    <t>UK BEIS 2021 (UK)</t>
  </si>
  <si>
    <t>Gandhi et al 2022 (UAE)</t>
  </si>
  <si>
    <t>George et al. 2022 (Germany)</t>
  </si>
  <si>
    <t>Janssen et al. 2022 (Denmark)</t>
  </si>
  <si>
    <t>Janssen et al. 2022 (Portugal)</t>
  </si>
  <si>
    <t>Janssen et al. 2022 (Netherlands)</t>
  </si>
  <si>
    <t>IRENA 2020 (World)</t>
  </si>
  <si>
    <t>Actual LCOH</t>
  </si>
  <si>
    <t>Energy type</t>
  </si>
  <si>
    <t>Solar PV</t>
  </si>
  <si>
    <t>Onsite Solar/Wind</t>
  </si>
  <si>
    <t>Renewables (Green-favoured grid electricity price) with CO2 taxes</t>
  </si>
  <si>
    <t>Onshore/Offshore wind AND Hybrid onshore wind and solar PV</t>
  </si>
  <si>
    <t>Hybrid offshore wind and solar</t>
  </si>
  <si>
    <t>Onshore wind and Solar PV</t>
  </si>
  <si>
    <t>Wind and Solar PV</t>
  </si>
  <si>
    <t>Variable Renewable Energy</t>
  </si>
  <si>
    <t>Renewables</t>
  </si>
  <si>
    <t>Electricity type</t>
  </si>
  <si>
    <t>Tlili et al. 2019 (EU)</t>
  </si>
  <si>
    <t>Tlili et al. 2019 (Japan)</t>
  </si>
  <si>
    <t>Tlili et al. 2019 (China)</t>
  </si>
  <si>
    <t>Reksten et al. 2022 (World)</t>
  </si>
  <si>
    <t>Brandle et al. 2021 (World)</t>
  </si>
  <si>
    <t xml:space="preserve">Min. </t>
  </si>
  <si>
    <t>USD2024</t>
  </si>
  <si>
    <t>inflation co-eff.</t>
  </si>
  <si>
    <t>Utility-scale PV - CAPEX (USD/kW)</t>
  </si>
  <si>
    <t>Onshore Wind - CAPEX (USD/kW)</t>
  </si>
  <si>
    <t>Utility-scale PV - LCOE (USD/MWh)</t>
  </si>
  <si>
    <t>Onshore Wind - LCOE (USD/MWh)</t>
  </si>
  <si>
    <t>Offshore Wind - CAPEX (USD/kW)</t>
  </si>
  <si>
    <t>Offshore Wind - LCOE (USD/MWh)</t>
  </si>
  <si>
    <t>STEPS</t>
  </si>
  <si>
    <t>SDS</t>
  </si>
  <si>
    <t>APS</t>
  </si>
  <si>
    <t>NZE</t>
  </si>
  <si>
    <t>Electrolysis - CAPEX (USD/kW)</t>
  </si>
  <si>
    <t>CSP</t>
  </si>
  <si>
    <t>Alkaline electrolysis</t>
  </si>
  <si>
    <t>PEM electrolysis</t>
  </si>
  <si>
    <t>LCOE/H</t>
  </si>
  <si>
    <t>Battery Storage - CAPEX (USD/kW) - 4hrs.</t>
  </si>
  <si>
    <t>Gilmore et al 2021 (Australia)</t>
  </si>
  <si>
    <t>PV</t>
  </si>
  <si>
    <t>Onshore Wind</t>
  </si>
  <si>
    <t>Offshore Wind</t>
  </si>
  <si>
    <t>EUR</t>
  </si>
  <si>
    <t>=</t>
  </si>
  <si>
    <t>Germany</t>
  </si>
  <si>
    <t>Spain</t>
  </si>
  <si>
    <r>
      <t>Min.</t>
    </r>
    <r>
      <rPr>
        <b/>
        <vertAlign val="superscript"/>
        <sz val="11"/>
        <color theme="1"/>
        <rFont val="Aptos Narrow"/>
        <family val="2"/>
        <scheme val="minor"/>
      </rPr>
      <t>2</t>
    </r>
  </si>
  <si>
    <r>
      <t>Max.</t>
    </r>
    <r>
      <rPr>
        <b/>
        <vertAlign val="superscript"/>
        <sz val="11"/>
        <color theme="1"/>
        <rFont val="Aptos Narrow"/>
        <family val="2"/>
        <scheme val="minor"/>
      </rPr>
      <t>3</t>
    </r>
  </si>
  <si>
    <r>
      <t>Min.</t>
    </r>
    <r>
      <rPr>
        <b/>
        <vertAlign val="superscript"/>
        <sz val="11"/>
        <color theme="1"/>
        <rFont val="Aptos Narrow"/>
        <family val="2"/>
        <scheme val="minor"/>
      </rPr>
      <t>4</t>
    </r>
  </si>
  <si>
    <r>
      <t>Max.</t>
    </r>
    <r>
      <rPr>
        <b/>
        <vertAlign val="superscript"/>
        <sz val="11"/>
        <color theme="1"/>
        <rFont val="Aptos Narrow"/>
        <family val="2"/>
        <scheme val="minor"/>
      </rPr>
      <t>5</t>
    </r>
  </si>
  <si>
    <r>
      <t>Kost et al. 2012 - LCOE (2024 USD/MWh)</t>
    </r>
    <r>
      <rPr>
        <b/>
        <vertAlign val="superscript"/>
        <sz val="14"/>
        <rFont val="Aptos Narrow"/>
        <family val="2"/>
        <scheme val="minor"/>
      </rPr>
      <t>1</t>
    </r>
  </si>
  <si>
    <r>
      <rPr>
        <vertAlign val="superscript"/>
        <sz val="11"/>
        <color theme="1"/>
        <rFont val="Aptos Narrow"/>
        <family val="2"/>
        <scheme val="minor"/>
      </rPr>
      <t>3</t>
    </r>
    <r>
      <rPr>
        <sz val="11"/>
        <color theme="1"/>
        <rFont val="Aptos Narrow"/>
        <family val="2"/>
        <scheme val="minor"/>
      </rPr>
      <t xml:space="preserve"> These values are for the small-scale PV systems (residential) in areas with a DNI of 1100 kWh/m</t>
    </r>
    <r>
      <rPr>
        <vertAlign val="superscript"/>
        <sz val="11"/>
        <color theme="1"/>
        <rFont val="Aptos Narrow"/>
        <family val="2"/>
        <scheme val="minor"/>
      </rPr>
      <t>2</t>
    </r>
    <r>
      <rPr>
        <sz val="11"/>
        <color theme="1"/>
        <rFont val="Aptos Narrow"/>
        <family val="2"/>
        <scheme val="minor"/>
      </rPr>
      <t>/a.</t>
    </r>
  </si>
  <si>
    <r>
      <rPr>
        <vertAlign val="superscript"/>
        <sz val="11"/>
        <color theme="1"/>
        <rFont val="Aptos Narrow"/>
        <family val="2"/>
        <scheme val="minor"/>
      </rPr>
      <t>5</t>
    </r>
    <r>
      <rPr>
        <sz val="11"/>
        <color theme="1"/>
        <rFont val="Aptos Narrow"/>
        <family val="2"/>
        <scheme val="minor"/>
      </rPr>
      <t xml:space="preserve"> These values are for the small-scale PV systems (residential) in areas with a DNI of 1700 kWh/m</t>
    </r>
    <r>
      <rPr>
        <vertAlign val="superscript"/>
        <sz val="11"/>
        <color theme="1"/>
        <rFont val="Aptos Narrow"/>
        <family val="2"/>
        <scheme val="minor"/>
      </rPr>
      <t>2</t>
    </r>
    <r>
      <rPr>
        <sz val="11"/>
        <color theme="1"/>
        <rFont val="Aptos Narrow"/>
        <family val="2"/>
        <scheme val="minor"/>
      </rPr>
      <t>/a.</t>
    </r>
  </si>
  <si>
    <r>
      <rPr>
        <b/>
        <sz val="11"/>
        <color theme="1"/>
        <rFont val="Aptos Narrow"/>
        <family val="2"/>
        <scheme val="minor"/>
      </rPr>
      <t>*IMPORTANT:</t>
    </r>
    <r>
      <rPr>
        <sz val="11"/>
        <color theme="1"/>
        <rFont val="Aptos Narrow"/>
        <family val="2"/>
        <scheme val="minor"/>
      </rPr>
      <t xml:space="preserve"> These conversion rates are used to calculate the numbers in following sheets. However, to prevent any unwanted changes in the numbers, we have hard-coded the converted numbers.</t>
    </r>
  </si>
  <si>
    <t>in 2012</t>
  </si>
  <si>
    <t>in 2013</t>
  </si>
  <si>
    <r>
      <t>Kost et al. 2013 - LCOE (2024 USD/MWh)</t>
    </r>
    <r>
      <rPr>
        <b/>
        <vertAlign val="superscript"/>
        <sz val="14"/>
        <rFont val="Aptos Narrow"/>
        <family val="2"/>
        <scheme val="minor"/>
      </rPr>
      <t>1</t>
    </r>
  </si>
  <si>
    <r>
      <t>Min.</t>
    </r>
    <r>
      <rPr>
        <b/>
        <vertAlign val="superscript"/>
        <sz val="11"/>
        <color theme="0"/>
        <rFont val="Aptos Narrow"/>
        <family val="2"/>
        <scheme val="minor"/>
      </rPr>
      <t>6</t>
    </r>
  </si>
  <si>
    <r>
      <t>Max.</t>
    </r>
    <r>
      <rPr>
        <b/>
        <vertAlign val="superscript"/>
        <sz val="11"/>
        <color theme="0"/>
        <rFont val="Aptos Narrow"/>
        <family val="2"/>
        <scheme val="minor"/>
      </rPr>
      <t>7</t>
    </r>
  </si>
  <si>
    <r>
      <rPr>
        <vertAlign val="superscript"/>
        <sz val="11"/>
        <color theme="1"/>
        <rFont val="Aptos Narrow"/>
        <family val="2"/>
        <scheme val="minor"/>
      </rPr>
      <t>3</t>
    </r>
    <r>
      <rPr>
        <sz val="11"/>
        <color theme="1"/>
        <rFont val="Aptos Narrow"/>
        <family val="2"/>
        <scheme val="minor"/>
      </rPr>
      <t xml:space="preserve"> These values are for the small-scale PV systems (residential) in areas with a DNI of 1000 kWh/m</t>
    </r>
    <r>
      <rPr>
        <vertAlign val="superscript"/>
        <sz val="11"/>
        <color theme="1"/>
        <rFont val="Aptos Narrow"/>
        <family val="2"/>
        <scheme val="minor"/>
      </rPr>
      <t>2</t>
    </r>
    <r>
      <rPr>
        <sz val="11"/>
        <color theme="1"/>
        <rFont val="Aptos Narrow"/>
        <family val="2"/>
        <scheme val="minor"/>
      </rPr>
      <t>/a.</t>
    </r>
  </si>
  <si>
    <r>
      <rPr>
        <vertAlign val="superscript"/>
        <sz val="11"/>
        <color theme="1"/>
        <rFont val="Aptos Narrow"/>
        <family val="2"/>
        <scheme val="minor"/>
      </rPr>
      <t>5</t>
    </r>
    <r>
      <rPr>
        <sz val="11"/>
        <color theme="1"/>
        <rFont val="Aptos Narrow"/>
        <family val="2"/>
        <scheme val="minor"/>
      </rPr>
      <t xml:space="preserve"> These values are for the cases with Full Load Hours (FLH) of 1300 hours per year and performance ratio of 97%.</t>
    </r>
  </si>
  <si>
    <r>
      <rPr>
        <vertAlign val="superscript"/>
        <sz val="11"/>
        <color theme="1"/>
        <rFont val="Aptos Narrow"/>
        <family val="2"/>
        <scheme val="minor"/>
      </rPr>
      <t>4</t>
    </r>
    <r>
      <rPr>
        <sz val="11"/>
        <color theme="1"/>
        <rFont val="Aptos Narrow"/>
        <family val="2"/>
        <scheme val="minor"/>
      </rPr>
      <t xml:space="preserve"> These values are for the cases with Full Load Hours (FLH) of 2700 hours per year and performance ratio of 97%.</t>
    </r>
  </si>
  <si>
    <r>
      <rPr>
        <vertAlign val="superscript"/>
        <sz val="11"/>
        <color theme="1"/>
        <rFont val="Aptos Narrow"/>
        <family val="2"/>
        <scheme val="minor"/>
      </rPr>
      <t>6</t>
    </r>
    <r>
      <rPr>
        <sz val="11"/>
        <color theme="1"/>
        <rFont val="Aptos Narrow"/>
        <family val="2"/>
        <scheme val="minor"/>
      </rPr>
      <t xml:space="preserve"> These values are for the cases with Full Load Hours (FLH) of 4000 hours per year and performance ratio of 95%.</t>
    </r>
  </si>
  <si>
    <r>
      <rPr>
        <vertAlign val="superscript"/>
        <sz val="11"/>
        <color theme="1"/>
        <rFont val="Aptos Narrow"/>
        <family val="2"/>
        <scheme val="minor"/>
      </rPr>
      <t>7</t>
    </r>
    <r>
      <rPr>
        <sz val="11"/>
        <color theme="1"/>
        <rFont val="Aptos Narrow"/>
        <family val="2"/>
        <scheme val="minor"/>
      </rPr>
      <t xml:space="preserve"> These values are for the cases with Full Load Hours (FLH) of 2800 hours per year and performance ratio of 95%.</t>
    </r>
  </si>
  <si>
    <r>
      <rPr>
        <vertAlign val="superscript"/>
        <sz val="11"/>
        <color theme="1"/>
        <rFont val="Aptos Narrow"/>
        <family val="2"/>
        <scheme val="minor"/>
      </rPr>
      <t>2</t>
    </r>
    <r>
      <rPr>
        <sz val="11"/>
        <color theme="1"/>
        <rFont val="Aptos Narrow"/>
        <family val="2"/>
        <scheme val="minor"/>
      </rPr>
      <t xml:space="preserve"> These values are for the ground-mounted PV systems (commercial, and utility-scale) in areas with a DNI of 1300 kWh/m</t>
    </r>
    <r>
      <rPr>
        <vertAlign val="superscript"/>
        <sz val="11"/>
        <color theme="1"/>
        <rFont val="Aptos Narrow"/>
        <family val="2"/>
        <scheme val="minor"/>
      </rPr>
      <t>2</t>
    </r>
    <r>
      <rPr>
        <sz val="11"/>
        <color theme="1"/>
        <rFont val="Aptos Narrow"/>
        <family val="2"/>
        <scheme val="minor"/>
      </rPr>
      <t>/a.</t>
    </r>
  </si>
  <si>
    <r>
      <rPr>
        <vertAlign val="superscript"/>
        <sz val="11"/>
        <color theme="1"/>
        <rFont val="Aptos Narrow"/>
        <family val="2"/>
        <scheme val="minor"/>
      </rPr>
      <t>4</t>
    </r>
    <r>
      <rPr>
        <sz val="11"/>
        <color theme="1"/>
        <rFont val="Aptos Narrow"/>
        <family val="2"/>
        <scheme val="minor"/>
      </rPr>
      <t xml:space="preserve"> These values are for the ground-mounted PV systems (commercial, and utility-scale) in areas with a DNI of 2000 kWh/m2/a.</t>
    </r>
  </si>
  <si>
    <r>
      <rPr>
        <vertAlign val="superscript"/>
        <sz val="11"/>
        <color theme="1"/>
        <rFont val="Aptos Narrow"/>
        <family val="2"/>
        <scheme val="minor"/>
      </rPr>
      <t>2</t>
    </r>
    <r>
      <rPr>
        <sz val="11"/>
        <color theme="1"/>
        <rFont val="Aptos Narrow"/>
        <family val="2"/>
        <scheme val="minor"/>
      </rPr>
      <t xml:space="preserve"> These values are for the ground-mounted PV systems (commercial, and utility-scale) in areas with a DNI of 1200 kWh/m</t>
    </r>
    <r>
      <rPr>
        <vertAlign val="superscript"/>
        <sz val="11"/>
        <color theme="1"/>
        <rFont val="Aptos Narrow"/>
        <family val="2"/>
        <scheme val="minor"/>
      </rPr>
      <t>2</t>
    </r>
    <r>
      <rPr>
        <sz val="11"/>
        <color theme="1"/>
        <rFont val="Aptos Narrow"/>
        <family val="2"/>
        <scheme val="minor"/>
      </rPr>
      <t>/a.</t>
    </r>
  </si>
  <si>
    <r>
      <rPr>
        <vertAlign val="superscript"/>
        <sz val="11"/>
        <color theme="1"/>
        <rFont val="Aptos Narrow"/>
        <family val="2"/>
        <scheme val="minor"/>
      </rPr>
      <t>1</t>
    </r>
    <r>
      <rPr>
        <sz val="11"/>
        <color theme="1"/>
        <rFont val="Aptos Narrow"/>
        <family val="2"/>
        <scheme val="minor"/>
      </rPr>
      <t xml:space="preserve"> The assumption for the module price was 1581.88 USD (2024)/kW for the crystalline PV modules, and an average of 2038.40 USD (2024)/kW for onshore wind in Germany. No values were found for CSP/PV in Spain and offshore wind. </t>
    </r>
  </si>
  <si>
    <t>Rooftop PV</t>
  </si>
  <si>
    <r>
      <t>Kost et al. 2018 - LCOE (2024 USD/MWh)</t>
    </r>
    <r>
      <rPr>
        <b/>
        <vertAlign val="superscript"/>
        <sz val="14"/>
        <rFont val="Aptos Narrow"/>
        <family val="2"/>
        <scheme val="minor"/>
      </rPr>
      <t>1</t>
    </r>
  </si>
  <si>
    <t>in 2018</t>
  </si>
  <si>
    <r>
      <t>Min.</t>
    </r>
    <r>
      <rPr>
        <b/>
        <vertAlign val="superscript"/>
        <sz val="11"/>
        <color theme="1"/>
        <rFont val="Aptos Narrow"/>
        <family val="2"/>
        <scheme val="minor"/>
      </rPr>
      <t>6</t>
    </r>
  </si>
  <si>
    <r>
      <t>Max.</t>
    </r>
    <r>
      <rPr>
        <b/>
        <vertAlign val="superscript"/>
        <sz val="11"/>
        <color theme="1"/>
        <rFont val="Aptos Narrow"/>
        <family val="2"/>
        <scheme val="minor"/>
      </rPr>
      <t>7</t>
    </r>
  </si>
  <si>
    <r>
      <t>Min.</t>
    </r>
    <r>
      <rPr>
        <b/>
        <vertAlign val="superscript"/>
        <sz val="11"/>
        <color theme="0"/>
        <rFont val="Aptos Narrow"/>
        <family val="2"/>
        <scheme val="minor"/>
      </rPr>
      <t>8</t>
    </r>
  </si>
  <si>
    <r>
      <t>Max.</t>
    </r>
    <r>
      <rPr>
        <b/>
        <vertAlign val="superscript"/>
        <sz val="11"/>
        <color theme="0"/>
        <rFont val="Aptos Narrow"/>
        <family val="2"/>
        <scheme val="minor"/>
      </rPr>
      <t>9</t>
    </r>
  </si>
  <si>
    <r>
      <rPr>
        <vertAlign val="superscript"/>
        <sz val="11"/>
        <color theme="1"/>
        <rFont val="Aptos Narrow"/>
        <family val="2"/>
        <scheme val="minor"/>
      </rPr>
      <t>2</t>
    </r>
    <r>
      <rPr>
        <sz val="11"/>
        <color theme="1"/>
        <rFont val="Aptos Narrow"/>
        <family val="2"/>
        <scheme val="minor"/>
      </rPr>
      <t xml:space="preserve"> These values are for areas with a DNI of 1300 kWh/m</t>
    </r>
    <r>
      <rPr>
        <vertAlign val="superscript"/>
        <sz val="11"/>
        <color theme="1"/>
        <rFont val="Aptos Narrow"/>
        <family val="2"/>
        <scheme val="minor"/>
      </rPr>
      <t>2</t>
    </r>
    <r>
      <rPr>
        <sz val="11"/>
        <color theme="1"/>
        <rFont val="Aptos Narrow"/>
        <family val="2"/>
        <scheme val="minor"/>
      </rPr>
      <t>/a. Assumed learning rate is 15%.</t>
    </r>
  </si>
  <si>
    <r>
      <rPr>
        <vertAlign val="superscript"/>
        <sz val="11"/>
        <color theme="1"/>
        <rFont val="Aptos Narrow"/>
        <family val="2"/>
        <scheme val="minor"/>
      </rPr>
      <t>3</t>
    </r>
    <r>
      <rPr>
        <sz val="11"/>
        <color theme="1"/>
        <rFont val="Aptos Narrow"/>
        <family val="2"/>
        <scheme val="minor"/>
      </rPr>
      <t xml:space="preserve"> These values are for areas with a DNI of 950 kWh/m</t>
    </r>
    <r>
      <rPr>
        <vertAlign val="superscript"/>
        <sz val="11"/>
        <color theme="1"/>
        <rFont val="Aptos Narrow"/>
        <family val="2"/>
        <scheme val="minor"/>
      </rPr>
      <t>2</t>
    </r>
    <r>
      <rPr>
        <sz val="11"/>
        <color theme="1"/>
        <rFont val="Aptos Narrow"/>
        <family val="2"/>
        <scheme val="minor"/>
      </rPr>
      <t>/a. Assumed learning rate is 15%.</t>
    </r>
  </si>
  <si>
    <r>
      <rPr>
        <vertAlign val="superscript"/>
        <sz val="11"/>
        <color theme="1"/>
        <rFont val="Aptos Narrow"/>
        <family val="2"/>
        <scheme val="minor"/>
      </rPr>
      <t>4</t>
    </r>
    <r>
      <rPr>
        <sz val="11"/>
        <color theme="1"/>
        <rFont val="Aptos Narrow"/>
        <family val="2"/>
        <scheme val="minor"/>
      </rPr>
      <t xml:space="preserve"> These values are for areas with a DNI of 1300 kWh/m</t>
    </r>
    <r>
      <rPr>
        <vertAlign val="superscript"/>
        <sz val="11"/>
        <color theme="1"/>
        <rFont val="Aptos Narrow"/>
        <family val="2"/>
        <scheme val="minor"/>
      </rPr>
      <t>2</t>
    </r>
    <r>
      <rPr>
        <sz val="11"/>
        <color theme="1"/>
        <rFont val="Aptos Narrow"/>
        <family val="2"/>
        <scheme val="minor"/>
      </rPr>
      <t>/a. Assumed learning rate is 15%.</t>
    </r>
  </si>
  <si>
    <r>
      <rPr>
        <vertAlign val="superscript"/>
        <sz val="11"/>
        <color theme="1"/>
        <rFont val="Aptos Narrow"/>
        <family val="2"/>
        <scheme val="minor"/>
      </rPr>
      <t>5</t>
    </r>
    <r>
      <rPr>
        <sz val="11"/>
        <color theme="1"/>
        <rFont val="Aptos Narrow"/>
        <family val="2"/>
        <scheme val="minor"/>
      </rPr>
      <t xml:space="preserve"> These values are for areas with a DNI of 950 kWh/m</t>
    </r>
    <r>
      <rPr>
        <vertAlign val="superscript"/>
        <sz val="11"/>
        <color theme="1"/>
        <rFont val="Aptos Narrow"/>
        <family val="2"/>
        <scheme val="minor"/>
      </rPr>
      <t>2</t>
    </r>
    <r>
      <rPr>
        <sz val="11"/>
        <color theme="1"/>
        <rFont val="Aptos Narrow"/>
        <family val="2"/>
        <scheme val="minor"/>
      </rPr>
      <t>/a. Assumed learning rate is 15%.</t>
    </r>
  </si>
  <si>
    <r>
      <rPr>
        <vertAlign val="superscript"/>
        <sz val="11"/>
        <color theme="1"/>
        <rFont val="Aptos Narrow"/>
        <family val="2"/>
        <scheme val="minor"/>
      </rPr>
      <t>6</t>
    </r>
    <r>
      <rPr>
        <sz val="11"/>
        <color theme="1"/>
        <rFont val="Aptos Narrow"/>
        <family val="2"/>
        <scheme val="minor"/>
      </rPr>
      <t xml:space="preserve"> These values are for the cases with Full Load Hours (FLH) of 3200 hours per year. Assumed learning rate is 5%.</t>
    </r>
  </si>
  <si>
    <r>
      <rPr>
        <vertAlign val="superscript"/>
        <sz val="11"/>
        <color theme="1"/>
        <rFont val="Aptos Narrow"/>
        <family val="2"/>
        <scheme val="minor"/>
      </rPr>
      <t>7</t>
    </r>
    <r>
      <rPr>
        <sz val="11"/>
        <color theme="1"/>
        <rFont val="Aptos Narrow"/>
        <family val="2"/>
        <scheme val="minor"/>
      </rPr>
      <t xml:space="preserve"> These values are for the cases with Full Load Hours (FLH) of 1800 hours per year. Assumed learning rate is 5%.</t>
    </r>
  </si>
  <si>
    <r>
      <rPr>
        <vertAlign val="superscript"/>
        <sz val="11"/>
        <color theme="1"/>
        <rFont val="Aptos Narrow"/>
        <family val="2"/>
        <scheme val="minor"/>
      </rPr>
      <t>8</t>
    </r>
    <r>
      <rPr>
        <sz val="11"/>
        <color theme="1"/>
        <rFont val="Aptos Narrow"/>
        <family val="2"/>
        <scheme val="minor"/>
      </rPr>
      <t xml:space="preserve"> These values are for the cases with Full Load Hours (FLH) of 4500 hours per year. Assumed learning rate is 5%.</t>
    </r>
  </si>
  <si>
    <r>
      <rPr>
        <vertAlign val="superscript"/>
        <sz val="11"/>
        <color theme="1"/>
        <rFont val="Aptos Narrow"/>
        <family val="2"/>
        <scheme val="minor"/>
      </rPr>
      <t>9</t>
    </r>
    <r>
      <rPr>
        <sz val="11"/>
        <color theme="1"/>
        <rFont val="Aptos Narrow"/>
        <family val="2"/>
        <scheme val="minor"/>
      </rPr>
      <t xml:space="preserve"> These values are for the cases with Full Load Hours (FLH) of 3200 hours per year. Assumed learning rate is 5%.</t>
    </r>
  </si>
  <si>
    <t>Wind onshore</t>
  </si>
  <si>
    <t>Wind offshore</t>
  </si>
  <si>
    <t>CSP-No storage</t>
  </si>
  <si>
    <t>CSP-8hrs</t>
  </si>
  <si>
    <t>CSP Fresnel-No storage</t>
  </si>
  <si>
    <t>CSP Fresnel-8hrs</t>
  </si>
  <si>
    <r>
      <rPr>
        <vertAlign val="superscript"/>
        <sz val="11"/>
        <color theme="1"/>
        <rFont val="Aptos Narrow"/>
        <family val="2"/>
        <scheme val="minor"/>
      </rPr>
      <t>1</t>
    </r>
    <r>
      <rPr>
        <sz val="11"/>
        <color theme="1"/>
        <rFont val="Aptos Narrow"/>
        <family val="2"/>
        <scheme val="minor"/>
      </rPr>
      <t xml:space="preserve"> Technology CAPEX are available in the adjacent table.</t>
    </r>
  </si>
  <si>
    <t>Tech</t>
  </si>
  <si>
    <t>PV Utility-scale</t>
  </si>
  <si>
    <t>CAPEX (USD (2024)/kW)</t>
  </si>
  <si>
    <t>Small rooftop PV</t>
  </si>
  <si>
    <t>Large rooftop PV</t>
  </si>
  <si>
    <r>
      <t>Kost et al. 2021 - LCOE (2024 USD/MWh)</t>
    </r>
    <r>
      <rPr>
        <b/>
        <vertAlign val="superscript"/>
        <sz val="14"/>
        <rFont val="Aptos Narrow"/>
        <family val="2"/>
        <scheme val="minor"/>
      </rPr>
      <t>1</t>
    </r>
  </si>
  <si>
    <t>in 2021</t>
  </si>
  <si>
    <t>in 2024</t>
  </si>
  <si>
    <t>Battery - for small PV</t>
  </si>
  <si>
    <t>Battery - for large PV</t>
  </si>
  <si>
    <t>Battery - for utility PV</t>
  </si>
  <si>
    <r>
      <rPr>
        <vertAlign val="superscript"/>
        <sz val="11"/>
        <color theme="1"/>
        <rFont val="Aptos Narrow"/>
        <family val="2"/>
        <scheme val="minor"/>
      </rPr>
      <t>1</t>
    </r>
    <r>
      <rPr>
        <sz val="11"/>
        <color theme="1"/>
        <rFont val="Aptos Narrow"/>
        <family val="2"/>
        <scheme val="minor"/>
      </rPr>
      <t xml:space="preserve"> Technology CAPEX are available in the table below.</t>
    </r>
  </si>
  <si>
    <t>Kost et al. 2021 - CAPEX (2024 USD/kWh)</t>
  </si>
  <si>
    <t>Agri-PV</t>
  </si>
  <si>
    <r>
      <t>Kost et al. 2024 - LCOE (2024 USD/MWh)</t>
    </r>
    <r>
      <rPr>
        <b/>
        <vertAlign val="superscript"/>
        <sz val="14"/>
        <rFont val="Aptos Narrow"/>
        <family val="2"/>
        <scheme val="minor"/>
      </rPr>
      <t>1</t>
    </r>
  </si>
  <si>
    <t>Kost et al. 2024 - CAPEX (2024 USD/kWh)</t>
  </si>
  <si>
    <r>
      <t>Utility-scale PV+Battery</t>
    </r>
    <r>
      <rPr>
        <b/>
        <vertAlign val="superscript"/>
        <sz val="14"/>
        <rFont val="Aptos Narrow"/>
        <family val="2"/>
        <scheme val="minor"/>
      </rPr>
      <t>4</t>
    </r>
  </si>
  <si>
    <r>
      <t>Small rooftop PV+Battery</t>
    </r>
    <r>
      <rPr>
        <b/>
        <vertAlign val="superscript"/>
        <sz val="14"/>
        <rFont val="Aptos Narrow"/>
        <family val="2"/>
        <scheme val="minor"/>
      </rPr>
      <t>5</t>
    </r>
  </si>
  <si>
    <r>
      <t>Large rooftop PV+Battery</t>
    </r>
    <r>
      <rPr>
        <b/>
        <vertAlign val="superscript"/>
        <sz val="14"/>
        <rFont val="Aptos Narrow"/>
        <family val="2"/>
        <scheme val="minor"/>
      </rPr>
      <t>6</t>
    </r>
  </si>
  <si>
    <r>
      <t>Min.</t>
    </r>
    <r>
      <rPr>
        <b/>
        <vertAlign val="superscript"/>
        <sz val="11"/>
        <color theme="1"/>
        <rFont val="Aptos Narrow"/>
        <family val="2"/>
        <scheme val="minor"/>
      </rPr>
      <t>7</t>
    </r>
  </si>
  <si>
    <r>
      <t>Max.</t>
    </r>
    <r>
      <rPr>
        <b/>
        <vertAlign val="superscript"/>
        <sz val="11"/>
        <color theme="1"/>
        <rFont val="Aptos Narrow"/>
        <family val="2"/>
        <scheme val="minor"/>
      </rPr>
      <t>8</t>
    </r>
  </si>
  <si>
    <r>
      <t>Min.</t>
    </r>
    <r>
      <rPr>
        <b/>
        <vertAlign val="superscript"/>
        <sz val="11"/>
        <color theme="0"/>
        <rFont val="Aptos Narrow"/>
        <family val="2"/>
        <scheme val="minor"/>
      </rPr>
      <t>9</t>
    </r>
  </si>
  <si>
    <r>
      <t>Max.</t>
    </r>
    <r>
      <rPr>
        <b/>
        <vertAlign val="superscript"/>
        <sz val="11"/>
        <color theme="0"/>
        <rFont val="Aptos Narrow"/>
        <family val="2"/>
        <scheme val="minor"/>
      </rPr>
      <t>10</t>
    </r>
  </si>
  <si>
    <r>
      <rPr>
        <vertAlign val="superscript"/>
        <sz val="11"/>
        <color theme="1"/>
        <rFont val="Aptos Narrow"/>
        <family val="2"/>
        <scheme val="minor"/>
      </rPr>
      <t>5</t>
    </r>
    <r>
      <rPr>
        <sz val="11"/>
        <color theme="1"/>
        <rFont val="Aptos Narrow"/>
        <family val="2"/>
        <scheme val="minor"/>
      </rPr>
      <t xml:space="preserve"> PV system size: lower than 30kW</t>
    </r>
    <r>
      <rPr>
        <vertAlign val="subscript"/>
        <sz val="11"/>
        <color theme="1"/>
        <rFont val="Aptos Narrow"/>
        <family val="2"/>
        <scheme val="minor"/>
      </rPr>
      <t>p</t>
    </r>
    <r>
      <rPr>
        <sz val="11"/>
        <color theme="1"/>
        <rFont val="Aptos Narrow"/>
        <family val="2"/>
        <scheme val="minor"/>
      </rPr>
      <t>. Battery storage assumption is 1 kW</t>
    </r>
    <r>
      <rPr>
        <vertAlign val="subscript"/>
        <sz val="11"/>
        <color theme="1"/>
        <rFont val="Aptos Narrow"/>
        <family val="2"/>
        <scheme val="minor"/>
      </rPr>
      <t xml:space="preserve">p </t>
    </r>
    <r>
      <rPr>
        <sz val="11"/>
        <color theme="1"/>
        <rFont val="Aptos Narrow"/>
        <family val="2"/>
        <scheme val="minor"/>
      </rPr>
      <t>: 1 kWh.</t>
    </r>
  </si>
  <si>
    <r>
      <rPr>
        <vertAlign val="superscript"/>
        <sz val="11"/>
        <color theme="1"/>
        <rFont val="Aptos Narrow"/>
        <family val="2"/>
        <scheme val="minor"/>
      </rPr>
      <t>6</t>
    </r>
    <r>
      <rPr>
        <sz val="11"/>
        <color theme="1"/>
        <rFont val="Aptos Narrow"/>
        <family val="2"/>
        <scheme val="minor"/>
      </rPr>
      <t xml:space="preserve"> PV system size: between 30 and 1000 kW</t>
    </r>
    <r>
      <rPr>
        <vertAlign val="subscript"/>
        <sz val="11"/>
        <color theme="1"/>
        <rFont val="Aptos Narrow"/>
        <family val="2"/>
        <scheme val="minor"/>
      </rPr>
      <t>p</t>
    </r>
    <r>
      <rPr>
        <sz val="11"/>
        <color theme="1"/>
        <rFont val="Aptos Narrow"/>
        <family val="2"/>
        <scheme val="minor"/>
      </rPr>
      <t>. Battery storage assumption is 2 kW</t>
    </r>
    <r>
      <rPr>
        <vertAlign val="subscript"/>
        <sz val="11"/>
        <color theme="1"/>
        <rFont val="Aptos Narrow"/>
        <family val="2"/>
        <scheme val="minor"/>
      </rPr>
      <t>p</t>
    </r>
    <r>
      <rPr>
        <sz val="11"/>
        <color theme="1"/>
        <rFont val="Aptos Narrow"/>
        <family val="2"/>
        <scheme val="minor"/>
      </rPr>
      <t xml:space="preserve"> : 1 kWh.</t>
    </r>
  </si>
  <si>
    <r>
      <rPr>
        <vertAlign val="superscript"/>
        <sz val="11"/>
        <color theme="1"/>
        <rFont val="Aptos Narrow"/>
        <family val="2"/>
        <scheme val="minor"/>
      </rPr>
      <t>4</t>
    </r>
    <r>
      <rPr>
        <sz val="11"/>
        <color theme="1"/>
        <rFont val="Aptos Narrow"/>
        <family val="2"/>
        <scheme val="minor"/>
      </rPr>
      <t xml:space="preserve"> PV system size: larger than 1 MW</t>
    </r>
    <r>
      <rPr>
        <vertAlign val="subscript"/>
        <sz val="11"/>
        <color theme="1"/>
        <rFont val="Aptos Narrow"/>
        <family val="2"/>
        <scheme val="minor"/>
      </rPr>
      <t>p</t>
    </r>
    <r>
      <rPr>
        <sz val="11"/>
        <color theme="1"/>
        <rFont val="Aptos Narrow"/>
        <family val="2"/>
        <scheme val="minor"/>
      </rPr>
      <t>. Battery storage assumption is 3 kW</t>
    </r>
    <r>
      <rPr>
        <vertAlign val="subscript"/>
        <sz val="11"/>
        <color theme="1"/>
        <rFont val="Aptos Narrow"/>
        <family val="2"/>
        <scheme val="minor"/>
      </rPr>
      <t xml:space="preserve">p </t>
    </r>
    <r>
      <rPr>
        <sz val="11"/>
        <color theme="1"/>
        <rFont val="Aptos Narrow"/>
        <family val="2"/>
        <scheme val="minor"/>
      </rPr>
      <t>: 2 kWh.</t>
    </r>
  </si>
  <si>
    <r>
      <rPr>
        <vertAlign val="superscript"/>
        <sz val="11"/>
        <color theme="1"/>
        <rFont val="Aptos Narrow"/>
        <family val="2"/>
        <scheme val="minor"/>
      </rPr>
      <t>8</t>
    </r>
    <r>
      <rPr>
        <sz val="11"/>
        <color theme="1"/>
        <rFont val="Aptos Narrow"/>
        <family val="2"/>
        <scheme val="minor"/>
      </rPr>
      <t xml:space="preserve"> These values are for the cases with Full Load Hours (FLH) of 3200 hours per year. Assumed learning rate is 5%.</t>
    </r>
  </si>
  <si>
    <r>
      <rPr>
        <vertAlign val="superscript"/>
        <sz val="11"/>
        <color theme="1"/>
        <rFont val="Aptos Narrow"/>
        <family val="2"/>
        <scheme val="minor"/>
      </rPr>
      <t>10</t>
    </r>
    <r>
      <rPr>
        <sz val="11"/>
        <color theme="1"/>
        <rFont val="Aptos Narrow"/>
        <family val="2"/>
        <scheme val="minor"/>
      </rPr>
      <t xml:space="preserve"> These values are for the cases with Full Load Hours (FLH) of 4500 hours per year. Assumed learning rate is 7%.</t>
    </r>
  </si>
  <si>
    <r>
      <rPr>
        <vertAlign val="superscript"/>
        <sz val="11"/>
        <color theme="1"/>
        <rFont val="Aptos Narrow"/>
        <family val="2"/>
        <scheme val="minor"/>
      </rPr>
      <t>9</t>
    </r>
    <r>
      <rPr>
        <sz val="11"/>
        <color theme="1"/>
        <rFont val="Aptos Narrow"/>
        <family val="2"/>
        <scheme val="minor"/>
      </rPr>
      <t xml:space="preserve"> These values are for the cases with Full Load Hours (FLH) of 3200 hours per year. Assumed learning rate is 7%.</t>
    </r>
  </si>
  <si>
    <t>Europe</t>
  </si>
  <si>
    <r>
      <t>Residential - 1 kW</t>
    </r>
    <r>
      <rPr>
        <b/>
        <vertAlign val="subscript"/>
        <sz val="14"/>
        <rFont val="Aptos Narrow"/>
        <family val="2"/>
        <scheme val="minor"/>
      </rPr>
      <t>p</t>
    </r>
  </si>
  <si>
    <r>
      <t>Commercial - 50 kW</t>
    </r>
    <r>
      <rPr>
        <b/>
        <vertAlign val="subscript"/>
        <sz val="14"/>
        <rFont val="Aptos Narrow"/>
        <family val="2"/>
        <scheme val="minor"/>
      </rPr>
      <t>p</t>
    </r>
  </si>
  <si>
    <r>
      <t>Industrial - 1 MW</t>
    </r>
    <r>
      <rPr>
        <b/>
        <vertAlign val="subscript"/>
        <sz val="14"/>
        <rFont val="Aptos Narrow"/>
        <family val="2"/>
        <scheme val="minor"/>
      </rPr>
      <t>p</t>
    </r>
  </si>
  <si>
    <r>
      <t>Utility-scale PV - 50 MW</t>
    </r>
    <r>
      <rPr>
        <b/>
        <vertAlign val="subscript"/>
        <sz val="14"/>
        <rFont val="Aptos Narrow"/>
        <family val="2"/>
        <scheme val="minor"/>
      </rPr>
      <t>p</t>
    </r>
  </si>
  <si>
    <t>4 % nominal WACC</t>
  </si>
  <si>
    <t>7 % nominal WACC</t>
  </si>
  <si>
    <t>10 % nominal WACC</t>
  </si>
  <si>
    <t>2 % nominal WACC</t>
  </si>
  <si>
    <t>WACC %</t>
  </si>
  <si>
    <t>Unit</t>
  </si>
  <si>
    <t>2024 USD/MWh</t>
  </si>
  <si>
    <r>
      <t>Min.</t>
    </r>
    <r>
      <rPr>
        <b/>
        <vertAlign val="superscript"/>
        <sz val="11"/>
        <color theme="1"/>
        <rFont val="Aptos Narrow"/>
        <family val="2"/>
        <scheme val="minor"/>
      </rPr>
      <t>1</t>
    </r>
  </si>
  <si>
    <r>
      <t>Mean</t>
    </r>
    <r>
      <rPr>
        <b/>
        <vertAlign val="superscript"/>
        <sz val="11"/>
        <color theme="1"/>
        <rFont val="Aptos Narrow"/>
        <family val="2"/>
        <scheme val="minor"/>
      </rPr>
      <t>2</t>
    </r>
  </si>
  <si>
    <r>
      <rPr>
        <vertAlign val="superscript"/>
        <sz val="11"/>
        <color theme="1"/>
        <rFont val="Aptos Narrow"/>
        <family val="2"/>
        <scheme val="minor"/>
      </rPr>
      <t>2</t>
    </r>
    <r>
      <rPr>
        <sz val="11"/>
        <color theme="1"/>
        <rFont val="Aptos Narrow"/>
        <family val="2"/>
        <scheme val="minor"/>
      </rPr>
      <t xml:space="preserve"> An average of LCOEs in five locations (London, Munich, Toulouse, Rome, Malaga) around the Europe.</t>
    </r>
  </si>
  <si>
    <r>
      <rPr>
        <vertAlign val="superscript"/>
        <sz val="11"/>
        <color theme="1"/>
        <rFont val="Aptos Narrow"/>
        <family val="2"/>
        <scheme val="minor"/>
      </rPr>
      <t>1</t>
    </r>
    <r>
      <rPr>
        <sz val="11"/>
        <color theme="1"/>
        <rFont val="Aptos Narrow"/>
        <family val="2"/>
        <scheme val="minor"/>
      </rPr>
      <t xml:space="preserve"> Malaga (Spain)</t>
    </r>
  </si>
  <si>
    <r>
      <rPr>
        <vertAlign val="superscript"/>
        <sz val="11"/>
        <color theme="1"/>
        <rFont val="Aptos Narrow"/>
        <family val="2"/>
        <scheme val="minor"/>
      </rPr>
      <t>3</t>
    </r>
    <r>
      <rPr>
        <sz val="11"/>
        <color theme="1"/>
        <rFont val="Aptos Narrow"/>
        <family val="2"/>
        <scheme val="minor"/>
      </rPr>
      <t xml:space="preserve"> London (UK)</t>
    </r>
  </si>
  <si>
    <r>
      <t>Residential - 5 kW</t>
    </r>
    <r>
      <rPr>
        <b/>
        <vertAlign val="subscript"/>
        <sz val="14"/>
        <rFont val="Aptos Narrow"/>
        <family val="2"/>
        <scheme val="minor"/>
      </rPr>
      <t>p</t>
    </r>
  </si>
  <si>
    <r>
      <t>Utility-scale PV - 100 MW</t>
    </r>
    <r>
      <rPr>
        <b/>
        <vertAlign val="subscript"/>
        <sz val="14"/>
        <rFont val="Aptos Narrow"/>
        <family val="2"/>
        <scheme val="minor"/>
      </rPr>
      <t>p</t>
    </r>
  </si>
  <si>
    <r>
      <rPr>
        <vertAlign val="superscript"/>
        <sz val="11"/>
        <color theme="1"/>
        <rFont val="Aptos Narrow"/>
        <family val="2"/>
        <scheme val="minor"/>
      </rPr>
      <t>3</t>
    </r>
    <r>
      <rPr>
        <sz val="11"/>
        <color theme="1"/>
        <rFont val="Aptos Narrow"/>
        <family val="2"/>
        <scheme val="minor"/>
      </rPr>
      <t xml:space="preserve"> Helsinki (Finland)</t>
    </r>
  </si>
  <si>
    <r>
      <rPr>
        <vertAlign val="superscript"/>
        <sz val="11"/>
        <color theme="1"/>
        <rFont val="Aptos Narrow"/>
        <family val="2"/>
        <scheme val="minor"/>
      </rPr>
      <t>2</t>
    </r>
    <r>
      <rPr>
        <sz val="11"/>
        <color theme="1"/>
        <rFont val="Aptos Narrow"/>
        <family val="2"/>
        <scheme val="minor"/>
      </rPr>
      <t xml:space="preserve"> An average of LCOEs in six locations (Helsinki, London, Munich, Toulouse, Rome, Malaga) around the Europe.</t>
    </r>
  </si>
  <si>
    <t>refer to sheet "Conversion rates"</t>
  </si>
  <si>
    <t>Onshore wind</t>
  </si>
  <si>
    <t>1 AUD in following years is equal to …</t>
  </si>
  <si>
    <r>
      <t xml:space="preserve">550 ppm </t>
    </r>
    <r>
      <rPr>
        <b/>
        <vertAlign val="superscript"/>
        <sz val="11"/>
        <color theme="1"/>
        <rFont val="Aptos Narrow"/>
        <family val="2"/>
        <scheme val="minor"/>
      </rPr>
      <t>1</t>
    </r>
  </si>
  <si>
    <r>
      <t xml:space="preserve">450 ppm </t>
    </r>
    <r>
      <rPr>
        <b/>
        <vertAlign val="superscript"/>
        <sz val="11"/>
        <color theme="1"/>
        <rFont val="Aptos Narrow"/>
        <family val="2"/>
        <scheme val="minor"/>
      </rPr>
      <t>2</t>
    </r>
  </si>
  <si>
    <r>
      <rPr>
        <vertAlign val="superscript"/>
        <sz val="11"/>
        <color theme="1"/>
        <rFont val="Aptos Narrow"/>
        <family val="2"/>
        <scheme val="minor"/>
      </rPr>
      <t>3</t>
    </r>
    <r>
      <rPr>
        <sz val="11"/>
        <color theme="1"/>
        <rFont val="Aptos Narrow"/>
        <family val="2"/>
        <scheme val="minor"/>
      </rPr>
      <t xml:space="preserve"> Cost projections are from Tesla.</t>
    </r>
  </si>
  <si>
    <r>
      <rPr>
        <vertAlign val="superscript"/>
        <sz val="11"/>
        <color theme="1"/>
        <rFont val="Aptos Narrow"/>
        <family val="2"/>
        <scheme val="minor"/>
      </rPr>
      <t>1</t>
    </r>
    <r>
      <rPr>
        <sz val="11"/>
        <color theme="1"/>
        <rFont val="Aptos Narrow"/>
        <family val="2"/>
        <scheme val="minor"/>
      </rPr>
      <t xml:space="preserve"> Costs are under the 550 ppm scenario.</t>
    </r>
  </si>
  <si>
    <r>
      <rPr>
        <vertAlign val="superscript"/>
        <sz val="11"/>
        <color theme="1"/>
        <rFont val="Aptos Narrow"/>
        <family val="2"/>
        <scheme val="minor"/>
      </rPr>
      <t>2</t>
    </r>
    <r>
      <rPr>
        <sz val="11"/>
        <color theme="1"/>
        <rFont val="Aptos Narrow"/>
        <family val="2"/>
        <scheme val="minor"/>
      </rPr>
      <t xml:space="preserve"> Costs are under the 450 ppm scenario.</t>
    </r>
  </si>
  <si>
    <r>
      <t>Li-ion Battery</t>
    </r>
    <r>
      <rPr>
        <b/>
        <vertAlign val="superscript"/>
        <sz val="14"/>
        <color theme="0"/>
        <rFont val="Aptos Narrow"/>
        <family val="2"/>
        <scheme val="minor"/>
      </rPr>
      <t xml:space="preserve"> 3</t>
    </r>
  </si>
  <si>
    <t>Fixed - 10 MW</t>
  </si>
  <si>
    <t>Fixed - 50 MW</t>
  </si>
  <si>
    <t>Residential</t>
  </si>
  <si>
    <t>Commercial - 10 kW</t>
  </si>
  <si>
    <t>50 MW</t>
  </si>
  <si>
    <t>200 MW</t>
  </si>
  <si>
    <t>Single-axis - 10 MW</t>
  </si>
  <si>
    <t>Single-axis - 50 MW</t>
  </si>
  <si>
    <t>Dual-axis - 10 MW</t>
  </si>
  <si>
    <t>Dual-axis - 50 MW</t>
  </si>
  <si>
    <r>
      <t xml:space="preserve">2030 </t>
    </r>
    <r>
      <rPr>
        <b/>
        <vertAlign val="superscript"/>
        <sz val="10"/>
        <color theme="1"/>
        <rFont val="Arial"/>
        <family val="2"/>
      </rPr>
      <t>1</t>
    </r>
  </si>
  <si>
    <r>
      <t xml:space="preserve">2030 </t>
    </r>
    <r>
      <rPr>
        <b/>
        <vertAlign val="superscript"/>
        <sz val="10"/>
        <color theme="1"/>
        <rFont val="Arial"/>
        <family val="2"/>
      </rPr>
      <t>2</t>
    </r>
  </si>
  <si>
    <r>
      <t xml:space="preserve">2030 </t>
    </r>
    <r>
      <rPr>
        <b/>
        <vertAlign val="superscript"/>
        <sz val="10"/>
        <color theme="1"/>
        <rFont val="Arial"/>
        <family val="2"/>
      </rPr>
      <t>3</t>
    </r>
  </si>
  <si>
    <r>
      <rPr>
        <vertAlign val="superscript"/>
        <sz val="11"/>
        <color theme="1"/>
        <rFont val="Aptos Narrow"/>
        <family val="2"/>
        <scheme val="minor"/>
      </rPr>
      <t>3</t>
    </r>
    <r>
      <rPr>
        <sz val="11"/>
        <color theme="1"/>
        <rFont val="Aptos Narrow"/>
        <family val="2"/>
        <scheme val="minor"/>
      </rPr>
      <t xml:space="preserve"> Costs are under the Roadmap assumptions.</t>
    </r>
  </si>
  <si>
    <r>
      <rPr>
        <vertAlign val="superscript"/>
        <sz val="11"/>
        <color theme="1"/>
        <rFont val="Aptos Narrow"/>
        <family val="2"/>
        <scheme val="minor"/>
      </rPr>
      <t>2</t>
    </r>
    <r>
      <rPr>
        <sz val="11"/>
        <color theme="1"/>
        <rFont val="Aptos Narrow"/>
        <family val="2"/>
        <scheme val="minor"/>
      </rPr>
      <t xml:space="preserve"> Costs are under the 4 degrees scenario for carbon pricing. Demand and fuel price assumptions are aligned with the IEA WEO 2017's New Policies Scenario (NPS).</t>
    </r>
  </si>
  <si>
    <r>
      <rPr>
        <vertAlign val="superscript"/>
        <sz val="11"/>
        <color theme="1"/>
        <rFont val="Aptos Narrow"/>
        <family val="2"/>
        <scheme val="minor"/>
      </rPr>
      <t>1</t>
    </r>
    <r>
      <rPr>
        <sz val="11"/>
        <color theme="1"/>
        <rFont val="Aptos Narrow"/>
        <family val="2"/>
        <scheme val="minor"/>
      </rPr>
      <t xml:space="preserve"> Costs are under the 2 degrees scenario for carbon pricing. Demand and fuel price assumptions are aligned with the IEA WEO 2017's Sustainable Development Scenario (SDS).</t>
    </r>
  </si>
  <si>
    <r>
      <t xml:space="preserve">2 °C </t>
    </r>
    <r>
      <rPr>
        <b/>
        <vertAlign val="superscript"/>
        <sz val="11"/>
        <color theme="1"/>
        <rFont val="Aptos Narrow"/>
        <family val="2"/>
        <scheme val="minor"/>
      </rPr>
      <t>1</t>
    </r>
  </si>
  <si>
    <r>
      <t xml:space="preserve">4 °C </t>
    </r>
    <r>
      <rPr>
        <b/>
        <vertAlign val="superscript"/>
        <sz val="11"/>
        <color theme="1"/>
        <rFont val="Aptos Narrow"/>
        <family val="2"/>
        <scheme val="minor"/>
      </rPr>
      <t>2</t>
    </r>
  </si>
  <si>
    <r>
      <rPr>
        <vertAlign val="superscript"/>
        <sz val="11"/>
        <color theme="1"/>
        <rFont val="Aptos Narrow"/>
        <family val="2"/>
        <scheme val="minor"/>
      </rPr>
      <t>1</t>
    </r>
    <r>
      <rPr>
        <sz val="11"/>
        <color theme="1"/>
        <rFont val="Aptos Narrow"/>
        <family val="2"/>
        <scheme val="minor"/>
      </rPr>
      <t xml:space="preserve"> Costs are under the 2 degrees scenario for carbon pricing. Demand and fuel price assumptions are aligned with the IEA WEO 2016's Sustainable Development Scenario (SDS).</t>
    </r>
  </si>
  <si>
    <r>
      <rPr>
        <vertAlign val="superscript"/>
        <sz val="11"/>
        <color theme="1"/>
        <rFont val="Aptos Narrow"/>
        <family val="2"/>
        <scheme val="minor"/>
      </rPr>
      <t>2</t>
    </r>
    <r>
      <rPr>
        <sz val="11"/>
        <color theme="1"/>
        <rFont val="Aptos Narrow"/>
        <family val="2"/>
        <scheme val="minor"/>
      </rPr>
      <t xml:space="preserve"> Costs are under the 4 degrees scenario for carbon pricing. Demand and fuel price assumptions are aligned with the IEA WEO 2016's New Policies Scenario (NPS).</t>
    </r>
  </si>
  <si>
    <t>*All values in USD per kW.</t>
  </si>
  <si>
    <t>*All values are for "Fixed-Bottom" offshore wind turbines.</t>
  </si>
  <si>
    <r>
      <t>*All values in USD per kW</t>
    </r>
    <r>
      <rPr>
        <b/>
        <vertAlign val="subscript"/>
        <sz val="11"/>
        <color theme="1"/>
        <rFont val="Aptos Narrow"/>
        <family val="2"/>
        <scheme val="minor"/>
      </rPr>
      <t>e</t>
    </r>
    <r>
      <rPr>
        <b/>
        <sz val="11"/>
        <color theme="1"/>
        <rFont val="Aptos Narrow"/>
        <family val="2"/>
        <scheme val="minor"/>
      </rPr>
      <t>.</t>
    </r>
  </si>
  <si>
    <t>N/A</t>
  </si>
  <si>
    <t>Janssen et al. 2022 (Denmark, Portugal, Netherlands)</t>
  </si>
  <si>
    <r>
      <t>*All values in USD per kg</t>
    </r>
    <r>
      <rPr>
        <b/>
        <vertAlign val="subscript"/>
        <sz val="11"/>
        <color theme="1"/>
        <rFont val="Aptos Narrow"/>
        <family val="2"/>
        <scheme val="minor"/>
      </rPr>
      <t>H2</t>
    </r>
    <r>
      <rPr>
        <b/>
        <sz val="11"/>
        <color theme="1"/>
        <rFont val="Aptos Narrow"/>
        <family val="2"/>
        <scheme val="minor"/>
      </rPr>
      <t>.</t>
    </r>
  </si>
  <si>
    <r>
      <rPr>
        <vertAlign val="superscript"/>
        <sz val="11"/>
        <color theme="1"/>
        <rFont val="Aptos Narrow"/>
        <family val="2"/>
        <scheme val="minor"/>
      </rPr>
      <t>3</t>
    </r>
    <r>
      <rPr>
        <sz val="11"/>
        <color theme="1"/>
        <rFont val="Aptos Narrow"/>
        <family val="2"/>
        <scheme val="minor"/>
      </rPr>
      <t xml:space="preserve"> Cost projections are for 4-hrs storage.</t>
    </r>
  </si>
  <si>
    <t>Standalone</t>
  </si>
  <si>
    <t>2-hours Battery</t>
  </si>
  <si>
    <t>6-hours PHES</t>
  </si>
  <si>
    <t>CSP (8-hours)</t>
  </si>
  <si>
    <t>Central</t>
  </si>
  <si>
    <t>High VRE</t>
  </si>
  <si>
    <t>Diverse Tech</t>
  </si>
  <si>
    <r>
      <t>Li-ion Battery</t>
    </r>
    <r>
      <rPr>
        <b/>
        <vertAlign val="superscript"/>
        <sz val="14"/>
        <color theme="0"/>
        <rFont val="Aptos Narrow"/>
        <family val="2"/>
        <scheme val="minor"/>
      </rPr>
      <t xml:space="preserve"> 1</t>
    </r>
  </si>
  <si>
    <r>
      <rPr>
        <vertAlign val="superscript"/>
        <sz val="11"/>
        <color theme="1"/>
        <rFont val="Aptos Narrow"/>
        <family val="2"/>
        <scheme val="minor"/>
      </rPr>
      <t>1</t>
    </r>
    <r>
      <rPr>
        <sz val="11"/>
        <color theme="1"/>
        <rFont val="Aptos Narrow"/>
        <family val="2"/>
        <scheme val="minor"/>
      </rPr>
      <t xml:space="preserve"> Cost projections are for 4-hrs storage.</t>
    </r>
  </si>
  <si>
    <t>Alkaline Electrolyser</t>
  </si>
  <si>
    <t>PEM Electrolyser</t>
  </si>
  <si>
    <t>Current policies</t>
  </si>
  <si>
    <t>Global NZE by 2050</t>
  </si>
  <si>
    <t>Global NZE post 2050</t>
  </si>
  <si>
    <t>CSP-12 hours</t>
  </si>
  <si>
    <t>Offshore wind-Fixed bottom</t>
  </si>
  <si>
    <t>Offshore wind-Floating bottom</t>
  </si>
  <si>
    <t>CSP-15 hours</t>
  </si>
  <si>
    <t>CSP-14 hours</t>
  </si>
  <si>
    <t>Vartiainen et al. 2020 (EU)</t>
  </si>
  <si>
    <t>Teske et al. 2021 (World)</t>
  </si>
  <si>
    <t>SERIS 2020 (Singapore)</t>
  </si>
  <si>
    <t>Graham et al. 2021 (Australia)</t>
  </si>
  <si>
    <t>Kost et al. 2021 (Germany)</t>
  </si>
  <si>
    <t>Robert &amp; Brown 2021 (Chile)</t>
  </si>
  <si>
    <t>Deorah et al. 2020 (India)</t>
  </si>
  <si>
    <t>Gordon 2022 (World)</t>
  </si>
  <si>
    <t>Mahone et al. 2020 (U.S.)</t>
  </si>
  <si>
    <t>Hall et al. 2020 (India)</t>
  </si>
  <si>
    <t>BNEF 2020 (China)</t>
  </si>
  <si>
    <r>
      <rPr>
        <vertAlign val="superscript"/>
        <sz val="11"/>
        <color theme="1"/>
        <rFont val="Aptos Narrow"/>
        <family val="2"/>
        <scheme val="minor"/>
      </rPr>
      <t>1</t>
    </r>
    <r>
      <rPr>
        <sz val="11"/>
        <color theme="1"/>
        <rFont val="Aptos Narrow"/>
        <family val="2"/>
        <scheme val="minor"/>
      </rPr>
      <t xml:space="preserve"> Representative Li-Ion Battery Storage, 60 MW, 240 MWh storage (4 hours).</t>
    </r>
  </si>
  <si>
    <r>
      <rPr>
        <vertAlign val="superscript"/>
        <sz val="11"/>
        <color theme="1"/>
        <rFont val="Aptos Narrow"/>
        <family val="2"/>
        <scheme val="minor"/>
      </rPr>
      <t>2</t>
    </r>
    <r>
      <rPr>
        <sz val="11"/>
        <color theme="1"/>
        <rFont val="Aptos Narrow"/>
        <family val="2"/>
        <scheme val="minor"/>
      </rPr>
      <t xml:space="preserve"> Representative Li-Ion Battery Storage, AC-coupled 600 kW, 2400 kWh storage (4 hours).</t>
    </r>
  </si>
  <si>
    <r>
      <rPr>
        <vertAlign val="superscript"/>
        <sz val="11"/>
        <color theme="1"/>
        <rFont val="Aptos Narrow"/>
        <family val="2"/>
        <scheme val="minor"/>
      </rPr>
      <t>3</t>
    </r>
    <r>
      <rPr>
        <sz val="11"/>
        <color theme="1"/>
        <rFont val="Aptos Narrow"/>
        <family val="2"/>
        <scheme val="minor"/>
      </rPr>
      <t xml:space="preserve"> Representative Li-Ion Battery Storage, AC-coupled 5 kW, 20 kWh storage (4 hours).</t>
    </r>
  </si>
  <si>
    <t>Transpower 2023 (New Zealand)</t>
  </si>
  <si>
    <t>Contact (Corresponding Author)</t>
  </si>
  <si>
    <t>hadi.vatankhahghadim@pg.canterbury.ac.nz</t>
  </si>
  <si>
    <t>Licensing:</t>
  </si>
  <si>
    <t>CC BY 4.0 - Attribution 4.0 International - Legal Code</t>
  </si>
  <si>
    <t>Misc. data</t>
  </si>
  <si>
    <t>IEA WEO studies (Global)</t>
  </si>
  <si>
    <t>ETIP EU studies (Europe)</t>
  </si>
  <si>
    <r>
      <rPr>
        <vertAlign val="superscript"/>
        <sz val="11"/>
        <color theme="1"/>
        <rFont val="Aptos Narrow"/>
        <family val="2"/>
        <scheme val="minor"/>
      </rPr>
      <t>2</t>
    </r>
    <r>
      <rPr>
        <sz val="11"/>
        <color theme="1"/>
        <rFont val="Aptos Narrow"/>
        <family val="2"/>
        <scheme val="minor"/>
      </rPr>
      <t xml:space="preserve"> Cost projections are for 4-hrs storage.</t>
    </r>
  </si>
  <si>
    <r>
      <rPr>
        <vertAlign val="superscript"/>
        <sz val="11"/>
        <color theme="1"/>
        <rFont val="Aptos Narrow"/>
        <family val="2"/>
        <scheme val="minor"/>
      </rPr>
      <t>1</t>
    </r>
    <r>
      <rPr>
        <sz val="11"/>
        <color theme="1"/>
        <rFont val="Aptos Narrow"/>
        <family val="2"/>
        <scheme val="minor"/>
      </rPr>
      <t xml:space="preserve"> Conversion rate of AUD to USD is assumed 0.66.</t>
    </r>
  </si>
  <si>
    <r>
      <t>Li-ion Battery</t>
    </r>
    <r>
      <rPr>
        <b/>
        <vertAlign val="superscript"/>
        <sz val="14"/>
        <color theme="0"/>
        <rFont val="Aptos Narrow"/>
        <family val="2"/>
        <scheme val="minor"/>
      </rPr>
      <t xml:space="preserve"> 2</t>
    </r>
  </si>
  <si>
    <t>CSP-16 hours</t>
  </si>
  <si>
    <t>*Please refer to Table 1 in the paper for the links to the relevant studies.</t>
  </si>
  <si>
    <t>DEA 2025 (Denmark) - Fixed</t>
  </si>
  <si>
    <t>DEA 2025 (Denmark) - With tracker</t>
  </si>
  <si>
    <t>BP 2022 (World)</t>
  </si>
  <si>
    <t>OEDI 2023 (U.S.)</t>
  </si>
  <si>
    <t>DEA 2025 (Denmark) - Residential</t>
  </si>
  <si>
    <t>DEA 2025 (Denmark) - Comm./Ind.</t>
  </si>
  <si>
    <t>DEA 2025 (Denmark) - Comm. &amp; Ind.</t>
  </si>
  <si>
    <t>DEA 2025 (Denmark)</t>
  </si>
  <si>
    <t>DEA 2025 (Denmark) - Distributed wind</t>
  </si>
  <si>
    <t>DEA 2025 (Denmark) - Offshore</t>
  </si>
  <si>
    <t>DEA 2025 (Denmark) - Farshore</t>
  </si>
  <si>
    <t>DEA 2025 (Denmark) - 10 MW</t>
  </si>
  <si>
    <t>DEA 2025 (Denmark) - 100 MW</t>
  </si>
  <si>
    <t>DEA 2025 (Denmark) - 1000 MW</t>
  </si>
  <si>
    <t>ETC 2019 (China)</t>
  </si>
  <si>
    <t>DNV 2022 (World)</t>
  </si>
  <si>
    <t>WEC 2021 (World)</t>
  </si>
  <si>
    <t>Gallardo et al. 2021 (Chile)</t>
  </si>
  <si>
    <t>Mahone et al. 2020 (USA)</t>
  </si>
  <si>
    <t>WEC 2021 (EU)</t>
  </si>
  <si>
    <t>MME &amp; EPE 2020 (Brazil)</t>
  </si>
  <si>
    <t>DNV 2023 (World)</t>
  </si>
  <si>
    <t>ETIP 2020 (EU)</t>
  </si>
  <si>
    <t>ETIP 2020 (Europe)</t>
  </si>
  <si>
    <t>Repenning et al. 2021 (Germany)</t>
  </si>
  <si>
    <t>AEMO 2021 (Australia)</t>
  </si>
  <si>
    <t>Robert &amp; Brown 2020 (Chile)</t>
  </si>
  <si>
    <t>US DoE 2022 (World)</t>
  </si>
  <si>
    <t>IEA 2019 (World)</t>
  </si>
  <si>
    <t>IEA 2001</t>
  </si>
  <si>
    <t>IEA 2002</t>
  </si>
  <si>
    <t>IEA 2003</t>
  </si>
  <si>
    <t>IEA 2004</t>
  </si>
  <si>
    <t>IEA 2005</t>
  </si>
  <si>
    <t>IEA 2006</t>
  </si>
  <si>
    <t>IEA 2007</t>
  </si>
  <si>
    <t>IEA 2008</t>
  </si>
  <si>
    <t>IEA 2009</t>
  </si>
  <si>
    <t>IEA 2010</t>
  </si>
  <si>
    <t>IEA 2011</t>
  </si>
  <si>
    <t>IEA 2012</t>
  </si>
  <si>
    <t>IEA 2013</t>
  </si>
  <si>
    <t>IEA 2014</t>
  </si>
  <si>
    <t>IEA 2015</t>
  </si>
  <si>
    <t>IEA 2016</t>
  </si>
  <si>
    <t>IEA 2017</t>
  </si>
  <si>
    <t>IEA 2018</t>
  </si>
  <si>
    <t>IEA 2019</t>
  </si>
  <si>
    <t>IEA 2020 - STEPS</t>
  </si>
  <si>
    <t>IEA 2020 - SDS</t>
  </si>
  <si>
    <t>IEA 2021 - STEPS</t>
  </si>
  <si>
    <t>IEA 2021 - APS</t>
  </si>
  <si>
    <t>IEA 2021 - SDS</t>
  </si>
  <si>
    <t>IEA 2021 - NZE</t>
  </si>
  <si>
    <t>IEA 2022 - STEPS</t>
  </si>
  <si>
    <t>IEA 2022 - APS</t>
  </si>
  <si>
    <t>IEA 2022 - NZE</t>
  </si>
  <si>
    <t>IEA 2023 - STEPS</t>
  </si>
  <si>
    <t>IEA 2023 - APS</t>
  </si>
  <si>
    <t>IEA 2023 - NZE</t>
  </si>
  <si>
    <t>IEA 2024 - STEPS</t>
  </si>
  <si>
    <t>IEA 2024 - APS</t>
  </si>
  <si>
    <t>IEA 2024 - NZE</t>
  </si>
  <si>
    <t>IEA 2020</t>
  </si>
  <si>
    <t>IEA 2021</t>
  </si>
  <si>
    <t>IEA 2022</t>
  </si>
  <si>
    <t>IEA 2023</t>
  </si>
  <si>
    <t>IEA 2024</t>
  </si>
  <si>
    <t>ETIP 2017 - CAPEX (2024 USD/kW)</t>
  </si>
  <si>
    <t>ETIP 2017 - LCOE (2024 USD/MWh)</t>
  </si>
  <si>
    <t>ETIP 2019 - CAPEX (2024 USD/kW)</t>
  </si>
  <si>
    <t>ETIP 2019 - LCOE (2024 USD/MWh)</t>
  </si>
  <si>
    <t>ETIP 2020 - CAPEX (2024 USD/kW)</t>
  </si>
  <si>
    <t>ETIP 2020 - LCOE (2024 USD/MWh)</t>
  </si>
  <si>
    <t>Craigen et al. 2015 - CAPEX (2024 USD/kW - for generation) (2024 USD/kWh - for Li-ion battery)</t>
  </si>
  <si>
    <t>Craigen et al. 2015 - LCOE (2024 USD/MWh)</t>
  </si>
  <si>
    <t>Hayward &amp; Graham 2017 - CAPEX (2024 USD/kW - for generation) (2024 USD/kWh - for Li-ion battery)</t>
  </si>
  <si>
    <t>Graham et al. 2018 - CAPEX (2024 USD/kW - for generation) (2024 USD/kWh - for Li-ion battery)</t>
  </si>
  <si>
    <t>Graham et al. 2018 - LCOE (2024 USD/MWh)</t>
  </si>
  <si>
    <t>Graham et al. 2020 - CAPEX (2024 USD/kW - for generation) (2024 USD/kWh - for Li-ion battery)</t>
  </si>
  <si>
    <t>Graham et al. 2020 - LCOE (2024 USD/MWh)</t>
  </si>
  <si>
    <t>Graham et al. 2021 - CAPEX (2024 USD/kW - for generation) (2024 USD/kWh - for Li-ion battery)</t>
  </si>
  <si>
    <t>Graham et al. 2021 - CAPEX (2024 USD/kW)</t>
  </si>
  <si>
    <t>Graham et al. 2021 - LCOE (2024 USD/MWh)</t>
  </si>
  <si>
    <t>Graham et al. 2022 - CAPEX (2024 USD/kW - for generation) (2024 USD/kWh - for Li-ion battery)</t>
  </si>
  <si>
    <t>Graham et al. 2022 - CAPEX (2024 USD/kW)</t>
  </si>
  <si>
    <t>Graham et al. 2022 - LCOE (2024 USD/MWh)</t>
  </si>
  <si>
    <t>Graham et al. 2023 - CAPEX (2024 USD/kW - for generation) (2024 USD/kWh - for Li-ion battery)</t>
  </si>
  <si>
    <t>Graham et al. 2023 - CAPEX (2024 USD/kW)</t>
  </si>
  <si>
    <t>Graham et al. 2023 - LCOE (2024 USD/MWh)</t>
  </si>
  <si>
    <t>Graham et al. 2024 - CAPEX (2024 USD/kW - for generation) (2024 USD/kWh - for Li-ion battery)</t>
  </si>
  <si>
    <t>Graham et al. 2024 - CAPEX (2024 USD/kW)</t>
  </si>
  <si>
    <t>Graham et al. 2024 - LCOE (2024 USD/MWh)</t>
  </si>
  <si>
    <t>Graham et al. 2025 - CAPEX (2024 USD/kW - for generation) (2024 USD/kWh - for Li-ion battery) 1</t>
  </si>
  <si>
    <t>Graham et al. 2025 - CAPEX (2024 USD/kW)</t>
  </si>
  <si>
    <t>Graham et al. 2025 - LCOE (2024 USD/MWh)</t>
  </si>
  <si>
    <t>Utility-scale PV - CAPEX (U.S.D/kW)</t>
  </si>
  <si>
    <t>OEDI 2020 (U.S.)</t>
  </si>
  <si>
    <t>OEDI 2021 (U.S.)</t>
  </si>
  <si>
    <t>OEDI 2022 (U.S.)</t>
  </si>
  <si>
    <t>OEDI 2024 (U.S.)</t>
  </si>
  <si>
    <t>1 A coefficient of 1.34 is applied (inverter cost correction) to the reported costs from OEDI 2015-19 (after inflation adjU.S.tment) as the values were in U.S.D per kWdc (reflecting module cost only), while since OEDI 2020 the utility scale PV CAPEX were reported in U.S.D per kWac.</t>
  </si>
  <si>
    <t>Utility-scale PV - LCOE (U.S.D/MWh)</t>
  </si>
  <si>
    <t>OEDI 2015 (U.S.)</t>
  </si>
  <si>
    <t>OEDI 2016 (U.S.)</t>
  </si>
  <si>
    <t>OEDI 2017 (U.S.)</t>
  </si>
  <si>
    <t>OEDI 2018 (U.S.)</t>
  </si>
  <si>
    <t>OEDI 2019 (U.S.)</t>
  </si>
  <si>
    <t>Rooftop PV Residential - CAPEX (U.S.D/kW)</t>
  </si>
  <si>
    <t>Rooftop PV Commercial &amp; IndU.S.trial - CAPEX (U.S.D/kW)</t>
  </si>
  <si>
    <t>Rooftop PV Residential - LCOE (U.S.D/MWh)</t>
  </si>
  <si>
    <t>Rooftop PV Commercial &amp; IndU.S.trial - LCOE (U.S.D/MWh)</t>
  </si>
  <si>
    <t>CSP - CAPEX (U.S.D/kW)</t>
  </si>
  <si>
    <t>CSP - LCOE (U.S.D/MWh)</t>
  </si>
  <si>
    <t>Onshore wind - CAPEX (U.S.D/kW)</t>
  </si>
  <si>
    <t>Onshore wind - LCOE (U.S.D/MWh)</t>
  </si>
  <si>
    <t>Offshore wind - CAPEX (U.S.D/kW)</t>
  </si>
  <si>
    <t>Offshore wind - LCOE (U.S.D/MWh)</t>
  </si>
  <si>
    <t>Li-ion Battery Storage (4-hours) - CAPEX-Energy (U.S.D/kWh)</t>
  </si>
  <si>
    <t>OEDI 2021 (U.S.) - Utility-scale 1</t>
  </si>
  <si>
    <t>OEDI 2021 (U.S.) - Commercial 2</t>
  </si>
  <si>
    <t>OEDI 2021 (U.S.) - Residential 3</t>
  </si>
  <si>
    <t>OEDI 2022 (U.S.) - Utility-scale 1</t>
  </si>
  <si>
    <t>OEDI 2022 (U.S.) - Commercial 2</t>
  </si>
  <si>
    <t>OEDI 2022 (U.S.) - Residential 3</t>
  </si>
  <si>
    <t>OEDI 2023 (U.S.) - Utility-scale 1</t>
  </si>
  <si>
    <t>OEDI 2023 (U.S.) - Commercial 2</t>
  </si>
  <si>
    <t>OEDI 2023 (U.S.) - Residential 3</t>
  </si>
  <si>
    <t>OEDI 2024 (U.S.) - Utility-scale 1</t>
  </si>
  <si>
    <t>OEDI 2024 (U.S.) - Commercial 2</t>
  </si>
  <si>
    <t>OEDI 2024 (U.S.) - Residential 3</t>
  </si>
  <si>
    <t xml:space="preserve">*All values are inflation-corrected for the year 2024 U.S.D equivalency. </t>
  </si>
  <si>
    <r>
      <t>OEDI 2015 (U.S.)</t>
    </r>
    <r>
      <rPr>
        <b/>
        <vertAlign val="superscript"/>
        <sz val="14"/>
        <rFont val="Aptos Narrow"/>
        <family val="2"/>
        <scheme val="minor"/>
      </rPr>
      <t>1</t>
    </r>
  </si>
  <si>
    <r>
      <t>OEDI 2016 (U.S.)</t>
    </r>
    <r>
      <rPr>
        <b/>
        <vertAlign val="superscript"/>
        <sz val="14"/>
        <rFont val="Aptos Narrow"/>
        <family val="2"/>
        <scheme val="minor"/>
      </rPr>
      <t>1</t>
    </r>
  </si>
  <si>
    <r>
      <t>OEDI 2017 (U.S.)</t>
    </r>
    <r>
      <rPr>
        <b/>
        <vertAlign val="superscript"/>
        <sz val="14"/>
        <rFont val="Aptos Narrow"/>
        <family val="2"/>
        <scheme val="minor"/>
      </rPr>
      <t>1</t>
    </r>
  </si>
  <si>
    <r>
      <t>OEDI 2018 (U.S.)</t>
    </r>
    <r>
      <rPr>
        <b/>
        <vertAlign val="superscript"/>
        <sz val="14"/>
        <rFont val="Aptos Narrow"/>
        <family val="2"/>
        <scheme val="minor"/>
      </rPr>
      <t>1</t>
    </r>
  </si>
  <si>
    <r>
      <t>OEDI 2019 (U.S.)</t>
    </r>
    <r>
      <rPr>
        <b/>
        <vertAlign val="superscript"/>
        <sz val="14"/>
        <rFont val="Aptos Narrow"/>
        <family val="2"/>
        <scheme val="minor"/>
      </rPr>
      <t>1</t>
    </r>
  </si>
  <si>
    <t>IEA 2022 - H2 (World)</t>
  </si>
  <si>
    <t>IEA 2021 - H2 (Latin America)</t>
  </si>
  <si>
    <t>Special notes:</t>
  </si>
  <si>
    <r>
      <t xml:space="preserve">NREL ATB studies (the U.S.) </t>
    </r>
    <r>
      <rPr>
        <u/>
        <vertAlign val="superscript"/>
        <sz val="18"/>
        <color theme="10"/>
        <rFont val="Aptos Narrow"/>
        <family val="2"/>
        <scheme val="minor"/>
      </rPr>
      <t>1</t>
    </r>
  </si>
  <si>
    <r>
      <t xml:space="preserve">Fraunhofer ISE studies (Germany/Spain) </t>
    </r>
    <r>
      <rPr>
        <u/>
        <vertAlign val="superscript"/>
        <sz val="18"/>
        <color theme="10"/>
        <rFont val="Aptos Narrow"/>
        <family val="2"/>
        <scheme val="minor"/>
      </rPr>
      <t>2</t>
    </r>
  </si>
  <si>
    <r>
      <t xml:space="preserve">CSIRO GenCost studies (Australia) </t>
    </r>
    <r>
      <rPr>
        <u/>
        <vertAlign val="superscript"/>
        <sz val="18"/>
        <color theme="10"/>
        <rFont val="Aptos Narrow"/>
        <family val="2"/>
        <scheme val="minor"/>
      </rPr>
      <t>3</t>
    </r>
  </si>
  <si>
    <r>
      <rPr>
        <vertAlign val="superscript"/>
        <sz val="18"/>
        <color theme="1"/>
        <rFont val="Aptos Narrow"/>
        <family val="2"/>
        <scheme val="minor"/>
      </rPr>
      <t>1</t>
    </r>
    <r>
      <rPr>
        <sz val="18"/>
        <color theme="1"/>
        <rFont val="Aptos Narrow"/>
        <family val="2"/>
        <scheme val="minor"/>
      </rPr>
      <t xml:space="preserve"> Projections listed in this sheet are from studies with identifiers of OEDI 2015, 2016, 2017, 2018, 2019, 2020, 2021, 2022, 2023, and 2024.</t>
    </r>
  </si>
  <si>
    <r>
      <rPr>
        <vertAlign val="superscript"/>
        <sz val="18"/>
        <color theme="1"/>
        <rFont val="Aptos Narrow"/>
        <family val="2"/>
        <scheme val="minor"/>
      </rPr>
      <t>2</t>
    </r>
    <r>
      <rPr>
        <sz val="18"/>
        <color theme="1"/>
        <rFont val="Aptos Narrow"/>
        <family val="2"/>
        <scheme val="minor"/>
      </rPr>
      <t xml:space="preserve"> Projections listed in this sheet are from studies with identifiers of Kost et al. 2012, 2013, 2018, 2021, and 2024.</t>
    </r>
  </si>
  <si>
    <r>
      <rPr>
        <vertAlign val="superscript"/>
        <sz val="18"/>
        <color theme="1"/>
        <rFont val="Aptos Narrow"/>
        <family val="2"/>
        <scheme val="minor"/>
      </rPr>
      <t>3</t>
    </r>
    <r>
      <rPr>
        <sz val="18"/>
        <color theme="1"/>
        <rFont val="Aptos Narrow"/>
        <family val="2"/>
        <scheme val="minor"/>
      </rPr>
      <t xml:space="preserve"> Projections listed in this sheet are from studies with identifiers of Craigen et al. 2015, Hayward &amp; Graham 2017, Graham et al. 2018, 2020, 2021, 2022, 2023, 2024, and 2025.</t>
    </r>
  </si>
  <si>
    <t>Clean technologies cost projections: a comprehensive database of solar, wind, battery and hydrogen technologies investment and levelised cost - Dataset (Scientific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</si>
</sst>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6" formatCode="0.0000"/>
  </numFmts>
  <fonts count="33" x14ac:knownFonts="1">
    <font>
      <sz val="11"/>
      <color theme="1"/>
      <name val="Aptos Narrow"/>
      <family val="2"/>
      <scheme val="minor"/>
    </font>
    <font>
      <b/>
      <sz val="11"/>
      <color theme="0"/>
      <name val="Aptos Narrow"/>
      <family val="2"/>
      <scheme val="minor"/>
    </font>
    <font>
      <b/>
      <sz val="11"/>
      <color theme="1"/>
      <name val="Aptos Narrow"/>
      <family val="2"/>
      <scheme val="minor"/>
    </font>
    <font>
      <b/>
      <sz val="16"/>
      <color theme="1"/>
      <name val="Aptos Narrow"/>
      <family val="2"/>
      <scheme val="minor"/>
    </font>
    <font>
      <b/>
      <sz val="14"/>
      <color theme="0"/>
      <name val="Aptos Narrow"/>
      <family val="2"/>
      <scheme val="minor"/>
    </font>
    <font>
      <b/>
      <sz val="14"/>
      <name val="Aptos Narrow"/>
      <family val="2"/>
      <scheme val="minor"/>
    </font>
    <font>
      <b/>
      <sz val="10"/>
      <color theme="1"/>
      <name val="Arial"/>
      <family val="2"/>
    </font>
    <font>
      <sz val="11"/>
      <name val="Aptos Narrow"/>
      <family val="2"/>
      <scheme val="minor"/>
    </font>
    <font>
      <sz val="10"/>
      <color theme="1"/>
      <name val="Arial"/>
      <family val="2"/>
    </font>
    <font>
      <b/>
      <sz val="11"/>
      <name val="Aptos Narrow"/>
      <family val="2"/>
      <scheme val="minor"/>
    </font>
    <font>
      <b/>
      <sz val="10"/>
      <color theme="1"/>
      <name val="Aptos Narrow"/>
      <family val="2"/>
      <scheme val="minor"/>
    </font>
    <font>
      <sz val="10"/>
      <color theme="1"/>
      <name val="Aptos Narrow"/>
      <family val="2"/>
      <scheme val="minor"/>
    </font>
    <font>
      <sz val="11"/>
      <color rgb="FF000000"/>
      <name val="Aptos Narrow"/>
      <family val="2"/>
      <scheme val="minor"/>
    </font>
    <font>
      <sz val="11"/>
      <color theme="1"/>
      <name val="Arial"/>
      <family val="2"/>
    </font>
    <font>
      <b/>
      <sz val="16"/>
      <name val="Aptos Narrow"/>
      <family val="2"/>
      <scheme val="minor"/>
    </font>
    <font>
      <b/>
      <sz val="14"/>
      <color theme="1"/>
      <name val="Aptos Narrow"/>
      <family val="2"/>
      <scheme val="minor"/>
    </font>
    <font>
      <u/>
      <sz val="11"/>
      <color theme="10"/>
      <name val="Aptos Narrow"/>
      <family val="2"/>
      <scheme val="minor"/>
    </font>
    <font>
      <u/>
      <sz val="18"/>
      <color theme="10"/>
      <name val="Aptos Narrow"/>
      <family val="2"/>
      <scheme val="minor"/>
    </font>
    <font>
      <sz val="11"/>
      <color theme="1"/>
      <name val="Calibri"/>
      <family val="2"/>
    </font>
    <font>
      <b/>
      <vertAlign val="superscript"/>
      <sz val="11"/>
      <color theme="1"/>
      <name val="Aptos Narrow"/>
      <family val="2"/>
      <scheme val="minor"/>
    </font>
    <font>
      <vertAlign val="superscript"/>
      <sz val="11"/>
      <color theme="1"/>
      <name val="Aptos Narrow"/>
      <family val="2"/>
      <scheme val="minor"/>
    </font>
    <font>
      <b/>
      <vertAlign val="superscript"/>
      <sz val="14"/>
      <name val="Aptos Narrow"/>
      <family val="2"/>
      <scheme val="minor"/>
    </font>
    <font>
      <b/>
      <vertAlign val="superscript"/>
      <sz val="11"/>
      <color theme="0"/>
      <name val="Aptos Narrow"/>
      <family val="2"/>
      <scheme val="minor"/>
    </font>
    <font>
      <vertAlign val="subscript"/>
      <sz val="11"/>
      <color theme="1"/>
      <name val="Aptos Narrow"/>
      <family val="2"/>
      <scheme val="minor"/>
    </font>
    <font>
      <b/>
      <vertAlign val="subscript"/>
      <sz val="14"/>
      <name val="Aptos Narrow"/>
      <family val="2"/>
      <scheme val="minor"/>
    </font>
    <font>
      <b/>
      <vertAlign val="superscript"/>
      <sz val="14"/>
      <color theme="0"/>
      <name val="Aptos Narrow"/>
      <family val="2"/>
      <scheme val="minor"/>
    </font>
    <font>
      <b/>
      <vertAlign val="superscript"/>
      <sz val="10"/>
      <color theme="1"/>
      <name val="Arial"/>
      <family val="2"/>
    </font>
    <font>
      <sz val="14"/>
      <color theme="1"/>
      <name val="Aptos Narrow"/>
      <family val="2"/>
      <scheme val="minor"/>
    </font>
    <font>
      <b/>
      <vertAlign val="subscript"/>
      <sz val="11"/>
      <color theme="1"/>
      <name val="Aptos Narrow"/>
      <family val="2"/>
      <scheme val="minor"/>
    </font>
    <font>
      <b/>
      <sz val="18"/>
      <color theme="1"/>
      <name val="Aptos Narrow"/>
      <family val="2"/>
      <scheme val="minor"/>
    </font>
    <font>
      <sz val="18"/>
      <color theme="1"/>
      <name val="Aptos Narrow"/>
      <family val="2"/>
      <scheme val="minor"/>
    </font>
    <font>
      <vertAlign val="superscript"/>
      <sz val="18"/>
      <color theme="1"/>
      <name val="Aptos Narrow"/>
      <family val="2"/>
      <scheme val="minor"/>
    </font>
    <font>
      <u/>
      <vertAlign val="superscript"/>
      <sz val="18"/>
      <color theme="10"/>
      <name val="Aptos Narrow"/>
      <family val="2"/>
      <scheme val="minor"/>
    </font>
  </fonts>
  <fills count="19">
    <fill>
      <patternFill patternType="none"/>
    </fill>
    <fill>
      <patternFill patternType="gray125"/>
    </fill>
    <fill>
      <patternFill patternType="solid">
        <fgColor theme="2" tint="-9.9978637043366805E-2"/>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002060"/>
        <bgColor indexed="64"/>
      </patternFill>
    </fill>
    <fill>
      <patternFill patternType="solid">
        <fgColor rgb="FF7030A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499984740745262"/>
        <bgColor indexed="64"/>
      </patternFill>
    </fill>
    <fill>
      <patternFill patternType="solid">
        <fgColor rgb="FFFF0000"/>
        <bgColor indexed="64"/>
      </patternFill>
    </fill>
    <fill>
      <patternFill patternType="solid">
        <fgColor theme="6" tint="0.39997558519241921"/>
        <bgColor indexed="64"/>
      </patternFill>
    </fill>
    <fill>
      <patternFill patternType="solid">
        <fgColor rgb="FF530092"/>
        <bgColor indexed="64"/>
      </patternFill>
    </fill>
    <fill>
      <patternFill patternType="solid">
        <fgColor theme="3" tint="0.89999084444715716"/>
        <bgColor indexed="64"/>
      </patternFill>
    </fill>
    <fill>
      <patternFill patternType="solid">
        <fgColor rgb="FFD5F70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1"/>
        <bgColor indexed="64"/>
      </patternFill>
    </fill>
  </fills>
  <borders count="3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medium">
        <color theme="1"/>
      </bottom>
      <diagonal/>
    </border>
    <border>
      <left style="thin">
        <color theme="0"/>
      </left>
      <right/>
      <top style="thin">
        <color theme="0"/>
      </top>
      <bottom style="medium">
        <color theme="1"/>
      </bottom>
      <diagonal/>
    </border>
    <border>
      <left/>
      <right/>
      <top style="thin">
        <color theme="0"/>
      </top>
      <bottom style="medium">
        <color theme="1"/>
      </bottom>
      <diagonal/>
    </border>
    <border>
      <left/>
      <right style="thin">
        <color theme="0"/>
      </right>
      <top style="thin">
        <color theme="0"/>
      </top>
      <bottom style="medium">
        <color theme="1"/>
      </bottom>
      <diagonal/>
    </border>
    <border>
      <left style="thin">
        <color theme="0"/>
      </left>
      <right style="thin">
        <color theme="0" tint="-0.14999847407452621"/>
      </right>
      <top style="medium">
        <color theme="1"/>
      </top>
      <bottom style="medium">
        <color theme="1"/>
      </bottom>
      <diagonal/>
    </border>
    <border>
      <left style="thin">
        <color theme="0" tint="-0.14999847407452621"/>
      </left>
      <right style="thin">
        <color theme="0"/>
      </right>
      <top style="medium">
        <color theme="1"/>
      </top>
      <bottom style="medium">
        <color theme="1"/>
      </bottom>
      <diagonal/>
    </border>
    <border>
      <left style="thin">
        <color theme="0" tint="-0.14999847407452621"/>
      </left>
      <right style="thin">
        <color theme="0" tint="-0.14999847407452621"/>
      </right>
      <top style="medium">
        <color theme="1"/>
      </top>
      <bottom style="medium">
        <color theme="1"/>
      </bottom>
      <diagonal/>
    </border>
    <border>
      <left style="thin">
        <color theme="0" tint="-0.14999847407452621"/>
      </left>
      <right/>
      <top style="medium">
        <color theme="1"/>
      </top>
      <bottom style="medium">
        <color theme="1"/>
      </bottom>
      <diagonal/>
    </border>
    <border>
      <left style="thin">
        <color theme="0"/>
      </left>
      <right style="thin">
        <color theme="0"/>
      </right>
      <top style="medium">
        <color theme="1"/>
      </top>
      <bottom style="medium">
        <color indexed="64"/>
      </bottom>
      <diagonal/>
    </border>
    <border>
      <left/>
      <right/>
      <top style="medium">
        <color theme="1"/>
      </top>
      <bottom style="medium">
        <color indexed="64"/>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tint="-0.14999847407452621"/>
      </right>
      <top style="medium">
        <color indexed="64"/>
      </top>
      <bottom style="medium">
        <color theme="1"/>
      </bottom>
      <diagonal/>
    </border>
    <border>
      <left/>
      <right style="thin">
        <color theme="0"/>
      </right>
      <top style="medium">
        <color indexed="64"/>
      </top>
      <bottom style="medium">
        <color theme="1"/>
      </bottom>
      <diagonal/>
    </border>
    <border>
      <left style="thin">
        <color theme="0"/>
      </left>
      <right/>
      <top style="medium">
        <color indexed="64"/>
      </top>
      <bottom style="medium">
        <color theme="1"/>
      </bottom>
      <diagonal/>
    </border>
    <border>
      <left style="thin">
        <color theme="0" tint="-0.14999847407452621"/>
      </left>
      <right style="thin">
        <color theme="0" tint="-0.14999847407452621"/>
      </right>
      <top style="medium">
        <color indexed="64"/>
      </top>
      <bottom style="medium">
        <color theme="1"/>
      </bottom>
      <diagonal/>
    </border>
    <border>
      <left/>
      <right/>
      <top style="medium">
        <color indexed="64"/>
      </top>
      <bottom style="medium">
        <color theme="1"/>
      </bottom>
      <diagonal/>
    </border>
    <border>
      <left style="thin">
        <color theme="0" tint="-0.14999847407452621"/>
      </left>
      <right/>
      <top style="medium">
        <color indexed="64"/>
      </top>
      <bottom style="medium">
        <color theme="1"/>
      </bottom>
      <diagonal/>
    </border>
    <border>
      <left style="thin">
        <color theme="0" tint="-0.14999847407452621"/>
      </left>
      <right style="thin">
        <color theme="0"/>
      </right>
      <top style="medium">
        <color indexed="64"/>
      </top>
      <bottom style="medium">
        <color theme="1"/>
      </bottom>
      <diagonal/>
    </border>
  </borders>
  <cellStyleXfs count="2">
    <xf numFmtId="0" fontId="0" fillId="0" borderId="0"/>
    <xf numFmtId="0" fontId="16" fillId="0" borderId="0" applyNumberFormat="0" applyFill="0" applyBorder="0" applyAlignment="0" applyProtection="0"/>
  </cellStyleXfs>
  <cellXfs count="461">
    <xf numFmtId="0" fontId="0" fillId="0" borderId="0" xfId="0"/>
    <xf numFmtId="0" fontId="0" fillId="0" borderId="0" xfId="0" applyAlignment="1">
      <alignment horizontal="center" vertical="center"/>
    </xf>
    <xf numFmtId="0" fontId="0" fillId="3" borderId="0" xfId="0" applyFill="1" applyAlignment="1">
      <alignment horizontal="center" vertical="center"/>
    </xf>
    <xf numFmtId="0" fontId="0" fillId="3" borderId="6" xfId="0" applyFill="1" applyBorder="1" applyAlignment="1">
      <alignment horizontal="center" vertical="center"/>
    </xf>
    <xf numFmtId="2" fontId="0" fillId="0" borderId="0" xfId="0" applyNumberFormat="1"/>
    <xf numFmtId="2" fontId="0" fillId="0" borderId="6" xfId="0" applyNumberFormat="1" applyBorder="1"/>
    <xf numFmtId="0" fontId="0" fillId="3" borderId="8"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xf numFmtId="0" fontId="0" fillId="2" borderId="5" xfId="0" applyFill="1" applyBorder="1"/>
    <xf numFmtId="0" fontId="0" fillId="3" borderId="0" xfId="0" applyFill="1" applyAlignment="1">
      <alignment horizontal="center"/>
    </xf>
    <xf numFmtId="0" fontId="0" fillId="3" borderId="6" xfId="0" applyFill="1" applyBorder="1" applyAlignment="1">
      <alignment horizontal="center"/>
    </xf>
    <xf numFmtId="2" fontId="0" fillId="0" borderId="8" xfId="0" applyNumberFormat="1" applyBorder="1"/>
    <xf numFmtId="2" fontId="0" fillId="2" borderId="0" xfId="0" applyNumberFormat="1" applyFill="1"/>
    <xf numFmtId="2" fontId="0" fillId="2" borderId="9" xfId="0" applyNumberFormat="1" applyFill="1" applyBorder="1"/>
    <xf numFmtId="1" fontId="0" fillId="0" borderId="2" xfId="0" applyNumberFormat="1" applyBorder="1" applyAlignment="1">
      <alignment horizontal="center" vertical="center"/>
    </xf>
    <xf numFmtId="1" fontId="0" fillId="0" borderId="3" xfId="0" applyNumberFormat="1" applyBorder="1" applyAlignment="1">
      <alignment horizontal="center" vertical="center"/>
    </xf>
    <xf numFmtId="1" fontId="0" fillId="0" borderId="5" xfId="0" applyNumberFormat="1" applyBorder="1" applyAlignment="1">
      <alignment horizontal="center" vertical="center"/>
    </xf>
    <xf numFmtId="1" fontId="0" fillId="0" borderId="4" xfId="0" applyNumberFormat="1" applyBorder="1" applyAlignment="1">
      <alignment horizontal="center" vertical="center"/>
    </xf>
    <xf numFmtId="1" fontId="0" fillId="0" borderId="6" xfId="0" applyNumberFormat="1" applyBorder="1" applyAlignment="1">
      <alignment horizontal="center" vertical="center"/>
    </xf>
    <xf numFmtId="1" fontId="0" fillId="0" borderId="0" xfId="0" applyNumberFormat="1" applyAlignment="1">
      <alignment horizontal="center" vertical="center"/>
    </xf>
    <xf numFmtId="1" fontId="0" fillId="0" borderId="7" xfId="0" applyNumberFormat="1" applyBorder="1" applyAlignment="1">
      <alignment horizontal="center" vertical="center"/>
    </xf>
    <xf numFmtId="1" fontId="0" fillId="0" borderId="8" xfId="0" applyNumberFormat="1" applyBorder="1" applyAlignment="1">
      <alignment horizontal="center" vertical="center"/>
    </xf>
    <xf numFmtId="1" fontId="0" fillId="0" borderId="9" xfId="0" applyNumberFormat="1" applyBorder="1" applyAlignment="1">
      <alignment horizontal="center" vertical="center"/>
    </xf>
    <xf numFmtId="0" fontId="6" fillId="2" borderId="15" xfId="0" applyFont="1" applyFill="1" applyBorder="1" applyAlignment="1">
      <alignment horizontal="center" vertical="center"/>
    </xf>
    <xf numFmtId="0" fontId="6" fillId="2" borderId="14"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 xfId="0" applyFont="1" applyFill="1" applyBorder="1" applyAlignment="1">
      <alignment horizontal="center" vertical="center"/>
    </xf>
    <xf numFmtId="0" fontId="9" fillId="5" borderId="11" xfId="0" applyFont="1" applyFill="1" applyBorder="1" applyAlignment="1">
      <alignment horizontal="center" vertical="center"/>
    </xf>
    <xf numFmtId="0" fontId="9" fillId="5" borderId="12" xfId="0" applyFont="1" applyFill="1" applyBorder="1" applyAlignment="1">
      <alignment horizontal="center" vertical="center"/>
    </xf>
    <xf numFmtId="0" fontId="9" fillId="5" borderId="13" xfId="0" applyFont="1" applyFill="1" applyBorder="1" applyAlignment="1">
      <alignment horizontal="center" vertical="center"/>
    </xf>
    <xf numFmtId="0" fontId="2" fillId="0" borderId="0" xfId="0" applyFont="1"/>
    <xf numFmtId="0" fontId="10" fillId="2" borderId="15" xfId="0" applyFont="1" applyFill="1" applyBorder="1" applyAlignment="1">
      <alignment horizontal="center" vertical="center"/>
    </xf>
    <xf numFmtId="0" fontId="10" fillId="2" borderId="14" xfId="0" applyFont="1" applyFill="1" applyBorder="1" applyAlignment="1">
      <alignment horizontal="center" vertical="center"/>
    </xf>
    <xf numFmtId="164" fontId="0" fillId="0" borderId="0" xfId="0" applyNumberFormat="1"/>
    <xf numFmtId="164" fontId="0" fillId="0" borderId="0" xfId="0" applyNumberFormat="1" applyAlignment="1">
      <alignment horizontal="center" vertical="center"/>
    </xf>
    <xf numFmtId="0" fontId="6" fillId="2" borderId="5" xfId="0" applyFont="1" applyFill="1" applyBorder="1" applyAlignment="1">
      <alignment horizontal="center" vertical="center"/>
    </xf>
    <xf numFmtId="0" fontId="6" fillId="2" borderId="7" xfId="0" applyFont="1" applyFill="1" applyBorder="1" applyAlignment="1">
      <alignment horizontal="center" vertical="center"/>
    </xf>
    <xf numFmtId="2" fontId="0" fillId="2" borderId="2" xfId="0" applyNumberFormat="1" applyFill="1" applyBorder="1"/>
    <xf numFmtId="2" fontId="0" fillId="0" borderId="3" xfId="0" applyNumberFormat="1" applyBorder="1"/>
    <xf numFmtId="2" fontId="0" fillId="0" borderId="4" xfId="0" applyNumberFormat="1" applyBorder="1"/>
    <xf numFmtId="2" fontId="0" fillId="0" borderId="5" xfId="0" applyNumberFormat="1" applyBorder="1"/>
    <xf numFmtId="2" fontId="0" fillId="0" borderId="7" xfId="0" applyNumberFormat="1" applyBorder="1"/>
    <xf numFmtId="0" fontId="9" fillId="4" borderId="12" xfId="0" applyFont="1" applyFill="1" applyBorder="1" applyAlignment="1">
      <alignment horizontal="center" vertical="center"/>
    </xf>
    <xf numFmtId="0" fontId="9" fillId="4" borderId="13" xfId="0" applyFont="1" applyFill="1" applyBorder="1" applyAlignment="1">
      <alignment horizontal="center" vertical="center"/>
    </xf>
    <xf numFmtId="0" fontId="0" fillId="0" borderId="0" xfId="0" applyAlignment="1">
      <alignment wrapText="1"/>
    </xf>
    <xf numFmtId="0" fontId="2" fillId="2" borderId="14" xfId="0" applyFont="1" applyFill="1" applyBorder="1" applyAlignment="1">
      <alignment horizontal="center" vertical="center"/>
    </xf>
    <xf numFmtId="0" fontId="6"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9" fillId="4" borderId="11" xfId="0" applyFont="1" applyFill="1" applyBorder="1" applyAlignment="1">
      <alignment horizontal="center" vertical="center"/>
    </xf>
    <xf numFmtId="0" fontId="9" fillId="8" borderId="13" xfId="0" applyFont="1" applyFill="1" applyBorder="1" applyAlignment="1">
      <alignment horizontal="center" vertical="center"/>
    </xf>
    <xf numFmtId="0" fontId="9" fillId="8" borderId="11" xfId="0" applyFont="1" applyFill="1" applyBorder="1" applyAlignment="1">
      <alignment horizontal="center" vertical="center"/>
    </xf>
    <xf numFmtId="0" fontId="9" fillId="8" borderId="12"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9" xfId="0" applyFont="1" applyFill="1" applyBorder="1" applyAlignment="1">
      <alignment horizontal="center" vertical="center"/>
    </xf>
    <xf numFmtId="0" fontId="9" fillId="8" borderId="1"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5" fillId="2" borderId="0" xfId="0" applyFont="1" applyFill="1" applyAlignment="1">
      <alignment horizontal="center" vertical="center" wrapText="1"/>
    </xf>
    <xf numFmtId="0" fontId="1" fillId="6" borderId="11" xfId="0" applyFont="1" applyFill="1" applyBorder="1" applyAlignment="1">
      <alignment horizontal="center" vertical="center"/>
    </xf>
    <xf numFmtId="0" fontId="1" fillId="6" borderId="12" xfId="0" applyFont="1" applyFill="1" applyBorder="1" applyAlignment="1">
      <alignment horizontal="center" vertical="center"/>
    </xf>
    <xf numFmtId="0" fontId="1" fillId="6" borderId="13"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2" xfId="0" applyFont="1" applyFill="1" applyBorder="1" applyAlignment="1">
      <alignment horizontal="center" vertical="center"/>
    </xf>
    <xf numFmtId="0" fontId="1" fillId="7" borderId="1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left" vertical="center"/>
    </xf>
    <xf numFmtId="0" fontId="1" fillId="10" borderId="11" xfId="0" applyFont="1" applyFill="1" applyBorder="1" applyAlignment="1">
      <alignment horizontal="center" vertical="center"/>
    </xf>
    <xf numFmtId="0" fontId="1" fillId="10" borderId="12" xfId="0" applyFont="1" applyFill="1" applyBorder="1" applyAlignment="1">
      <alignment horizontal="center" vertical="center"/>
    </xf>
    <xf numFmtId="0" fontId="1" fillId="10" borderId="13" xfId="0" applyFont="1" applyFill="1" applyBorder="1" applyAlignment="1">
      <alignment horizontal="center" vertical="center"/>
    </xf>
    <xf numFmtId="0" fontId="0" fillId="0" borderId="6" xfId="0" applyBorder="1"/>
    <xf numFmtId="0" fontId="0" fillId="0" borderId="9" xfId="0" applyBorder="1"/>
    <xf numFmtId="0" fontId="2"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vertical="center" wrapText="1"/>
    </xf>
    <xf numFmtId="0" fontId="0" fillId="0" borderId="0" xfId="0" applyAlignment="1">
      <alignment horizontal="right" vertical="center"/>
    </xf>
    <xf numFmtId="0" fontId="0" fillId="0" borderId="5" xfId="0" applyBorder="1"/>
    <xf numFmtId="0" fontId="0" fillId="0" borderId="0" xfId="0" applyAlignment="1">
      <alignment horizontal="center"/>
    </xf>
    <xf numFmtId="0" fontId="0" fillId="0" borderId="10" xfId="0" applyBorder="1" applyAlignment="1">
      <alignment vertical="center"/>
    </xf>
    <xf numFmtId="0" fontId="1" fillId="12" borderId="11" xfId="0" applyFont="1" applyFill="1" applyBorder="1" applyAlignment="1">
      <alignment horizontal="center" vertical="center"/>
    </xf>
    <xf numFmtId="0" fontId="1" fillId="12" borderId="12" xfId="0" applyFont="1" applyFill="1" applyBorder="1" applyAlignment="1">
      <alignment horizontal="center" vertical="center"/>
    </xf>
    <xf numFmtId="0" fontId="1" fillId="12" borderId="13" xfId="0" applyFont="1" applyFill="1" applyBorder="1" applyAlignment="1">
      <alignment horizontal="center" vertical="center"/>
    </xf>
    <xf numFmtId="0" fontId="0" fillId="0" borderId="0" xfId="0" quotePrefix="1" applyAlignment="1">
      <alignment horizontal="center" vertical="center"/>
    </xf>
    <xf numFmtId="0" fontId="1" fillId="11" borderId="11" xfId="0" applyFont="1" applyFill="1" applyBorder="1" applyAlignment="1">
      <alignment horizontal="center" vertical="center"/>
    </xf>
    <xf numFmtId="0" fontId="1" fillId="11" borderId="12" xfId="0" applyFont="1" applyFill="1" applyBorder="1" applyAlignment="1">
      <alignment horizontal="center" vertical="center"/>
    </xf>
    <xf numFmtId="0" fontId="1" fillId="11" borderId="13" xfId="0" applyFont="1" applyFill="1" applyBorder="1" applyAlignment="1">
      <alignment horizontal="center" vertical="center"/>
    </xf>
    <xf numFmtId="0" fontId="2" fillId="0" borderId="11" xfId="0" applyFont="1" applyBorder="1"/>
    <xf numFmtId="0" fontId="2" fillId="0" borderId="13" xfId="0" applyFont="1" applyBorder="1"/>
    <xf numFmtId="0" fontId="0" fillId="0" borderId="7" xfId="0" applyBorder="1"/>
    <xf numFmtId="0" fontId="0" fillId="0" borderId="2" xfId="0" applyBorder="1"/>
    <xf numFmtId="0" fontId="0" fillId="0" borderId="4" xfId="0" applyBorder="1"/>
    <xf numFmtId="0" fontId="6" fillId="0" borderId="0" xfId="0" applyFont="1" applyAlignment="1">
      <alignment horizontal="center" vertical="center"/>
    </xf>
    <xf numFmtId="2" fontId="0" fillId="0" borderId="2"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2" fontId="0" fillId="0" borderId="0" xfId="0" applyNumberFormat="1" applyAlignment="1">
      <alignment horizontal="center" vertical="center"/>
    </xf>
    <xf numFmtId="2" fontId="0" fillId="0" borderId="6" xfId="0" applyNumberFormat="1" applyBorder="1" applyAlignment="1">
      <alignment horizontal="center" vertical="center"/>
    </xf>
    <xf numFmtId="2" fontId="0" fillId="0" borderId="8" xfId="0" applyNumberFormat="1" applyBorder="1" applyAlignment="1">
      <alignment horizontal="center" vertical="center"/>
    </xf>
    <xf numFmtId="2" fontId="0" fillId="0" borderId="9" xfId="0" applyNumberFormat="1" applyBorder="1" applyAlignment="1">
      <alignment horizontal="center" vertical="center"/>
    </xf>
    <xf numFmtId="2" fontId="0" fillId="0" borderId="10" xfId="0" applyNumberFormat="1" applyBorder="1" applyAlignment="1">
      <alignment horizontal="center" vertical="center"/>
    </xf>
    <xf numFmtId="2" fontId="0" fillId="0" borderId="15" xfId="0" applyNumberFormat="1" applyBorder="1" applyAlignment="1">
      <alignment horizontal="center" vertical="center"/>
    </xf>
    <xf numFmtId="2" fontId="0" fillId="0" borderId="14" xfId="0" applyNumberFormat="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1" fillId="6" borderId="2"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xf>
    <xf numFmtId="0" fontId="2" fillId="14" borderId="2" xfId="0" applyFont="1" applyFill="1" applyBorder="1" applyAlignment="1">
      <alignment horizontal="center" vertical="center"/>
    </xf>
    <xf numFmtId="0" fontId="2" fillId="14" borderId="3" xfId="0" applyFont="1" applyFill="1" applyBorder="1" applyAlignment="1">
      <alignment horizontal="center" vertical="center"/>
    </xf>
    <xf numFmtId="0" fontId="2" fillId="14" borderId="4" xfId="0" applyFont="1" applyFill="1" applyBorder="1" applyAlignment="1">
      <alignment horizontal="center" vertical="center"/>
    </xf>
    <xf numFmtId="0" fontId="0" fillId="0" borderId="0" xfId="0" applyAlignment="1">
      <alignment horizontal="left"/>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1" fontId="0" fillId="0" borderId="0" xfId="0" applyNumberFormat="1" applyAlignment="1">
      <alignment horizontal="right" vertical="center"/>
    </xf>
    <xf numFmtId="0" fontId="2" fillId="4" borderId="10" xfId="0" applyFont="1" applyFill="1" applyBorder="1"/>
    <xf numFmtId="0" fontId="2" fillId="4" borderId="15" xfId="0" applyFont="1" applyFill="1" applyBorder="1"/>
    <xf numFmtId="0" fontId="2" fillId="5" borderId="15" xfId="0" applyFont="1" applyFill="1" applyBorder="1"/>
    <xf numFmtId="0" fontId="2" fillId="14" borderId="15" xfId="0" applyFont="1" applyFill="1" applyBorder="1"/>
    <xf numFmtId="0" fontId="1" fillId="6" borderId="15" xfId="0" applyFont="1" applyFill="1" applyBorder="1"/>
    <xf numFmtId="0" fontId="1" fillId="10" borderId="15" xfId="0" applyFont="1" applyFill="1" applyBorder="1"/>
    <xf numFmtId="0" fontId="1" fillId="10" borderId="14" xfId="0" applyFont="1" applyFill="1" applyBorder="1"/>
    <xf numFmtId="0" fontId="1" fillId="10" borderId="2" xfId="0" applyFont="1" applyFill="1" applyBorder="1" applyAlignment="1">
      <alignment horizontal="center" vertical="center"/>
    </xf>
    <xf numFmtId="0" fontId="1" fillId="10" borderId="3" xfId="0" applyFont="1" applyFill="1" applyBorder="1" applyAlignment="1">
      <alignment horizontal="center" vertical="center"/>
    </xf>
    <xf numFmtId="0" fontId="1" fillId="10" borderId="4" xfId="0" applyFont="1" applyFill="1" applyBorder="1" applyAlignment="1">
      <alignment horizontal="center" vertical="center"/>
    </xf>
    <xf numFmtId="0" fontId="2" fillId="4" borderId="2" xfId="0" applyFont="1" applyFill="1" applyBorder="1"/>
    <xf numFmtId="0" fontId="2" fillId="4" borderId="5" xfId="0" applyFont="1" applyFill="1" applyBorder="1"/>
    <xf numFmtId="0" fontId="2" fillId="5" borderId="5" xfId="0" applyFont="1" applyFill="1" applyBorder="1"/>
    <xf numFmtId="0" fontId="2" fillId="14" borderId="5" xfId="0" applyFont="1" applyFill="1" applyBorder="1"/>
    <xf numFmtId="0" fontId="1" fillId="6" borderId="14" xfId="0" applyFont="1" applyFill="1" applyBorder="1"/>
    <xf numFmtId="1" fontId="0" fillId="0" borderId="2" xfId="0" applyNumberFormat="1" applyBorder="1"/>
    <xf numFmtId="1" fontId="0" fillId="0" borderId="3" xfId="0" applyNumberFormat="1" applyBorder="1"/>
    <xf numFmtId="1" fontId="0" fillId="0" borderId="4" xfId="0" applyNumberFormat="1" applyBorder="1"/>
    <xf numFmtId="1" fontId="0" fillId="0" borderId="5" xfId="0" applyNumberFormat="1" applyBorder="1"/>
    <xf numFmtId="1" fontId="0" fillId="0" borderId="0" xfId="0" applyNumberFormat="1"/>
    <xf numFmtId="1" fontId="0" fillId="0" borderId="6" xfId="0" applyNumberFormat="1" applyBorder="1"/>
    <xf numFmtId="1" fontId="0" fillId="0" borderId="7" xfId="0" applyNumberFormat="1" applyBorder="1"/>
    <xf numFmtId="1" fontId="0" fillId="0" borderId="8" xfId="0" applyNumberFormat="1" applyBorder="1"/>
    <xf numFmtId="1" fontId="0" fillId="0" borderId="9" xfId="0" applyNumberFormat="1" applyBorder="1"/>
    <xf numFmtId="0" fontId="1" fillId="6" borderId="7" xfId="0" applyFont="1" applyFill="1" applyBorder="1"/>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4" xfId="0" applyFont="1" applyFill="1" applyBorder="1" applyAlignment="1">
      <alignment horizontal="center" vertical="center"/>
    </xf>
    <xf numFmtId="0" fontId="2" fillId="15" borderId="5" xfId="0" applyFont="1" applyFill="1" applyBorder="1"/>
    <xf numFmtId="0" fontId="5" fillId="5" borderId="11" xfId="0" applyFont="1" applyFill="1" applyBorder="1" applyAlignment="1">
      <alignment vertical="center"/>
    </xf>
    <xf numFmtId="0" fontId="5" fillId="4" borderId="11" xfId="0" applyFont="1" applyFill="1" applyBorder="1" applyAlignment="1">
      <alignment vertical="center"/>
    </xf>
    <xf numFmtId="0" fontId="2" fillId="5" borderId="11"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 xfId="0" applyFont="1" applyFill="1" applyBorder="1" applyAlignment="1">
      <alignment horizontal="center" vertical="center"/>
    </xf>
    <xf numFmtId="0" fontId="5" fillId="4" borderId="1" xfId="0" applyFont="1" applyFill="1" applyBorder="1" applyAlignment="1">
      <alignment vertical="center"/>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xf>
    <xf numFmtId="0" fontId="2" fillId="5" borderId="12" xfId="0" applyFont="1" applyFill="1" applyBorder="1" applyAlignment="1">
      <alignment horizontal="center" vertical="center"/>
    </xf>
    <xf numFmtId="0" fontId="2" fillId="5" borderId="13" xfId="0" applyFont="1" applyFill="1" applyBorder="1" applyAlignment="1">
      <alignment horizontal="center" vertical="center"/>
    </xf>
    <xf numFmtId="2" fontId="0" fillId="0" borderId="10" xfId="0" applyNumberFormat="1" applyBorder="1" applyAlignment="1">
      <alignment horizontal="center" vertical="center" wrapText="1"/>
    </xf>
    <xf numFmtId="2" fontId="0" fillId="0" borderId="15" xfId="0" applyNumberFormat="1" applyBorder="1" applyAlignment="1">
      <alignment horizontal="center" vertical="center" wrapText="1"/>
    </xf>
    <xf numFmtId="2" fontId="18" fillId="0" borderId="15" xfId="0" applyNumberFormat="1" applyFont="1" applyBorder="1" applyAlignment="1">
      <alignment horizontal="center" vertical="center"/>
    </xf>
    <xf numFmtId="2" fontId="0" fillId="0" borderId="0" xfId="0" applyNumberFormat="1" applyAlignment="1">
      <alignment horizontal="center" vertical="center" wrapText="1"/>
    </xf>
    <xf numFmtId="2" fontId="7" fillId="0" borderId="5" xfId="0" applyNumberFormat="1" applyFont="1" applyBorder="1" applyAlignment="1">
      <alignment horizontal="center" vertical="center"/>
    </xf>
    <xf numFmtId="2" fontId="7" fillId="0" borderId="0" xfId="0" applyNumberFormat="1" applyFont="1" applyAlignment="1">
      <alignment horizontal="center" vertical="center"/>
    </xf>
    <xf numFmtId="2" fontId="7" fillId="0" borderId="6" xfId="0" applyNumberFormat="1" applyFont="1" applyBorder="1" applyAlignment="1">
      <alignment horizontal="center" vertical="center"/>
    </xf>
    <xf numFmtId="2" fontId="0" fillId="0" borderId="14" xfId="0" applyNumberFormat="1" applyBorder="1" applyAlignment="1">
      <alignment horizontal="center" vertical="center" wrapText="1"/>
    </xf>
    <xf numFmtId="2" fontId="0" fillId="0" borderId="2" xfId="0" applyNumberFormat="1" applyBorder="1" applyAlignment="1">
      <alignment horizontal="center" vertical="center" wrapText="1"/>
    </xf>
    <xf numFmtId="2" fontId="0" fillId="0" borderId="3" xfId="0" applyNumberFormat="1" applyBorder="1" applyAlignment="1">
      <alignment horizontal="center" vertical="center" wrapText="1"/>
    </xf>
    <xf numFmtId="2" fontId="0" fillId="0" borderId="4" xfId="0" applyNumberFormat="1" applyBorder="1" applyAlignment="1">
      <alignment horizontal="center" vertical="center" wrapText="1"/>
    </xf>
    <xf numFmtId="2" fontId="0" fillId="0" borderId="5" xfId="0" applyNumberFormat="1" applyBorder="1" applyAlignment="1">
      <alignment horizontal="center" vertical="center" wrapText="1"/>
    </xf>
    <xf numFmtId="2" fontId="0" fillId="0" borderId="6" xfId="0" applyNumberFormat="1" applyBorder="1" applyAlignment="1">
      <alignment horizontal="center" vertical="center" wrapText="1"/>
    </xf>
    <xf numFmtId="2" fontId="0" fillId="0" borderId="7" xfId="0" applyNumberFormat="1" applyBorder="1" applyAlignment="1">
      <alignment horizontal="center" vertical="center" wrapText="1"/>
    </xf>
    <xf numFmtId="2" fontId="0" fillId="0" borderId="8" xfId="0" applyNumberFormat="1" applyBorder="1" applyAlignment="1">
      <alignment horizontal="center" vertical="center" wrapText="1"/>
    </xf>
    <xf numFmtId="2" fontId="0" fillId="0" borderId="9" xfId="0" applyNumberFormat="1" applyBorder="1" applyAlignment="1">
      <alignment horizontal="center" vertical="center" wrapText="1"/>
    </xf>
    <xf numFmtId="2" fontId="7" fillId="0" borderId="2" xfId="0" applyNumberFormat="1" applyFont="1" applyBorder="1" applyAlignment="1">
      <alignment horizontal="center" vertical="center"/>
    </xf>
    <xf numFmtId="2" fontId="7" fillId="0" borderId="3" xfId="0" applyNumberFormat="1" applyFont="1" applyBorder="1" applyAlignment="1">
      <alignment horizontal="center" vertical="center"/>
    </xf>
    <xf numFmtId="2" fontId="7" fillId="0" borderId="4" xfId="0" applyNumberFormat="1" applyFont="1" applyBorder="1" applyAlignment="1">
      <alignment horizontal="center" vertical="center"/>
    </xf>
    <xf numFmtId="2" fontId="7" fillId="0" borderId="7" xfId="0" applyNumberFormat="1" applyFont="1" applyBorder="1" applyAlignment="1">
      <alignment horizontal="center" vertical="center"/>
    </xf>
    <xf numFmtId="2" fontId="7" fillId="0" borderId="8" xfId="0" applyNumberFormat="1" applyFont="1" applyBorder="1" applyAlignment="1">
      <alignment horizontal="center" vertical="center"/>
    </xf>
    <xf numFmtId="2" fontId="7" fillId="0" borderId="9" xfId="0" applyNumberFormat="1" applyFont="1" applyBorder="1" applyAlignment="1">
      <alignment horizontal="center" vertical="center"/>
    </xf>
    <xf numFmtId="2" fontId="0" fillId="0" borderId="5" xfId="0" quotePrefix="1" applyNumberFormat="1" applyBorder="1"/>
    <xf numFmtId="2" fontId="0" fillId="0" borderId="0" xfId="0" quotePrefix="1" applyNumberFormat="1"/>
    <xf numFmtId="2" fontId="0" fillId="0" borderId="6" xfId="0" quotePrefix="1" applyNumberFormat="1" applyBorder="1"/>
    <xf numFmtId="2" fontId="0" fillId="0" borderId="5" xfId="0" quotePrefix="1" applyNumberFormat="1" applyBorder="1" applyAlignment="1">
      <alignment horizontal="center" vertical="center"/>
    </xf>
    <xf numFmtId="2" fontId="0" fillId="0" borderId="0" xfId="0" quotePrefix="1" applyNumberFormat="1" applyAlignment="1">
      <alignment horizontal="center" vertical="center"/>
    </xf>
    <xf numFmtId="2" fontId="0" fillId="0" borderId="6" xfId="0" quotePrefix="1" applyNumberFormat="1" applyBorder="1" applyAlignment="1">
      <alignment horizontal="center" vertical="center"/>
    </xf>
    <xf numFmtId="2" fontId="0" fillId="0" borderId="15" xfId="0" quotePrefix="1" applyNumberFormat="1" applyBorder="1" applyAlignment="1">
      <alignment horizontal="center" vertical="center"/>
    </xf>
    <xf numFmtId="2" fontId="0" fillId="0" borderId="14" xfId="0" quotePrefix="1" applyNumberFormat="1" applyBorder="1" applyAlignment="1">
      <alignment horizontal="center" vertical="center"/>
    </xf>
    <xf numFmtId="2" fontId="13" fillId="0" borderId="5" xfId="0" applyNumberFormat="1" applyFont="1" applyBorder="1" applyAlignment="1">
      <alignment horizontal="center" vertical="center"/>
    </xf>
    <xf numFmtId="2" fontId="13" fillId="0" borderId="0" xfId="0" applyNumberFormat="1" applyFont="1" applyAlignment="1">
      <alignment horizontal="center" vertical="center"/>
    </xf>
    <xf numFmtId="2" fontId="0" fillId="0" borderId="4" xfId="0" applyNumberFormat="1" applyBorder="1" applyAlignment="1">
      <alignment horizontal="center"/>
    </xf>
    <xf numFmtId="2" fontId="0" fillId="0" borderId="6" xfId="0" applyNumberFormat="1" applyBorder="1" applyAlignment="1">
      <alignment horizontal="center"/>
    </xf>
    <xf numFmtId="2" fontId="0" fillId="0" borderId="0" xfId="0" applyNumberFormat="1" applyAlignment="1">
      <alignment horizontal="center"/>
    </xf>
    <xf numFmtId="2" fontId="8" fillId="0" borderId="5" xfId="0" applyNumberFormat="1" applyFont="1" applyBorder="1" applyAlignment="1">
      <alignment horizontal="center" vertical="center"/>
    </xf>
    <xf numFmtId="2" fontId="8" fillId="0" borderId="0" xfId="0" applyNumberFormat="1" applyFont="1" applyAlignment="1">
      <alignment horizontal="center" vertical="center"/>
    </xf>
    <xf numFmtId="2" fontId="8" fillId="0" borderId="6" xfId="0" applyNumberFormat="1" applyFont="1" applyBorder="1" applyAlignment="1">
      <alignment horizontal="center" vertical="center"/>
    </xf>
    <xf numFmtId="2" fontId="13" fillId="0" borderId="6" xfId="0" applyNumberFormat="1" applyFont="1" applyBorder="1" applyAlignment="1">
      <alignment horizontal="center" vertical="center"/>
    </xf>
    <xf numFmtId="2" fontId="12" fillId="0" borderId="0" xfId="0" applyNumberFormat="1" applyFont="1" applyAlignment="1">
      <alignment horizontal="center" vertical="center"/>
    </xf>
    <xf numFmtId="2" fontId="11" fillId="0" borderId="5" xfId="0" applyNumberFormat="1" applyFont="1" applyBorder="1" applyAlignment="1">
      <alignment horizontal="center" vertical="center"/>
    </xf>
    <xf numFmtId="2" fontId="11" fillId="0" borderId="0" xfId="0" applyNumberFormat="1" applyFont="1" applyAlignment="1">
      <alignment horizontal="center" vertical="center"/>
    </xf>
    <xf numFmtId="0" fontId="5" fillId="2" borderId="2" xfId="0" applyFont="1" applyFill="1" applyBorder="1" applyAlignment="1">
      <alignment horizontal="center" vertical="center" wrapText="1"/>
    </xf>
    <xf numFmtId="0" fontId="27" fillId="0" borderId="0" xfId="0" applyFont="1" applyAlignment="1">
      <alignment horizontal="left" vertical="center"/>
    </xf>
    <xf numFmtId="165" fontId="0" fillId="0" borderId="5" xfId="0" applyNumberFormat="1" applyBorder="1" applyAlignment="1">
      <alignment horizontal="center" vertical="center"/>
    </xf>
    <xf numFmtId="165" fontId="0" fillId="0" borderId="6" xfId="0" applyNumberFormat="1" applyBorder="1" applyAlignment="1">
      <alignment horizontal="center" vertical="center"/>
    </xf>
    <xf numFmtId="165" fontId="0" fillId="0" borderId="7" xfId="0" applyNumberFormat="1" applyBorder="1" applyAlignment="1">
      <alignment horizontal="center" vertical="center"/>
    </xf>
    <xf numFmtId="165" fontId="0" fillId="0" borderId="8" xfId="0" applyNumberFormat="1" applyBorder="1" applyAlignment="1">
      <alignment horizontal="center" vertical="center"/>
    </xf>
    <xf numFmtId="165" fontId="0" fillId="0" borderId="9" xfId="0" applyNumberFormat="1" applyBorder="1" applyAlignment="1">
      <alignment horizontal="center" vertical="center"/>
    </xf>
    <xf numFmtId="165" fontId="0" fillId="0" borderId="0" xfId="0" applyNumberFormat="1" applyAlignment="1">
      <alignment horizontal="center" vertical="center"/>
    </xf>
    <xf numFmtId="0" fontId="8" fillId="0" borderId="0" xfId="0" applyFont="1" applyAlignment="1">
      <alignment horizontal="center" vertical="center"/>
    </xf>
    <xf numFmtId="166" fontId="0" fillId="0" borderId="2" xfId="0" applyNumberFormat="1" applyBorder="1" applyAlignment="1">
      <alignment horizontal="center" vertical="center"/>
    </xf>
    <xf numFmtId="166" fontId="0" fillId="0" borderId="3" xfId="0" applyNumberFormat="1" applyBorder="1" applyAlignment="1">
      <alignment horizontal="center" vertical="center"/>
    </xf>
    <xf numFmtId="166" fontId="0" fillId="0" borderId="4" xfId="0" applyNumberFormat="1" applyBorder="1" applyAlignment="1">
      <alignment horizontal="center" vertical="center"/>
    </xf>
    <xf numFmtId="166" fontId="0" fillId="0" borderId="5" xfId="0" applyNumberFormat="1" applyBorder="1" applyAlignment="1">
      <alignment horizontal="center" vertical="center"/>
    </xf>
    <xf numFmtId="166" fontId="0" fillId="0" borderId="0" xfId="0" applyNumberFormat="1" applyAlignment="1">
      <alignment horizontal="center" vertical="center"/>
    </xf>
    <xf numFmtId="166" fontId="0" fillId="0" borderId="6" xfId="0" applyNumberFormat="1" applyBorder="1" applyAlignment="1">
      <alignment horizontal="center" vertical="center"/>
    </xf>
    <xf numFmtId="0" fontId="4" fillId="7" borderId="1" xfId="0" applyFont="1" applyFill="1" applyBorder="1" applyAlignment="1">
      <alignment vertical="center"/>
    </xf>
    <xf numFmtId="0" fontId="4" fillId="10" borderId="11" xfId="0" applyFont="1" applyFill="1" applyBorder="1" applyAlignment="1">
      <alignment horizontal="center" vertical="center"/>
    </xf>
    <xf numFmtId="0" fontId="4" fillId="10" borderId="12" xfId="0" applyFont="1" applyFill="1" applyBorder="1" applyAlignment="1">
      <alignment horizontal="center" vertical="center"/>
    </xf>
    <xf numFmtId="0" fontId="4" fillId="10" borderId="13" xfId="0" applyFont="1" applyFill="1" applyBorder="1" applyAlignment="1">
      <alignment horizontal="center" vertical="center"/>
    </xf>
    <xf numFmtId="0" fontId="0" fillId="0" borderId="16" xfId="0" applyBorder="1"/>
    <xf numFmtId="0" fontId="3" fillId="0" borderId="16" xfId="0" applyFont="1" applyBorder="1" applyAlignment="1">
      <alignment horizontal="left" vertical="top" wrapText="1"/>
    </xf>
    <xf numFmtId="0" fontId="3" fillId="0" borderId="16" xfId="0" applyFont="1" applyBorder="1" applyAlignment="1">
      <alignment vertical="top"/>
    </xf>
    <xf numFmtId="0" fontId="17" fillId="0" borderId="16" xfId="1" applyFont="1" applyBorder="1"/>
    <xf numFmtId="0" fontId="0" fillId="5" borderId="16" xfId="0" applyFill="1" applyBorder="1"/>
    <xf numFmtId="0" fontId="0" fillId="4" borderId="16" xfId="0" applyFill="1" applyBorder="1"/>
    <xf numFmtId="0" fontId="0" fillId="10" borderId="16" xfId="0" applyFill="1" applyBorder="1"/>
    <xf numFmtId="0" fontId="0" fillId="8" borderId="16" xfId="0" applyFill="1" applyBorder="1"/>
    <xf numFmtId="0" fontId="0" fillId="6" borderId="16" xfId="0" applyFill="1" applyBorder="1"/>
    <xf numFmtId="0" fontId="0" fillId="7" borderId="16" xfId="0" applyFill="1" applyBorder="1"/>
    <xf numFmtId="0" fontId="0" fillId="12" borderId="16" xfId="0" applyFill="1" applyBorder="1"/>
    <xf numFmtId="0" fontId="0" fillId="0" borderId="17" xfId="0" applyBorder="1"/>
    <xf numFmtId="0" fontId="17" fillId="0" borderId="17" xfId="1" applyFont="1" applyBorder="1"/>
    <xf numFmtId="0" fontId="0" fillId="0" borderId="18" xfId="0" applyBorder="1"/>
    <xf numFmtId="0" fontId="0" fillId="5" borderId="17" xfId="0" applyFill="1" applyBorder="1"/>
    <xf numFmtId="0" fontId="0" fillId="11" borderId="18" xfId="0" applyFill="1" applyBorder="1"/>
    <xf numFmtId="0" fontId="17" fillId="0" borderId="18" xfId="1" applyFont="1" applyBorder="1"/>
    <xf numFmtId="0" fontId="3" fillId="0" borderId="18" xfId="0" applyFont="1" applyBorder="1" applyAlignment="1">
      <alignment horizontal="left" vertical="top" wrapText="1"/>
    </xf>
    <xf numFmtId="0" fontId="29" fillId="17" borderId="21" xfId="0" applyFont="1" applyFill="1" applyBorder="1"/>
    <xf numFmtId="0" fontId="0" fillId="17" borderId="22" xfId="0" applyFill="1" applyBorder="1"/>
    <xf numFmtId="0" fontId="0" fillId="17" borderId="19" xfId="0" applyFill="1" applyBorder="1"/>
    <xf numFmtId="0" fontId="0" fillId="17" borderId="23" xfId="0" applyFill="1" applyBorder="1"/>
    <xf numFmtId="0" fontId="0" fillId="17" borderId="24" xfId="0" applyFill="1" applyBorder="1"/>
    <xf numFmtId="0" fontId="0" fillId="17" borderId="20" xfId="0" applyFill="1" applyBorder="1"/>
    <xf numFmtId="0" fontId="0" fillId="17" borderId="25" xfId="0" applyFill="1" applyBorder="1"/>
    <xf numFmtId="0" fontId="0" fillId="18" borderId="18" xfId="0" applyFill="1" applyBorder="1"/>
    <xf numFmtId="0" fontId="12" fillId="0" borderId="0" xfId="0" applyFont="1"/>
    <xf numFmtId="0" fontId="29" fillId="0" borderId="19" xfId="0" applyFont="1" applyBorder="1" applyAlignment="1">
      <alignment horizontal="left" vertical="top" wrapText="1"/>
    </xf>
    <xf numFmtId="0" fontId="29" fillId="0" borderId="20" xfId="0" applyFont="1" applyBorder="1" applyAlignment="1">
      <alignment horizontal="left" vertical="top" wrapText="1"/>
    </xf>
    <xf numFmtId="0" fontId="29" fillId="0" borderId="21" xfId="0" applyFont="1" applyBorder="1" applyAlignment="1">
      <alignment horizontal="left" vertical="top" wrapText="1"/>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7"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3" fillId="2" borderId="10" xfId="0" applyFont="1" applyFill="1" applyBorder="1" applyAlignment="1">
      <alignment horizontal="center" vertical="center"/>
    </xf>
    <xf numFmtId="0" fontId="3" fillId="2" borderId="14"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2" fillId="2" borderId="10" xfId="0" applyFont="1" applyFill="1" applyBorder="1" applyAlignment="1">
      <alignment horizontal="center" vertical="center"/>
    </xf>
    <xf numFmtId="0" fontId="2" fillId="2" borderId="14" xfId="0" applyFont="1" applyFill="1" applyBorder="1" applyAlignment="1">
      <alignment horizontal="center" vertical="center"/>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4" fillId="10" borderId="3"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4" fillId="10" borderId="11" xfId="0" applyFont="1" applyFill="1" applyBorder="1" applyAlignment="1">
      <alignment horizontal="center" vertical="center"/>
    </xf>
    <xf numFmtId="0" fontId="4" fillId="10" borderId="12" xfId="0" applyFont="1" applyFill="1" applyBorder="1" applyAlignment="1">
      <alignment horizontal="center" vertical="center"/>
    </xf>
    <xf numFmtId="0" fontId="4" fillId="10" borderId="13" xfId="0" applyFont="1" applyFill="1" applyBorder="1" applyAlignment="1">
      <alignment horizontal="center" vertical="center"/>
    </xf>
    <xf numFmtId="0" fontId="5" fillId="8" borderId="11" xfId="0" applyFont="1" applyFill="1" applyBorder="1" applyAlignment="1">
      <alignment horizontal="center" vertical="center" wrapText="1"/>
    </xf>
    <xf numFmtId="0" fontId="5" fillId="8" borderId="12"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2" xfId="0" applyFont="1" applyFill="1" applyBorder="1" applyAlignment="1">
      <alignment horizontal="center" vertical="center"/>
    </xf>
    <xf numFmtId="0" fontId="5" fillId="8" borderId="3" xfId="0" applyFont="1" applyFill="1" applyBorder="1" applyAlignment="1">
      <alignment horizontal="center" vertical="center"/>
    </xf>
    <xf numFmtId="0" fontId="5" fillId="8" borderId="4" xfId="0" applyFont="1" applyFill="1" applyBorder="1" applyAlignment="1">
      <alignment horizontal="center" vertical="center"/>
    </xf>
    <xf numFmtId="0" fontId="4" fillId="6" borderId="11" xfId="0" applyFont="1" applyFill="1" applyBorder="1" applyAlignment="1">
      <alignment horizontal="center" vertical="center"/>
    </xf>
    <xf numFmtId="0" fontId="4" fillId="6" borderId="12" xfId="0" applyFont="1" applyFill="1" applyBorder="1" applyAlignment="1">
      <alignment horizontal="center" vertical="center"/>
    </xf>
    <xf numFmtId="0" fontId="4" fillId="6" borderId="13"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4"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4"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xf numFmtId="0" fontId="4" fillId="12" borderId="2" xfId="0" applyFont="1" applyFill="1" applyBorder="1" applyAlignment="1">
      <alignment horizontal="center" vertical="center"/>
    </xf>
    <xf numFmtId="0" fontId="4" fillId="12" borderId="3" xfId="0" applyFont="1" applyFill="1" applyBorder="1" applyAlignment="1">
      <alignment horizontal="center" vertical="center"/>
    </xf>
    <xf numFmtId="0" fontId="4" fillId="12" borderId="4"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4" fillId="11" borderId="2" xfId="0" applyFont="1" applyFill="1" applyBorder="1" applyAlignment="1">
      <alignment horizontal="center" vertical="center"/>
    </xf>
    <xf numFmtId="0" fontId="4" fillId="11" borderId="3" xfId="0" applyFont="1" applyFill="1" applyBorder="1" applyAlignment="1">
      <alignment horizontal="center" vertical="center"/>
    </xf>
    <xf numFmtId="0" fontId="4" fillId="11" borderId="4"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4" fillId="7" borderId="11" xfId="0" applyFont="1" applyFill="1" applyBorder="1" applyAlignment="1">
      <alignment horizontal="center" vertical="center"/>
    </xf>
    <xf numFmtId="0" fontId="4" fillId="7" borderId="12" xfId="0" applyFont="1" applyFill="1" applyBorder="1" applyAlignment="1">
      <alignment horizontal="center" vertical="center"/>
    </xf>
    <xf numFmtId="0" fontId="4" fillId="7" borderId="13" xfId="0" applyFont="1" applyFill="1" applyBorder="1" applyAlignment="1">
      <alignment horizontal="center" vertical="center"/>
    </xf>
    <xf numFmtId="0" fontId="3" fillId="2" borderId="15" xfId="0" applyFont="1" applyFill="1" applyBorder="1" applyAlignment="1">
      <alignment horizontal="center" vertical="center"/>
    </xf>
    <xf numFmtId="0" fontId="15" fillId="9" borderId="11" xfId="0" applyFont="1" applyFill="1" applyBorder="1" applyAlignment="1">
      <alignment horizontal="center"/>
    </xf>
    <xf numFmtId="0" fontId="15" fillId="9" borderId="12" xfId="0" applyFont="1" applyFill="1" applyBorder="1" applyAlignment="1">
      <alignment horizontal="center"/>
    </xf>
    <xf numFmtId="0" fontId="15" fillId="9" borderId="13" xfId="0" applyFont="1" applyFill="1" applyBorder="1" applyAlignment="1">
      <alignment horizontal="center"/>
    </xf>
    <xf numFmtId="0" fontId="4" fillId="6" borderId="11" xfId="0" applyFont="1" applyFill="1" applyBorder="1" applyAlignment="1">
      <alignment horizontal="center"/>
    </xf>
    <xf numFmtId="0" fontId="4" fillId="6" borderId="12" xfId="0" applyFont="1" applyFill="1" applyBorder="1" applyAlignment="1">
      <alignment horizontal="center"/>
    </xf>
    <xf numFmtId="0" fontId="15" fillId="4" borderId="11" xfId="0" applyFont="1" applyFill="1" applyBorder="1" applyAlignment="1">
      <alignment horizontal="center"/>
    </xf>
    <xf numFmtId="0" fontId="15" fillId="4" borderId="12" xfId="0" applyFont="1" applyFill="1" applyBorder="1" applyAlignment="1">
      <alignment horizontal="center"/>
    </xf>
    <xf numFmtId="0" fontId="15" fillId="4" borderId="13" xfId="0" applyFont="1" applyFill="1" applyBorder="1" applyAlignment="1">
      <alignment horizontal="center"/>
    </xf>
    <xf numFmtId="0" fontId="15" fillId="5" borderId="11" xfId="0" applyFont="1" applyFill="1" applyBorder="1" applyAlignment="1">
      <alignment horizontal="center"/>
    </xf>
    <xf numFmtId="0" fontId="15" fillId="5" borderId="12" xfId="0" applyFont="1" applyFill="1" applyBorder="1" applyAlignment="1">
      <alignment horizontal="center"/>
    </xf>
    <xf numFmtId="0" fontId="15" fillId="5" borderId="13" xfId="0" applyFont="1" applyFill="1" applyBorder="1" applyAlignment="1">
      <alignment horizontal="center"/>
    </xf>
    <xf numFmtId="0" fontId="4" fillId="10" borderId="11" xfId="0" applyFont="1" applyFill="1" applyBorder="1" applyAlignment="1">
      <alignment horizontal="center"/>
    </xf>
    <xf numFmtId="0" fontId="4" fillId="10" borderId="12" xfId="0" applyFont="1" applyFill="1" applyBorder="1" applyAlignment="1">
      <alignment horizontal="center"/>
    </xf>
    <xf numFmtId="0" fontId="4" fillId="10" borderId="13" xfId="0" applyFont="1" applyFill="1" applyBorder="1" applyAlignment="1">
      <alignment horizontal="center"/>
    </xf>
    <xf numFmtId="0" fontId="5" fillId="12" borderId="11" xfId="0" applyFont="1" applyFill="1" applyBorder="1" applyAlignment="1">
      <alignment horizontal="center" vertical="center"/>
    </xf>
    <xf numFmtId="0" fontId="5" fillId="12" borderId="12" xfId="0" applyFont="1" applyFill="1" applyBorder="1" applyAlignment="1">
      <alignment horizontal="center" vertical="center"/>
    </xf>
    <xf numFmtId="0" fontId="5" fillId="12" borderId="13" xfId="0" applyFont="1" applyFill="1" applyBorder="1" applyAlignment="1">
      <alignment horizontal="center" vertical="center"/>
    </xf>
    <xf numFmtId="0" fontId="4" fillId="13" borderId="11" xfId="0" applyFont="1" applyFill="1" applyBorder="1" applyAlignment="1">
      <alignment horizontal="center" vertical="center"/>
    </xf>
    <xf numFmtId="0" fontId="4" fillId="13" borderId="13" xfId="0" applyFont="1" applyFill="1" applyBorder="1" applyAlignment="1">
      <alignment horizontal="center" vertical="center"/>
    </xf>
    <xf numFmtId="0" fontId="4" fillId="13" borderId="12" xfId="0" applyFont="1" applyFill="1" applyBorder="1" applyAlignment="1">
      <alignment horizontal="center" vertical="center"/>
    </xf>
    <xf numFmtId="0" fontId="5" fillId="14" borderId="11" xfId="0" applyFont="1" applyFill="1" applyBorder="1" applyAlignment="1">
      <alignment horizontal="center" vertical="center"/>
    </xf>
    <xf numFmtId="0" fontId="5" fillId="14" borderId="12" xfId="0" applyFont="1" applyFill="1" applyBorder="1" applyAlignment="1">
      <alignment horizontal="center" vertical="center"/>
    </xf>
    <xf numFmtId="0" fontId="5" fillId="14" borderId="13"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13" xfId="0" applyFont="1" applyFill="1" applyBorder="1" applyAlignment="1">
      <alignment horizontal="center" vertical="center"/>
    </xf>
    <xf numFmtId="0" fontId="4" fillId="6" borderId="13" xfId="0" applyFont="1" applyFill="1" applyBorder="1" applyAlignment="1">
      <alignment horizontal="center"/>
    </xf>
    <xf numFmtId="0" fontId="15" fillId="14" borderId="11" xfId="0" applyFont="1" applyFill="1" applyBorder="1" applyAlignment="1">
      <alignment horizontal="center"/>
    </xf>
    <xf numFmtId="0" fontId="15" fillId="14" borderId="12" xfId="0" applyFont="1" applyFill="1" applyBorder="1" applyAlignment="1">
      <alignment horizontal="center"/>
    </xf>
    <xf numFmtId="0" fontId="15" fillId="14" borderId="13" xfId="0" applyFont="1" applyFill="1" applyBorder="1" applyAlignment="1">
      <alignment horizontal="center"/>
    </xf>
    <xf numFmtId="0" fontId="5" fillId="14" borderId="11" xfId="0" applyFont="1" applyFill="1" applyBorder="1" applyAlignment="1">
      <alignment horizontal="center" vertical="center" wrapText="1"/>
    </xf>
    <xf numFmtId="0" fontId="5" fillId="14" borderId="12" xfId="0" applyFont="1" applyFill="1" applyBorder="1" applyAlignment="1">
      <alignment horizontal="center" vertical="center" wrapText="1"/>
    </xf>
    <xf numFmtId="0" fontId="5" fillId="14" borderId="13" xfId="0" applyFont="1" applyFill="1" applyBorder="1" applyAlignment="1">
      <alignment horizontal="center" vertical="center" wrapText="1"/>
    </xf>
    <xf numFmtId="0" fontId="15" fillId="2" borderId="10" xfId="0" applyFont="1" applyFill="1" applyBorder="1" applyAlignment="1">
      <alignment horizontal="center" vertical="center"/>
    </xf>
    <xf numFmtId="0" fontId="15" fillId="2" borderId="14" xfId="0" applyFont="1" applyFill="1" applyBorder="1" applyAlignment="1">
      <alignment horizontal="center" vertical="center"/>
    </xf>
    <xf numFmtId="0" fontId="15" fillId="2" borderId="11" xfId="0" applyFont="1" applyFill="1" applyBorder="1" applyAlignment="1">
      <alignment horizontal="center"/>
    </xf>
    <xf numFmtId="0" fontId="15" fillId="2" borderId="12" xfId="0" applyFont="1" applyFill="1" applyBorder="1" applyAlignment="1">
      <alignment horizontal="center"/>
    </xf>
    <xf numFmtId="0" fontId="15" fillId="2" borderId="13" xfId="0" applyFont="1" applyFill="1" applyBorder="1" applyAlignment="1">
      <alignment horizontal="center"/>
    </xf>
    <xf numFmtId="0" fontId="4" fillId="7" borderId="11" xfId="0" applyFont="1" applyFill="1" applyBorder="1" applyAlignment="1">
      <alignment horizontal="center" vertical="center" wrapText="1"/>
    </xf>
    <xf numFmtId="0" fontId="4" fillId="7" borderId="12"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4" fillId="10" borderId="11" xfId="0" applyFont="1" applyFill="1" applyBorder="1" applyAlignment="1">
      <alignment horizontal="center" vertical="center" wrapText="1"/>
    </xf>
    <xf numFmtId="0" fontId="4" fillId="10" borderId="12" xfId="0" applyFont="1" applyFill="1" applyBorder="1" applyAlignment="1">
      <alignment horizontal="center" vertical="center" wrapText="1"/>
    </xf>
    <xf numFmtId="0" fontId="4" fillId="10" borderId="13" xfId="0" applyFont="1" applyFill="1" applyBorder="1" applyAlignment="1">
      <alignment horizontal="center" vertical="center" wrapText="1"/>
    </xf>
    <xf numFmtId="0" fontId="0" fillId="0" borderId="0" xfId="0" applyAlignment="1">
      <alignment horizontal="left" wrapText="1"/>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5" fillId="14" borderId="10" xfId="0" applyFont="1" applyFill="1" applyBorder="1" applyAlignment="1">
      <alignment horizontal="center" vertical="center" wrapText="1"/>
    </xf>
    <xf numFmtId="0" fontId="5" fillId="14" borderId="14"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14" xfId="0" applyFont="1" applyFill="1" applyBorder="1" applyAlignment="1">
      <alignment horizontal="center" vertical="center" wrapText="1"/>
    </xf>
    <xf numFmtId="0" fontId="4" fillId="10" borderId="10" xfId="0" applyFont="1" applyFill="1" applyBorder="1" applyAlignment="1">
      <alignment horizontal="center" vertical="center"/>
    </xf>
    <xf numFmtId="0" fontId="4" fillId="10" borderId="14" xfId="0" applyFont="1" applyFill="1" applyBorder="1" applyAlignment="1">
      <alignment horizontal="center" vertical="center"/>
    </xf>
    <xf numFmtId="0" fontId="2" fillId="5" borderId="11" xfId="0" applyFont="1" applyFill="1" applyBorder="1" applyAlignment="1">
      <alignment horizontal="center" vertical="center"/>
    </xf>
    <xf numFmtId="0" fontId="2" fillId="5" borderId="12" xfId="0" applyFont="1" applyFill="1" applyBorder="1" applyAlignment="1">
      <alignment horizontal="center" vertical="center"/>
    </xf>
    <xf numFmtId="0" fontId="2" fillId="5" borderId="13"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13" xfId="0" applyFont="1" applyFill="1" applyBorder="1" applyAlignment="1">
      <alignment horizontal="center" vertical="center"/>
    </xf>
    <xf numFmtId="0" fontId="15" fillId="2" borderId="11" xfId="0" applyFont="1" applyFill="1" applyBorder="1" applyAlignment="1">
      <alignment horizontal="center" vertical="center"/>
    </xf>
    <xf numFmtId="0" fontId="15" fillId="2" borderId="12" xfId="0" applyFont="1" applyFill="1" applyBorder="1" applyAlignment="1">
      <alignment horizontal="center" vertical="center"/>
    </xf>
    <xf numFmtId="0" fontId="15" fillId="2" borderId="13" xfId="0" applyFont="1" applyFill="1" applyBorder="1" applyAlignment="1">
      <alignment horizontal="center" vertical="center"/>
    </xf>
    <xf numFmtId="0" fontId="5" fillId="8" borderId="11" xfId="0" applyFont="1" applyFill="1" applyBorder="1" applyAlignment="1">
      <alignment horizontal="center" vertical="center"/>
    </xf>
    <xf numFmtId="0" fontId="5" fillId="8" borderId="12" xfId="0" applyFont="1" applyFill="1" applyBorder="1" applyAlignment="1">
      <alignment horizontal="center" vertical="center"/>
    </xf>
    <xf numFmtId="0" fontId="5" fillId="8" borderId="13" xfId="0" applyFont="1" applyFill="1" applyBorder="1" applyAlignment="1">
      <alignment horizontal="center" vertical="center"/>
    </xf>
    <xf numFmtId="0" fontId="4" fillId="16" borderId="2" xfId="0" applyFont="1" applyFill="1" applyBorder="1" applyAlignment="1">
      <alignment horizontal="center" vertical="center"/>
    </xf>
    <xf numFmtId="0" fontId="4" fillId="16" borderId="3" xfId="0" applyFont="1" applyFill="1" applyBorder="1" applyAlignment="1">
      <alignment horizontal="center" vertical="center"/>
    </xf>
    <xf numFmtId="0" fontId="4" fillId="16" borderId="4" xfId="0" applyFont="1" applyFill="1" applyBorder="1" applyAlignment="1">
      <alignment horizontal="center" vertical="center"/>
    </xf>
    <xf numFmtId="0" fontId="4" fillId="16" borderId="7" xfId="0" applyFont="1" applyFill="1" applyBorder="1" applyAlignment="1">
      <alignment horizontal="center" vertical="center"/>
    </xf>
    <xf numFmtId="0" fontId="4" fillId="16" borderId="8" xfId="0" applyFont="1" applyFill="1" applyBorder="1" applyAlignment="1">
      <alignment horizontal="center" vertical="center"/>
    </xf>
    <xf numFmtId="0" fontId="4" fillId="16" borderId="9"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5" fillId="8" borderId="7"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9"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9"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0" xfId="0" applyFont="1" applyFill="1" applyAlignment="1">
      <alignment horizontal="center" vertical="center"/>
    </xf>
    <xf numFmtId="0" fontId="4" fillId="7" borderId="6" xfId="0" applyFont="1" applyFill="1" applyBorder="1" applyAlignment="1">
      <alignment horizontal="center" vertical="center"/>
    </xf>
    <xf numFmtId="0" fontId="4" fillId="12" borderId="7" xfId="0" applyFont="1" applyFill="1" applyBorder="1" applyAlignment="1">
      <alignment horizontal="center" vertical="center"/>
    </xf>
    <xf numFmtId="0" fontId="4" fillId="12" borderId="8" xfId="0" applyFont="1" applyFill="1" applyBorder="1" applyAlignment="1">
      <alignment horizontal="center" vertical="center"/>
    </xf>
    <xf numFmtId="0" fontId="4" fillId="12" borderId="9" xfId="0" applyFont="1" applyFill="1" applyBorder="1" applyAlignment="1">
      <alignment horizontal="center" vertical="center"/>
    </xf>
    <xf numFmtId="0" fontId="4" fillId="11" borderId="7" xfId="0" applyFont="1" applyFill="1" applyBorder="1" applyAlignment="1">
      <alignment horizontal="center" vertical="center"/>
    </xf>
    <xf numFmtId="0" fontId="4" fillId="11" borderId="8" xfId="0" applyFont="1" applyFill="1" applyBorder="1" applyAlignment="1">
      <alignment horizontal="center" vertical="center"/>
    </xf>
    <xf numFmtId="0" fontId="4" fillId="11" borderId="9" xfId="0" applyFont="1" applyFill="1" applyBorder="1" applyAlignment="1">
      <alignment horizontal="center" vertical="center"/>
    </xf>
    <xf numFmtId="0" fontId="4" fillId="7" borderId="7" xfId="0" applyFont="1" applyFill="1" applyBorder="1" applyAlignment="1">
      <alignment horizontal="center" vertical="center"/>
    </xf>
    <xf numFmtId="0" fontId="4" fillId="7" borderId="8" xfId="0" applyFont="1" applyFill="1" applyBorder="1" applyAlignment="1">
      <alignment horizontal="center" vertical="center"/>
    </xf>
    <xf numFmtId="0" fontId="4" fillId="7" borderId="9" xfId="0" applyFont="1" applyFill="1" applyBorder="1" applyAlignment="1">
      <alignment horizontal="center" vertical="center"/>
    </xf>
    <xf numFmtId="0" fontId="4" fillId="16" borderId="11" xfId="0" applyFont="1" applyFill="1" applyBorder="1" applyAlignment="1">
      <alignment horizontal="center" vertical="center"/>
    </xf>
    <xf numFmtId="0" fontId="4" fillId="16" borderId="12" xfId="0" applyFont="1" applyFill="1" applyBorder="1" applyAlignment="1">
      <alignment horizontal="center" vertical="center"/>
    </xf>
    <xf numFmtId="0" fontId="4" fillId="16" borderId="13" xfId="0" applyFont="1" applyFill="1" applyBorder="1" applyAlignment="1">
      <alignment horizontal="center" vertical="center"/>
    </xf>
    <xf numFmtId="0" fontId="0" fillId="0" borderId="26" xfId="0" applyBorder="1"/>
    <xf numFmtId="0" fontId="17" fillId="0" borderId="27" xfId="1" applyFont="1" applyBorder="1"/>
    <xf numFmtId="0" fontId="30" fillId="0" borderId="28" xfId="0" applyFont="1" applyBorder="1" applyAlignment="1">
      <alignment horizontal="left" vertical="top" wrapText="1"/>
    </xf>
    <xf numFmtId="0" fontId="30" fillId="0" borderId="29" xfId="0" applyFont="1" applyBorder="1" applyAlignment="1">
      <alignment horizontal="left" vertical="top" wrapText="1"/>
    </xf>
    <xf numFmtId="0" fontId="30" fillId="0" borderId="30" xfId="0" applyFont="1" applyBorder="1" applyAlignment="1">
      <alignment horizontal="left" vertical="top" wrapText="1"/>
    </xf>
    <xf numFmtId="0" fontId="0" fillId="17" borderId="31" xfId="0" applyFill="1" applyBorder="1"/>
    <xf numFmtId="0" fontId="29" fillId="17" borderId="32" xfId="0" applyFont="1" applyFill="1" applyBorder="1"/>
    <xf numFmtId="0" fontId="0" fillId="17" borderId="33" xfId="0" applyFill="1" applyBorder="1"/>
    <xf numFmtId="0" fontId="0" fillId="17" borderId="34" xfId="0" applyFill="1" applyBorder="1"/>
    <xf numFmtId="0" fontId="0" fillId="17" borderId="35" xfId="0" applyFill="1" applyBorder="1"/>
    <xf numFmtId="0" fontId="0" fillId="17" borderId="36" xfId="0" applyFill="1" applyBorder="1"/>
    <xf numFmtId="0" fontId="0" fillId="17" borderId="37" xfId="0" applyFill="1" applyBorder="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D5F700"/>
      <color rgb="FFD5D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9" Type="http://schemas.openxmlformats.org/officeDocument/2006/relationships/customXml" Target="../customXml/item4.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microsoft.com/office/2017/06/relationships/rdSupportingPropertyBag" Target="richData/rdsupportingpropertybag.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17/06/relationships/rdSupportingPropertyBagStructure" Target="richData/rdsupportingpropertybagstructure.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20/07/relationships/rdRichValueWebImage" Target="richData/rdRichValueWebImage.xml"/><Relationship Id="rId30" Type="http://schemas.microsoft.com/office/2017/06/relationships/rdArray" Target="richData/rdarray.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Rome" TargetMode="External"/><Relationship Id="rId3" Type="http://schemas.openxmlformats.org/officeDocument/2006/relationships/hyperlink" Target="https://www.bing.com/th?id=OSK.5296ec5cd8da4b9ffade186091924175&amp;qlt=95" TargetMode="External"/><Relationship Id="rId7" Type="http://schemas.openxmlformats.org/officeDocument/2006/relationships/hyperlink" Target="https://www.bing.com/th?id=OSK.54ba4c8c5319b233d595ced38fbabcd1&amp;qlt=95" TargetMode="External"/><Relationship Id="rId12" Type="http://schemas.openxmlformats.org/officeDocument/2006/relationships/hyperlink" Target="https://www.bing.com/images/search?form=xlimg&amp;q=Helsinki" TargetMode="External"/><Relationship Id="rId2" Type="http://schemas.openxmlformats.org/officeDocument/2006/relationships/hyperlink" Target="https://www.bing.com/images/search?form=xlimg&amp;q=London" TargetMode="External"/><Relationship Id="rId1" Type="http://schemas.openxmlformats.org/officeDocument/2006/relationships/hyperlink" Target="https://www.bing.com/th?id=OSK.3666846595b7a7ef3fd0663d5b9791f3&amp;qlt=95" TargetMode="External"/><Relationship Id="rId6" Type="http://schemas.openxmlformats.org/officeDocument/2006/relationships/hyperlink" Target="https://www.bing.com/images/search?form=xlimg&amp;q=Toulouse" TargetMode="External"/><Relationship Id="rId11" Type="http://schemas.openxmlformats.org/officeDocument/2006/relationships/hyperlink" Target="https://www.bing.com/th?id=OSK.f3a86a6401fdcd147e6cde20003aa234&amp;qlt=95" TargetMode="External"/><Relationship Id="rId5" Type="http://schemas.openxmlformats.org/officeDocument/2006/relationships/hyperlink" Target="https://www.bing.com/th?id=OSK.27388ff1aa280ccb16792627f99b03e5&amp;qlt=95" TargetMode="External"/><Relationship Id="rId10" Type="http://schemas.openxmlformats.org/officeDocument/2006/relationships/hyperlink" Target="https://www.bing.com/images/search?form=xlimg&amp;q=M%c3%a1laga" TargetMode="External"/><Relationship Id="rId4" Type="http://schemas.openxmlformats.org/officeDocument/2006/relationships/hyperlink" Target="https://www.bing.com/images/search?form=xlimg&amp;q=Munich" TargetMode="External"/><Relationship Id="rId9" Type="http://schemas.openxmlformats.org/officeDocument/2006/relationships/hyperlink" Target="https://www.bing.com/th?id=OSK.KWypgOXCW1AIlriC5DLSgtGqR8D6Iz99NL143cCHzb0&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Srd>
</file>

<file path=xl/richData/rdarray.xml><?xml version="1.0" encoding="utf-8"?>
<arrayData xmlns="http://schemas.microsoft.com/office/spreadsheetml/2017/richdata2" count="9">
  <a r="1">
    <v t="r">6</v>
  </a>
  <a r="1">
    <v t="s">Greenwich Mean Time</v>
  </a>
  <a r="1">
    <v t="r">19</v>
  </a>
  <a r="2">
    <v t="s">UTC+02:00</v>
    <v t="s">UTC+01:00</v>
  </a>
  <a r="1">
    <v t="r">32</v>
  </a>
  <a r="1">
    <v t="r">45</v>
  </a>
  <a r="1">
    <v t="r">57</v>
  </a>
  <a r="1">
    <v t="r">70</v>
  </a>
  <a r="4">
    <v t="s">UTC+03:00</v>
    <v t="s">Eastern European Summer Time</v>
    <v t="s">UTC+02:00</v>
    <v t="s">Eastern European Time</v>
  </a>
</arrayData>
</file>

<file path=xl/richData/rdrichvalue.xml><?xml version="1.0" encoding="utf-8"?>
<rvData xmlns="http://schemas.microsoft.com/office/spreadsheetml/2017/richdata" count="77">
  <rv s="0">
    <v>536870912</v>
    <v>London</v>
    <v>8e0ba7b6-4225-fa8a-6369-1b5294e602a5</v>
    <v>en-NZ</v>
    <v>Map</v>
  </rv>
  <rv s="0">
    <v>536870912</v>
    <v>England</v>
    <v>280d39e8-7217-6863-6980-a8c20c211c89</v>
    <v>en-NZ</v>
    <v>Map</v>
  </rv>
  <rv s="0">
    <v>536870912</v>
    <v>Greater London</v>
    <v>2ba8a441-178c-f2c0-26cb-a4b260b8c806</v>
    <v>en-NZ</v>
    <v>Map</v>
  </rv>
  <rv s="1">
    <fb>1572</fb>
    <v>8</v>
  </rv>
  <rv s="2">
    <v>0</v>
    <v>6</v>
    <v>0</v>
    <v>7</v>
    <v>0</v>
    <v>Image of London</v>
  </rv>
  <rv s="1">
    <fb>51.507222222221998</fb>
    <v>9</v>
  </rv>
  <rv s="0">
    <v>805306368</v>
    <v>Sadiq Khan (Mayor)</v>
    <v>d7862dc2-4c03-1dc8-3412-7fe03041fdcb</v>
    <v>en-NZ</v>
    <v>Generic</v>
  </rv>
  <rv s="3">
    <v>0</v>
  </rv>
  <rv s="4">
    <v>https://www.bing.com/search?q=london+england&amp;form=skydnc</v>
    <v>Learn more on Bing</v>
  </rv>
  <rv s="1">
    <fb>-0.1275</fb>
    <v>9</v>
  </rv>
  <rv s="1">
    <fb>8866180</fb>
    <v>8</v>
  </rv>
  <rv s="3">
    <v>1</v>
  </rv>
  <rv s="5">
    <v>#VALUE!</v>
    <v>en-NZ</v>
    <v>8e0ba7b6-4225-fa8a-6369-1b5294e602a5</v>
    <v>536870912</v>
    <v>1</v>
    <v>1</v>
    <v>2</v>
    <v>London</v>
    <v>4</v>
    <v>5</v>
    <v>Map</v>
    <v>6</v>
    <v>7</v>
    <v>1</v>
    <v>2</v>
    <v>3</v>
    <v>1</v>
    <v>London is the capital and largest city of both England and the United Kingdom, with a population of 8,866,180 in 2022. Its wider metropolitan area is the largest in Western Europe, with a population of 14.9 million. London stands on the River ...</v>
    <v>4</v>
    <v>5</v>
    <v>7</v>
    <v>8</v>
    <v>9</v>
    <v>London</v>
    <v>10</v>
    <v>11</v>
    <v>London</v>
    <v>mdp/vdpid/5471798185326280713</v>
  </rv>
  <rv s="0">
    <v>536870912</v>
    <v>Munich</v>
    <v>7f38f401-452d-d25b-059c-487e14b70a85</v>
    <v>en-NZ</v>
    <v>Map</v>
  </rv>
  <rv s="0">
    <v>536870912</v>
    <v>Bavaria</v>
    <v>e4f7e69f-e1bc-189a-d23d-b2ecee6a88d5</v>
    <v>en-NZ</v>
    <v>Map</v>
  </rv>
  <rv s="1">
    <fb>310.70999999999998</fb>
    <v>8</v>
  </rv>
  <rv s="0">
    <v>536870912</v>
    <v>Germany</v>
    <v>75c62d8e-1449-4e4d-b188-d9e88f878dd9</v>
    <v>en-NZ</v>
    <v>Map</v>
  </rv>
  <rv s="2">
    <v>1</v>
    <v>6</v>
    <v>10</v>
    <v>7</v>
    <v>0</v>
    <v>Image of Munich</v>
  </rv>
  <rv s="1">
    <fb>48.137500000000003</fb>
    <v>9</v>
  </rv>
  <rv s="0">
    <v>805306368</v>
    <v>Dieter Reiter (Mayor)</v>
    <v>acfb7447-f4f8-7b17-3e8a-8a0d8e31ceb9</v>
    <v>en-NZ</v>
    <v>Generic</v>
  </rv>
  <rv s="3">
    <v>2</v>
  </rv>
  <rv s="4">
    <v>https://www.bing.com/search?q=munich+germany&amp;form=skydnc</v>
    <v>Learn more on Bing</v>
  </rv>
  <rv s="1">
    <fb>11.574999999999999</fb>
    <v>9</v>
  </rv>
  <rv s="1">
    <fb>1510378</fb>
    <v>8</v>
  </rv>
  <rv s="3">
    <v>3</v>
  </rv>
  <rv s="6">
    <v>#VALUE!</v>
    <v>en-NZ</v>
    <v>7f38f401-452d-d25b-059c-487e14b70a85</v>
    <v>536870912</v>
    <v>1</v>
    <v>11</v>
    <v>12</v>
    <v>Munich</v>
    <v>4</v>
    <v>5</v>
    <v>Map</v>
    <v>6</v>
    <v>13</v>
    <v>14</v>
    <v>15</v>
    <v>16</v>
    <v>Munich is the capital and most populous city of Bavaria, Germany. With a population of 1,604,384 inhabitants as of 30 November 2024, it is the third-largest city by population in Germany, after Berlin and Hamburg, and thus the largest which does ...</v>
    <v>17</v>
    <v>18</v>
    <v>20</v>
    <v>21</v>
    <v>22</v>
    <v>Munich</v>
    <v>23</v>
    <v>24</v>
    <v>Munich</v>
    <v>mdp/vdpid/7021484408976703489</v>
  </rv>
  <rv s="0">
    <v>536870912</v>
    <v>Toulouse</v>
    <v>66f18335-714d-a89b-accf-daa50ae2a3b0</v>
    <v>en-NZ</v>
    <v>Map</v>
  </rv>
  <rv s="0">
    <v>536870912</v>
    <v>Toulouse Métropole</v>
    <v>2afec0cf-5b51-7c80-0629-1e6bad081da1</v>
    <v>en-NZ</v>
    <v>Map</v>
  </rv>
  <rv s="1">
    <fb>118.3</fb>
    <v>8</v>
  </rv>
  <rv s="0">
    <v>536870912</v>
    <v>France</v>
    <v>c7bfe2de-4f82-e23c-ae42-8544b5b5c0ea</v>
    <v>en-NZ</v>
    <v>Map</v>
  </rv>
  <rv s="2">
    <v>2</v>
    <v>6</v>
    <v>14</v>
    <v>7</v>
    <v>0</v>
    <v>Image of Toulouse</v>
  </rv>
  <rv s="1">
    <fb>43.604444444443999</fb>
    <v>9</v>
  </rv>
  <rv s="0">
    <v>805306368</v>
    <v>Jean-Luc Moudenc (Mayor)</v>
    <v>a9140916-0f7c-fe51-aebc-132ef414dd94</v>
    <v>en-NZ</v>
    <v>Generic</v>
  </rv>
  <rv s="3">
    <v>4</v>
  </rv>
  <rv s="4">
    <v>https://www.bing.com/search?q=toulouse&amp;form=skydnc</v>
    <v>Learn more on Bing</v>
  </rv>
  <rv s="1">
    <fb>1.4438888888889001</fb>
    <v>9</v>
  </rv>
  <rv s="1">
    <fb>511684</fb>
    <v>8</v>
  </rv>
  <rv s="5">
    <v>#VALUE!</v>
    <v>en-NZ</v>
    <v>66f18335-714d-a89b-accf-daa50ae2a3b0</v>
    <v>536870912</v>
    <v>1</v>
    <v>15</v>
    <v>2</v>
    <v>Toulouse</v>
    <v>4</v>
    <v>5</v>
    <v>Map</v>
    <v>6</v>
    <v>7</v>
    <v>27</v>
    <v>27</v>
    <v>28</v>
    <v>29</v>
    <v>Toulouse is the prefecture of the French department of Haute-Garonne and of the larger region of Occitania. The city is on the banks of the River Garonne, 150 kilometres from the Mediterranean Sea, 230 km from the Atlantic Ocean and 680 km from ...</v>
    <v>30</v>
    <v>31</v>
    <v>33</v>
    <v>34</v>
    <v>35</v>
    <v>Toulouse</v>
    <v>36</v>
    <v>24</v>
    <v>Toulouse</v>
    <v>mdp/vdpid/7206182192253239297</v>
  </rv>
  <rv s="0">
    <v>536870912</v>
    <v>Rome</v>
    <v>5ed498af-fa85-2a88-874d-212494ddb06f</v>
    <v>en-NZ</v>
    <v>Map</v>
  </rv>
  <rv s="0">
    <v>536870912</v>
    <v>Lazio</v>
    <v>e5d48b4e-72f5-da43-7854-da4784df7b51</v>
    <v>en-NZ</v>
    <v>Map</v>
  </rv>
  <rv s="0">
    <v>536870912</v>
    <v>Metropolitan City of Rome Capital</v>
    <v>76a6fcae-8c89-adab-ce40-a0d52e665024</v>
    <v>en-NZ</v>
    <v>Map</v>
  </rv>
  <rv s="1">
    <fb>1287.3599999999999</fb>
    <v>8</v>
  </rv>
  <rv s="0">
    <v>536870912</v>
    <v>Italy</v>
    <v>09e8f885-427b-8850-947d-202e0287b9e8</v>
    <v>en-NZ</v>
    <v>Map</v>
  </rv>
  <rv s="2">
    <v>3</v>
    <v>6</v>
    <v>16</v>
    <v>7</v>
    <v>0</v>
    <v>Image of Rome</v>
  </rv>
  <rv s="1">
    <fb>41.893055555556003</fb>
    <v>9</v>
  </rv>
  <rv s="0">
    <v>805306368</v>
    <v>Roberto Gualtieri (Mayor)</v>
    <v>451ff490-7a31-bc00-90b3-d0724d4c0c03</v>
    <v>en-NZ</v>
    <v>Generic</v>
  </rv>
  <rv s="3">
    <v>5</v>
  </rv>
  <rv s="4">
    <v>https://www.bing.com/search?q=rome+italy&amp;form=skydnc</v>
    <v>Learn more on Bing</v>
  </rv>
  <rv s="1">
    <fb>12.482777777778001</fb>
    <v>9</v>
  </rv>
  <rv s="1">
    <fb>2872800</fb>
    <v>8</v>
  </rv>
  <rv s="7">
    <v>#VALUE!</v>
    <v>en-NZ</v>
    <v>5ed498af-fa85-2a88-874d-212494ddb06f</v>
    <v>536870912</v>
    <v>1</v>
    <v>17</v>
    <v>18</v>
    <v>Rome</v>
    <v>4</v>
    <v>5</v>
    <v>Map</v>
    <v>6</v>
    <v>19</v>
    <v>39</v>
    <v>40</v>
    <v>41</v>
    <v>42</v>
    <v>Rome is the capital city of Italy. It is also the capital of the Lazio region, the centre of the Metropolitan City of Rome Capital, and a special comune named Comune di Roma Capitale. With 2,860,009 residents in 1,285 km², Rome is the country's ...</v>
    <v>43</v>
    <v>44</v>
    <v>46</v>
    <v>47</v>
    <v>48</v>
    <v>Rome</v>
    <v>49</v>
    <v>Rome</v>
    <v>mdp/vdpid/7215943137045250049</v>
  </rv>
  <rv s="0">
    <v>536870912</v>
    <v>Málaga</v>
    <v>0d353bae-b8f3-64cc-2cb5-eb69f3ed3607</v>
    <v>en-NZ</v>
    <v>Map</v>
  </rv>
  <rv s="0">
    <v>536870912</v>
    <v>Andalusia</v>
    <v>b009454b-b921-1477-fbf3-ea4c66d409b5</v>
    <v>en-NZ</v>
    <v>Map</v>
  </rv>
  <rv s="1">
    <fb>394.98</fb>
    <v>8</v>
  </rv>
  <rv s="0">
    <v>536870912</v>
    <v>Spain</v>
    <v>1baf9d59-f443-e9f4-6e49-de048a073e3f</v>
    <v>en-NZ</v>
    <v>Map</v>
  </rv>
  <rv s="2">
    <v>4</v>
    <v>6</v>
    <v>20</v>
    <v>7</v>
    <v>0</v>
    <v>Image of Málaga</v>
  </rv>
  <rv s="1">
    <fb>36.716666666667003</fb>
    <v>9</v>
  </rv>
  <rv s="0">
    <v>805306368</v>
    <v>Francisco de la Torre (Mayor)</v>
    <v>b697d29d-3f83-f9ca-6896-c803f717ceac</v>
    <v>en-NZ</v>
    <v>Generic</v>
  </rv>
  <rv s="3">
    <v>6</v>
  </rv>
  <rv s="4">
    <v>https://www.bing.com/search?q=m%c3%a1laga&amp;form=skydnc</v>
    <v>Learn more on Bing</v>
  </rv>
  <rv s="1">
    <fb>-4.4166666666666998</fb>
    <v>9</v>
  </rv>
  <rv s="1">
    <fb>586384</fb>
    <v>8</v>
  </rv>
  <rv s="8">
    <v>#VALUE!</v>
    <v>en-NZ</v>
    <v>0d353bae-b8f3-64cc-2cb5-eb69f3ed3607</v>
    <v>536870912</v>
    <v>1</v>
    <v>21</v>
    <v>22</v>
    <v>Málaga</v>
    <v>4</v>
    <v>5</v>
    <v>Map</v>
    <v>6</v>
    <v>13</v>
    <v>52</v>
    <v>53</v>
    <v>54</v>
    <v>Málaga is a municipality of Spain, capital of the Province of Málaga, in the autonomous community of Andalusia. With a population of 578,460 in 2020, it is the second-most populous city in Andalusia and the sixth most populous in the country. It ...</v>
    <v>55</v>
    <v>56</v>
    <v>58</v>
    <v>59</v>
    <v>60</v>
    <v>Málaga</v>
    <v>61</v>
    <v>Málaga</v>
    <v>mdp/vdpid/5672701325645709313</v>
  </rv>
  <rv s="0">
    <v>536870912</v>
    <v>Helsinki</v>
    <v>0aeca411-32eb-87fa-e67f-5c3dacc3532c</v>
    <v>en-NZ</v>
    <v>Map</v>
  </rv>
  <rv s="0">
    <v>536870912</v>
    <v>Southern Finland Province</v>
    <v>af9c08a4-1f94-1cf0-0bc0-328630543c25</v>
    <v>en-NZ</v>
    <v>Map</v>
  </rv>
  <rv s="0">
    <v>536870912</v>
    <v>Uusimaa</v>
    <v>aeb26ea9-2089-3324-80d3-641f3baa97bc</v>
    <v>en-NZ</v>
    <v>Map</v>
  </rv>
  <rv s="1">
    <fb>214.42</fb>
    <v>8</v>
  </rv>
  <rv s="0">
    <v>536870912</v>
    <v>Finland</v>
    <v>ceea53a9-734c-46c7-a9f7-185e7cf6826e</v>
    <v>en-NZ</v>
    <v>Map</v>
  </rv>
  <rv s="2">
    <v>5</v>
    <v>6</v>
    <v>23</v>
    <v>7</v>
    <v>0</v>
    <v>Image of Helsinki</v>
  </rv>
  <rv s="1">
    <fb>60.170833333333299</fb>
    <v>9</v>
  </rv>
  <rv s="0">
    <v>805306368</v>
    <v>Juhana Vartiainen (Mayor)</v>
    <v>03163cf7-b3b2-774c-3a01-6e3a7cd0318a</v>
    <v>en-NZ</v>
    <v>Generic</v>
  </rv>
  <rv s="3">
    <v>7</v>
  </rv>
  <rv s="4">
    <v>https://www.bing.com/search?q=helsinki&amp;form=skydnc</v>
    <v>Learn more on Bing</v>
  </rv>
  <rv s="1">
    <fb>24.9375</fb>
    <v>9</v>
  </rv>
  <rv s="1">
    <fb>684589</fb>
    <v>8</v>
  </rv>
  <rv s="3">
    <v>8</v>
  </rv>
  <rv s="5">
    <v>#VALUE!</v>
    <v>en-NZ</v>
    <v>0aeca411-32eb-87fa-e67f-5c3dacc3532c</v>
    <v>536870912</v>
    <v>1</v>
    <v>24</v>
    <v>2</v>
    <v>Helsinki</v>
    <v>4</v>
    <v>5</v>
    <v>Map</v>
    <v>6</v>
    <v>25</v>
    <v>64</v>
    <v>65</v>
    <v>66</v>
    <v>67</v>
    <v>Helsinki is the capital and most populous city in Finland. It is on the shore of the Gulf of Finland and is the seat of southern Finland's Uusimaa region. About 685,000 people live in the municipality, with 1.3 million in the capital region and ...</v>
    <v>68</v>
    <v>69</v>
    <v>71</v>
    <v>72</v>
    <v>73</v>
    <v>Helsinki</v>
    <v>74</v>
    <v>75</v>
    <v>Helsinki</v>
    <v>mdp/vdpid/7030584380934324225</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4">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spbArrays>
  <spbData count="26">
    <spb s="0">
      <v xml:space="preserve">Wikipedia	</v>
      <v xml:space="preserve">CC BY-SA 3.0	</v>
      <v xml:space="preserve">https://en.wikipedia.org/wiki/London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2022</v>
    </spb>
    <spb s="8">
      <v>3</v>
    </spb>
    <spb s="8">
      <v>4</v>
    </spb>
    <spb s="0">
      <v xml:space="preserve">Wikipedia	</v>
      <v xml:space="preserve">CC BY-SA 3.0	</v>
      <v xml:space="preserve">https://en.wikipedia.org/wiki/Munich	</v>
      <v xml:space="preserve">https://creativecommons.org/licenses/by-sa/3.0	</v>
    </spb>
    <spb s="9">
      <v>10</v>
      <v>10</v>
      <v>10</v>
      <v>10</v>
      <v>10</v>
      <v>10</v>
      <v>10</v>
      <v>10</v>
      <v>10</v>
    </spb>
    <spb s="2">
      <v>1</v>
      <v>Name</v>
      <v>LearnMoreOnLink</v>
    </spb>
    <spb s="7">
      <v>square km</v>
      <v>2023</v>
    </spb>
    <spb s="0">
      <v xml:space="preserve">Wikipedia	</v>
      <v xml:space="preserve">CC BY-SA 3.0	</v>
      <v xml:space="preserve">https://en.wikipedia.org/wiki/Toulouse	</v>
      <v xml:space="preserve">https://creativecommons.org/licenses/by-sa/3.0	</v>
    </spb>
    <spb s="1">
      <v>14</v>
      <v>14</v>
      <v>14</v>
      <v>14</v>
      <v>14</v>
      <v>14</v>
      <v>14</v>
      <v>14</v>
      <v>14</v>
      <v>14</v>
    </spb>
    <spb s="0">
      <v xml:space="preserve">Wikipedia	</v>
      <v xml:space="preserve">CC BY-SA 3.0	</v>
      <v xml:space="preserve">https://en.wikipedia.org/wiki/Rome	</v>
      <v xml:space="preserve">https://creativecommons.org/licenses/by-sa/3.0	</v>
    </spb>
    <spb s="1">
      <v>16</v>
      <v>16</v>
      <v>16</v>
      <v>16</v>
      <v>16</v>
      <v>16</v>
      <v>16</v>
      <v>16</v>
      <v>16</v>
      <v>16</v>
    </spb>
    <spb s="2">
      <v>2</v>
      <v>Name</v>
      <v>LearnMoreOnLink</v>
    </spb>
    <spb s="7">
      <v>square km</v>
      <v>2018</v>
    </spb>
    <spb s="0">
      <v xml:space="preserve">Wikipedia	</v>
      <v xml:space="preserve">CC BY-SA 3.0	</v>
      <v xml:space="preserve">https://en.wikipedia.org/wiki/M%C3%A1laga	</v>
      <v xml:space="preserve">https://creativecommons.org/licenses/by-sa/3.0	</v>
    </spb>
    <spb s="9">
      <v>20</v>
      <v>20</v>
      <v>20</v>
      <v>20</v>
      <v>20</v>
      <v>20</v>
      <v>20</v>
      <v>20</v>
      <v>20</v>
    </spb>
    <spb s="2">
      <v>3</v>
      <v>Name</v>
      <v>LearnMoreOnLink</v>
    </spb>
    <spb s="0">
      <v xml:space="preserve">Wikipedia	</v>
      <v xml:space="preserve">CC BY-SA 3.0	</v>
      <v xml:space="preserve">https://en.wikipedia.org/wiki/Helsinki	</v>
      <v xml:space="preserve">https://creativecommons.org/licenses/by-sa/3.0	</v>
    </spb>
    <spb s="1">
      <v>23</v>
      <v>23</v>
      <v>23</v>
      <v>23</v>
      <v>23</v>
      <v>23</v>
      <v>23</v>
      <v>23</v>
      <v>23</v>
      <v>23</v>
    </spb>
    <spb s="7">
      <v>square km</v>
      <v>2024</v>
    </spb>
  </spbData>
</supportingPropertyBags>
</file>

<file path=xl/richData/rdsupportingpropertybagstructure.xml><?xml version="1.0" encoding="utf-8"?>
<spbStructures xmlns="http://schemas.microsoft.com/office/spreadsheetml/2017/richdata2" count="10">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1 (State/province/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reativecommons.org/licenses/by/4.0/legalcode.en" TargetMode="External"/><Relationship Id="rId1" Type="http://schemas.openxmlformats.org/officeDocument/2006/relationships/hyperlink" Target="mailto:hadi.vatankhahghadim@pg.canterbury.ac.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7C9F4-E075-4525-BDEB-2F1BE4CA6DFA}">
  <sheetPr>
    <pageSetUpPr fitToPage="1"/>
  </sheetPr>
  <dimension ref="A3:P37"/>
  <sheetViews>
    <sheetView tabSelected="1" zoomScale="62" workbookViewId="0">
      <selection activeCell="Q15" sqref="Q15"/>
    </sheetView>
  </sheetViews>
  <sheetFormatPr defaultRowHeight="14.4" x14ac:dyDescent="0.3"/>
  <cols>
    <col min="1" max="16384" width="8.88671875" style="248"/>
  </cols>
  <sheetData>
    <row r="3" spans="1:16" ht="76.2" customHeight="1" thickBot="1" x14ac:dyDescent="0.35">
      <c r="A3" s="249"/>
      <c r="B3" s="265"/>
      <c r="C3" s="275" t="s">
        <v>455</v>
      </c>
      <c r="D3" s="276"/>
      <c r="E3" s="276"/>
      <c r="F3" s="276"/>
      <c r="G3" s="276"/>
      <c r="H3" s="276"/>
      <c r="I3" s="276"/>
      <c r="J3" s="276"/>
      <c r="K3" s="276"/>
      <c r="L3" s="276"/>
      <c r="M3" s="276"/>
      <c r="N3" s="276"/>
      <c r="O3" s="277"/>
      <c r="P3" s="250"/>
    </row>
    <row r="4" spans="1:16" ht="24" thickBot="1" x14ac:dyDescent="0.5">
      <c r="B4" s="267"/>
      <c r="C4" s="266" t="s">
        <v>61</v>
      </c>
      <c r="D4" s="268"/>
      <c r="E4" s="270"/>
      <c r="F4" s="270"/>
      <c r="G4" s="271"/>
      <c r="H4" s="272"/>
      <c r="I4" s="272"/>
      <c r="J4" s="272"/>
      <c r="K4" s="272"/>
      <c r="L4" s="270"/>
      <c r="M4" s="271"/>
      <c r="N4" s="272"/>
      <c r="O4" s="269"/>
    </row>
    <row r="5" spans="1:16" ht="24" thickBot="1" x14ac:dyDescent="0.5">
      <c r="B5" s="273"/>
      <c r="C5" s="264" t="s">
        <v>62</v>
      </c>
      <c r="D5" s="261"/>
      <c r="E5" s="261"/>
      <c r="F5" s="261"/>
      <c r="G5" s="261"/>
      <c r="H5" s="261"/>
      <c r="I5" s="261"/>
      <c r="J5" s="261"/>
      <c r="K5" s="261"/>
      <c r="L5" s="261"/>
      <c r="M5" s="261"/>
      <c r="N5" s="261"/>
      <c r="O5" s="261"/>
    </row>
    <row r="6" spans="1:16" ht="24" thickBot="1" x14ac:dyDescent="0.5">
      <c r="B6" s="267"/>
      <c r="C6" s="266" t="s">
        <v>63</v>
      </c>
      <c r="D6" s="268"/>
      <c r="E6" s="270"/>
      <c r="F6" s="270"/>
      <c r="G6" s="271"/>
      <c r="H6" s="272"/>
      <c r="I6" s="272"/>
      <c r="J6" s="272"/>
      <c r="K6" s="272"/>
      <c r="L6" s="270"/>
      <c r="M6" s="271"/>
      <c r="N6" s="272"/>
      <c r="O6" s="269"/>
    </row>
    <row r="7" spans="1:16" ht="23.4" x14ac:dyDescent="0.45">
      <c r="B7" s="252"/>
      <c r="C7" s="251" t="s">
        <v>58</v>
      </c>
    </row>
    <row r="8" spans="1:16" ht="23.4" x14ac:dyDescent="0.45">
      <c r="B8" s="253"/>
      <c r="C8" s="251" t="s">
        <v>64</v>
      </c>
    </row>
    <row r="9" spans="1:16" ht="23.4" x14ac:dyDescent="0.45">
      <c r="B9" s="254"/>
      <c r="C9" s="251" t="s">
        <v>120</v>
      </c>
    </row>
    <row r="10" spans="1:16" ht="23.4" x14ac:dyDescent="0.45">
      <c r="B10" s="255"/>
      <c r="C10" s="251" t="s">
        <v>65</v>
      </c>
    </row>
    <row r="11" spans="1:16" ht="23.4" x14ac:dyDescent="0.45">
      <c r="B11" s="256"/>
      <c r="C11" s="251" t="s">
        <v>66</v>
      </c>
    </row>
    <row r="12" spans="1:16" ht="23.4" x14ac:dyDescent="0.45">
      <c r="B12" s="257"/>
      <c r="C12" s="251" t="s">
        <v>67</v>
      </c>
    </row>
    <row r="13" spans="1:16" ht="23.4" x14ac:dyDescent="0.45">
      <c r="B13" s="258"/>
      <c r="C13" s="251" t="s">
        <v>121</v>
      </c>
    </row>
    <row r="14" spans="1:16" ht="24" thickBot="1" x14ac:dyDescent="0.5">
      <c r="B14" s="263"/>
      <c r="C14" s="264" t="s">
        <v>122</v>
      </c>
      <c r="D14" s="261"/>
      <c r="E14" s="261"/>
      <c r="F14" s="261"/>
      <c r="G14" s="261"/>
      <c r="H14" s="261"/>
      <c r="I14" s="261"/>
      <c r="J14" s="261"/>
      <c r="K14" s="261"/>
      <c r="L14" s="261"/>
      <c r="M14" s="261"/>
      <c r="N14" s="261"/>
      <c r="O14" s="261"/>
    </row>
    <row r="15" spans="1:16" ht="24" thickBot="1" x14ac:dyDescent="0.5">
      <c r="B15" s="267"/>
      <c r="C15" s="266" t="s">
        <v>123</v>
      </c>
      <c r="D15" s="268"/>
      <c r="E15" s="270"/>
      <c r="F15" s="270"/>
      <c r="G15" s="271"/>
      <c r="H15" s="272"/>
      <c r="I15" s="272"/>
      <c r="J15" s="272"/>
      <c r="K15" s="272"/>
      <c r="L15" s="270"/>
      <c r="M15" s="271"/>
      <c r="N15" s="272"/>
      <c r="O15" s="269"/>
    </row>
    <row r="16" spans="1:16" ht="23.4" x14ac:dyDescent="0.45">
      <c r="B16" s="262"/>
      <c r="C16" s="260" t="s">
        <v>58</v>
      </c>
      <c r="D16" s="259"/>
      <c r="E16" s="259"/>
      <c r="F16" s="259"/>
      <c r="G16" s="259"/>
      <c r="H16" s="259"/>
      <c r="I16" s="259"/>
      <c r="J16" s="259"/>
      <c r="K16" s="259"/>
      <c r="L16" s="259"/>
      <c r="M16" s="259"/>
      <c r="N16" s="259"/>
      <c r="O16" s="259"/>
    </row>
    <row r="17" spans="2:15" ht="23.4" x14ac:dyDescent="0.45">
      <c r="B17" s="253"/>
      <c r="C17" s="251" t="s">
        <v>64</v>
      </c>
    </row>
    <row r="18" spans="2:15" ht="23.4" x14ac:dyDescent="0.45">
      <c r="B18" s="254"/>
      <c r="C18" s="251" t="s">
        <v>120</v>
      </c>
    </row>
    <row r="19" spans="2:15" ht="23.4" x14ac:dyDescent="0.45">
      <c r="B19" s="255"/>
      <c r="C19" s="251" t="s">
        <v>65</v>
      </c>
    </row>
    <row r="20" spans="2:15" ht="23.4" x14ac:dyDescent="0.45">
      <c r="B20" s="256"/>
      <c r="C20" s="251" t="s">
        <v>66</v>
      </c>
    </row>
    <row r="21" spans="2:15" ht="23.4" x14ac:dyDescent="0.45">
      <c r="B21" s="258"/>
      <c r="C21" s="251" t="s">
        <v>121</v>
      </c>
    </row>
    <row r="22" spans="2:15" ht="24" thickBot="1" x14ac:dyDescent="0.5">
      <c r="B22" s="263"/>
      <c r="C22" s="264" t="s">
        <v>122</v>
      </c>
      <c r="D22" s="261"/>
      <c r="E22" s="261"/>
      <c r="F22" s="261"/>
      <c r="G22" s="261"/>
      <c r="H22" s="261"/>
      <c r="I22" s="261"/>
      <c r="J22" s="261"/>
      <c r="K22" s="261"/>
      <c r="L22" s="261"/>
      <c r="M22" s="261"/>
      <c r="N22" s="261"/>
      <c r="O22" s="261"/>
    </row>
    <row r="23" spans="2:15" ht="24" thickBot="1" x14ac:dyDescent="0.5">
      <c r="B23" s="267"/>
      <c r="C23" s="266" t="s">
        <v>301</v>
      </c>
      <c r="D23" s="268"/>
      <c r="E23" s="270"/>
      <c r="F23" s="270"/>
      <c r="G23" s="271"/>
      <c r="H23" s="272"/>
      <c r="I23" s="272"/>
      <c r="J23" s="272"/>
      <c r="K23" s="272"/>
      <c r="L23" s="270"/>
      <c r="M23" s="271"/>
      <c r="N23" s="272"/>
      <c r="O23" s="269"/>
    </row>
    <row r="24" spans="2:15" ht="26.4" x14ac:dyDescent="0.45">
      <c r="B24" s="259"/>
      <c r="C24" s="260" t="s">
        <v>449</v>
      </c>
      <c r="D24" s="259"/>
      <c r="E24" s="259"/>
      <c r="F24" s="259"/>
      <c r="G24" s="259"/>
      <c r="H24" s="259"/>
      <c r="I24" s="259"/>
      <c r="J24" s="259"/>
      <c r="K24" s="259"/>
      <c r="L24" s="259"/>
      <c r="M24" s="259"/>
      <c r="N24" s="259"/>
      <c r="O24" s="259"/>
    </row>
    <row r="25" spans="2:15" ht="23.4" x14ac:dyDescent="0.45">
      <c r="C25" s="251" t="s">
        <v>302</v>
      </c>
    </row>
    <row r="26" spans="2:15" ht="26.4" x14ac:dyDescent="0.45">
      <c r="C26" s="251" t="s">
        <v>450</v>
      </c>
    </row>
    <row r="27" spans="2:15" ht="23.4" x14ac:dyDescent="0.45">
      <c r="C27" s="251" t="s">
        <v>303</v>
      </c>
    </row>
    <row r="28" spans="2:15" ht="27" thickBot="1" x14ac:dyDescent="0.5">
      <c r="B28" s="261"/>
      <c r="C28" s="264" t="s">
        <v>451</v>
      </c>
      <c r="D28" s="261"/>
      <c r="E28" s="261"/>
      <c r="F28" s="261"/>
      <c r="G28" s="261"/>
      <c r="H28" s="261"/>
      <c r="I28" s="261"/>
      <c r="J28" s="261"/>
      <c r="K28" s="261"/>
      <c r="L28" s="261"/>
      <c r="M28" s="261"/>
      <c r="N28" s="261"/>
      <c r="O28" s="261"/>
    </row>
    <row r="29" spans="2:15" ht="24" thickBot="1" x14ac:dyDescent="0.5">
      <c r="B29" s="267"/>
      <c r="C29" s="266" t="s">
        <v>297</v>
      </c>
      <c r="D29" s="268"/>
      <c r="E29" s="270"/>
      <c r="F29" s="270"/>
      <c r="G29" s="271"/>
      <c r="H29" s="272"/>
      <c r="I29" s="272"/>
      <c r="J29" s="272"/>
      <c r="K29" s="272"/>
      <c r="L29" s="270"/>
      <c r="M29" s="271"/>
      <c r="N29" s="272"/>
      <c r="O29" s="269"/>
    </row>
    <row r="30" spans="2:15" ht="23.4" x14ac:dyDescent="0.45">
      <c r="B30" s="259"/>
      <c r="C30" s="260" t="s">
        <v>298</v>
      </c>
      <c r="D30" s="259"/>
      <c r="E30" s="259"/>
      <c r="F30" s="259"/>
      <c r="G30" s="259"/>
      <c r="H30" s="259"/>
      <c r="I30" s="259"/>
      <c r="J30" s="259"/>
      <c r="K30" s="259"/>
      <c r="L30" s="259"/>
      <c r="M30" s="259"/>
      <c r="N30" s="259"/>
      <c r="O30" s="259"/>
    </row>
    <row r="31" spans="2:15" ht="15" thickBot="1" x14ac:dyDescent="0.35">
      <c r="B31" s="261"/>
      <c r="C31" s="261"/>
      <c r="D31" s="261"/>
      <c r="E31" s="261"/>
      <c r="F31" s="261"/>
      <c r="G31" s="261"/>
      <c r="H31" s="261"/>
      <c r="I31" s="261"/>
      <c r="J31" s="261"/>
      <c r="K31" s="261"/>
      <c r="L31" s="261"/>
      <c r="M31" s="261"/>
      <c r="N31" s="261"/>
      <c r="O31" s="261"/>
    </row>
    <row r="32" spans="2:15" ht="24" thickBot="1" x14ac:dyDescent="0.5">
      <c r="B32" s="267"/>
      <c r="C32" s="266" t="s">
        <v>299</v>
      </c>
      <c r="D32" s="268"/>
      <c r="E32" s="270"/>
      <c r="F32" s="270"/>
      <c r="G32" s="271"/>
      <c r="H32" s="272"/>
      <c r="I32" s="272"/>
      <c r="J32" s="272"/>
      <c r="K32" s="272"/>
      <c r="L32" s="270"/>
      <c r="M32" s="271"/>
      <c r="N32" s="272"/>
      <c r="O32" s="269"/>
    </row>
    <row r="33" spans="2:15" ht="24" thickBot="1" x14ac:dyDescent="0.5">
      <c r="B33" s="449"/>
      <c r="C33" s="450" t="s">
        <v>300</v>
      </c>
      <c r="D33" s="449"/>
      <c r="E33" s="449"/>
      <c r="F33" s="449"/>
      <c r="G33" s="449"/>
      <c r="H33" s="449"/>
      <c r="I33" s="449"/>
      <c r="J33" s="449"/>
      <c r="K33" s="449"/>
      <c r="L33" s="449"/>
      <c r="M33" s="449"/>
      <c r="N33" s="449"/>
      <c r="O33" s="449"/>
    </row>
    <row r="34" spans="2:15" ht="24" thickBot="1" x14ac:dyDescent="0.5">
      <c r="B34" s="454"/>
      <c r="C34" s="455" t="s">
        <v>448</v>
      </c>
      <c r="D34" s="456"/>
      <c r="E34" s="457"/>
      <c r="F34" s="457"/>
      <c r="G34" s="458"/>
      <c r="H34" s="459"/>
      <c r="I34" s="459"/>
      <c r="J34" s="459"/>
      <c r="K34" s="459"/>
      <c r="L34" s="457"/>
      <c r="M34" s="458"/>
      <c r="N34" s="459"/>
      <c r="O34" s="460"/>
    </row>
    <row r="35" spans="2:15" ht="51" customHeight="1" x14ac:dyDescent="0.3">
      <c r="B35" s="259"/>
      <c r="C35" s="451" t="s">
        <v>452</v>
      </c>
      <c r="D35" s="452"/>
      <c r="E35" s="452"/>
      <c r="F35" s="452"/>
      <c r="G35" s="452"/>
      <c r="H35" s="452"/>
      <c r="I35" s="452"/>
      <c r="J35" s="452"/>
      <c r="K35" s="452"/>
      <c r="L35" s="452"/>
      <c r="M35" s="452"/>
      <c r="N35" s="452"/>
      <c r="O35" s="453"/>
    </row>
    <row r="36" spans="2:15" ht="51.6" customHeight="1" x14ac:dyDescent="0.3">
      <c r="B36" s="259"/>
      <c r="C36" s="451" t="s">
        <v>453</v>
      </c>
      <c r="D36" s="452"/>
      <c r="E36" s="452"/>
      <c r="F36" s="452"/>
      <c r="G36" s="452"/>
      <c r="H36" s="452"/>
      <c r="I36" s="452"/>
      <c r="J36" s="452"/>
      <c r="K36" s="452"/>
      <c r="L36" s="452"/>
      <c r="M36" s="452"/>
      <c r="N36" s="452"/>
      <c r="O36" s="453"/>
    </row>
    <row r="37" spans="2:15" ht="76.8" customHeight="1" x14ac:dyDescent="0.3">
      <c r="B37" s="259"/>
      <c r="C37" s="451" t="s">
        <v>454</v>
      </c>
      <c r="D37" s="452"/>
      <c r="E37" s="452"/>
      <c r="F37" s="452"/>
      <c r="G37" s="452"/>
      <c r="H37" s="452"/>
      <c r="I37" s="452"/>
      <c r="J37" s="452"/>
      <c r="K37" s="452"/>
      <c r="L37" s="452"/>
      <c r="M37" s="452"/>
      <c r="N37" s="452"/>
      <c r="O37" s="453"/>
    </row>
  </sheetData>
  <mergeCells count="4">
    <mergeCell ref="C3:O3"/>
    <mergeCell ref="C35:O35"/>
    <mergeCell ref="C37:O37"/>
    <mergeCell ref="C36:O36"/>
  </mergeCells>
  <hyperlinks>
    <hyperlink ref="C5" location="'Conversion rates'!A1" display="Conversion rates" xr:uid="{4C64E30C-9981-420D-A690-1D11526C0D47}"/>
    <hyperlink ref="C7" location="'CAPEX-Utility PV'!A1" display="Utility-scale PV" xr:uid="{A00B9E7A-EE83-40C7-B8E6-004CDA6EE7DE}"/>
    <hyperlink ref="C8" location="'CAPEX-Rooftop PV'!A1" display="Rooftop (Residential, Commercial, and Industrial) PV" xr:uid="{D7CF4D65-2097-46C7-8180-5A3239B0582E}"/>
    <hyperlink ref="C10" location="'CAPEX-Onshore Wind'!A1" display="Onshore wind power" xr:uid="{40FDF91B-A017-463B-9EB1-EA6002D4FF5C}"/>
    <hyperlink ref="C11" location="'CAPEX-Offshore wind'!A1" display="Offshore wind power" xr:uid="{06A13D81-C497-42A0-9420-CFAAA4D05FF5}"/>
    <hyperlink ref="C12" location="'CAPEX-Li-Ion BESS'!A1" display="Li-ion stationary battery" xr:uid="{D130A959-54FF-4DF6-859D-5590589A9402}"/>
    <hyperlink ref="C16" location="'LCOE-Utility PV'!A1" display="Utility-scale PV" xr:uid="{90010917-62CE-474F-B7BF-A81CF3F5CAB8}"/>
    <hyperlink ref="C17" location="'LCOE-Rooftop PV'!A1" display="Rooftop (Residential, Commercial, and Industrial) PV" xr:uid="{3245AAEB-FEFA-4370-889E-D5A121D731D4}"/>
    <hyperlink ref="C19" location="'LCOE-Onshore Wind'!A1" display="Onshore wind power" xr:uid="{6091593B-82B7-4A17-ADD3-414747F51FD0}"/>
    <hyperlink ref="C20" location="'LCOE-Offshore wind'!A1" display="Offshore wind power" xr:uid="{441E2B29-E5CC-4C01-B97C-8172B4B863BC}"/>
    <hyperlink ref="C24" location="'Fig. 10-NREL ATB'!A1" display="Cost trend analysis for the U.S. ATB studies (Fig. 10)" xr:uid="{EA05B8EB-8EEE-41A5-8081-F2AB1006D3D8}"/>
    <hyperlink ref="C9" location="'CAPEX-CSP'!A1" display="CSP" xr:uid="{E98987E5-9CAD-4F98-81B3-BD1CF17DE0C0}"/>
    <hyperlink ref="C18" location="'LCOE-CSP'!A1" display="CSP" xr:uid="{1BE98378-001C-4381-ACD5-EE4DC7BA3E63}"/>
    <hyperlink ref="C21" location="'LCOH-Alkaline Electrolysis'!A1" display="Alkaline electrolysis" xr:uid="{10E481F9-CE60-4930-82B2-42CEFF0FFA4A}"/>
    <hyperlink ref="C22" location="'LCOH-PEM Electrolysis'!A1" display="PEM electrolysis" xr:uid="{F696B97E-293E-4C7B-AA22-FEF7A2E5564E}"/>
    <hyperlink ref="C13" location="'CAPEX-Alkaline Electrolysis'!A1" display="Alkaline electrolysis" xr:uid="{6B63C293-8FE7-48CD-A970-77D4AC1B4008}"/>
    <hyperlink ref="C14" location="'CAPEX-PEM Electrolysis'!A1" display="PEM electrolysis" xr:uid="{1C7CA127-6173-45FA-8C02-B64428C4AA94}"/>
    <hyperlink ref="C25" location="'IEA WEO data'!A1" display="U.S. NREL ATB studies" xr:uid="{72657A6F-C215-4A29-8004-EFC0FC47A881}"/>
    <hyperlink ref="C26" location="'Fraunhofer ISE-World'!A1" display="Fraunhofer ISE studies" xr:uid="{B9398834-D853-48F3-B345-9868183CEB85}"/>
    <hyperlink ref="C27" location="'ETIP-EU Data'!A1" display="ETIP EU studies" xr:uid="{90265115-5B29-4CDF-B1CD-24A33BA3F047}"/>
    <hyperlink ref="C28" location="'CSIRO-Australia Data'!A1" display="CSIRO Australia studies" xr:uid="{C2928CD5-3E2B-469B-A935-ABAC57E69E9E}"/>
    <hyperlink ref="C30" r:id="rId1" xr:uid="{5C47F9A4-6A64-48CB-9B2E-38AD9B383A9E}"/>
    <hyperlink ref="C33" r:id="rId2" display="https://creativecommons.org/licenses/by/4.0/legalcode.en" xr:uid="{E2DFF0A6-1857-4AF8-9428-EB035CEF708E}"/>
  </hyperlinks>
  <pageMargins left="0.25" right="0.25" top="0.75" bottom="0.75" header="0.3" footer="0.3"/>
  <pageSetup paperSize="9" scale="50" orientation="landscape" r:id="rId3"/>
  <headerFooter>
    <oddFooter>&amp;C_x000D_&amp;1#&amp;"Calibri"&amp;7&amp;K000000 Classification: In-Confidence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B220-C915-4390-BD7A-026C3C1757D8}">
  <sheetPr>
    <tabColor theme="1"/>
    <pageSetUpPr fitToPage="1"/>
  </sheetPr>
  <dimension ref="A1:AB31"/>
  <sheetViews>
    <sheetView zoomScale="79" workbookViewId="0">
      <selection activeCell="V19" sqref="V19"/>
    </sheetView>
  </sheetViews>
  <sheetFormatPr defaultRowHeight="14.4" x14ac:dyDescent="0.3"/>
  <cols>
    <col min="13" max="13" width="3.21875" customWidth="1"/>
  </cols>
  <sheetData>
    <row r="1" spans="1:28" x14ac:dyDescent="0.3">
      <c r="A1" s="7" t="s">
        <v>1</v>
      </c>
      <c r="B1" s="8"/>
      <c r="C1" s="278" t="s">
        <v>5</v>
      </c>
      <c r="D1" s="278"/>
      <c r="E1" s="278"/>
      <c r="F1" s="278"/>
      <c r="G1" s="278"/>
      <c r="H1" s="278"/>
      <c r="I1" s="278"/>
      <c r="J1" s="278"/>
      <c r="K1" s="278"/>
      <c r="L1" s="279"/>
      <c r="N1" s="7" t="s">
        <v>1</v>
      </c>
      <c r="O1" s="8"/>
      <c r="P1" s="278" t="s">
        <v>34</v>
      </c>
      <c r="Q1" s="278"/>
      <c r="R1" s="278"/>
      <c r="S1" s="278"/>
      <c r="T1" s="278"/>
      <c r="U1" s="278"/>
      <c r="V1" s="278"/>
      <c r="W1" s="278"/>
      <c r="X1" s="278"/>
      <c r="Y1" s="279"/>
    </row>
    <row r="2" spans="1:28" ht="15" thickBot="1" x14ac:dyDescent="0.35">
      <c r="A2" s="9"/>
      <c r="B2" s="2" t="s">
        <v>0</v>
      </c>
      <c r="C2" s="10">
        <v>2015</v>
      </c>
      <c r="D2" s="10">
        <v>2016</v>
      </c>
      <c r="E2" s="10">
        <v>2017</v>
      </c>
      <c r="F2" s="10">
        <v>2018</v>
      </c>
      <c r="G2" s="10">
        <v>2019</v>
      </c>
      <c r="H2" s="10">
        <v>2020</v>
      </c>
      <c r="I2" s="10">
        <v>2021</v>
      </c>
      <c r="J2" s="10">
        <v>2022</v>
      </c>
      <c r="K2" s="10">
        <v>2023</v>
      </c>
      <c r="L2" s="11">
        <v>2024</v>
      </c>
      <c r="N2" s="9"/>
      <c r="O2" s="2" t="s">
        <v>0</v>
      </c>
      <c r="P2" s="10">
        <v>2015</v>
      </c>
      <c r="Q2" s="10">
        <v>2016</v>
      </c>
      <c r="R2" s="10">
        <v>2017</v>
      </c>
      <c r="S2" s="10">
        <v>2018</v>
      </c>
      <c r="T2" s="10">
        <v>2019</v>
      </c>
      <c r="U2" s="10">
        <v>2020</v>
      </c>
      <c r="V2" s="10">
        <v>2021</v>
      </c>
      <c r="W2" s="10">
        <v>2022</v>
      </c>
      <c r="X2" s="10">
        <v>2023</v>
      </c>
      <c r="Y2" s="11">
        <v>2024</v>
      </c>
    </row>
    <row r="3" spans="1:28" x14ac:dyDescent="0.3">
      <c r="A3" s="280" t="s">
        <v>2</v>
      </c>
      <c r="B3" s="2">
        <v>2015</v>
      </c>
      <c r="C3" s="13">
        <v>1.1100000000000001</v>
      </c>
      <c r="D3" s="4">
        <f>$C$3*$D$16</f>
        <v>1.0990099009900991</v>
      </c>
      <c r="E3" s="4">
        <f>$C$3*$E$16</f>
        <v>1.0776699029126215</v>
      </c>
      <c r="F3" s="4">
        <f>$C$3*$F$16</f>
        <v>1.0471698113207546</v>
      </c>
      <c r="G3" s="4">
        <f>$C$3*$G$16</f>
        <v>1.0277777777777777</v>
      </c>
      <c r="H3" s="4">
        <f>$C$3*$H$16</f>
        <v>1.0183486238532111</v>
      </c>
      <c r="I3" s="4">
        <f>$C$3*$I$16</f>
        <v>0.97368421052631593</v>
      </c>
      <c r="J3" s="4">
        <f>$C$3*$J$16</f>
        <v>0.90243902439024393</v>
      </c>
      <c r="K3" s="4">
        <f>$C$3*$K$16</f>
        <v>0.86046511627906974</v>
      </c>
      <c r="L3" s="5">
        <f>$C$3*$L$16</f>
        <v>0.84090909090909094</v>
      </c>
      <c r="N3" s="280" t="s">
        <v>2</v>
      </c>
      <c r="O3" s="2">
        <v>2015</v>
      </c>
      <c r="P3" s="43">
        <v>0.15920000000000001</v>
      </c>
      <c r="Q3" s="44">
        <f>$P$3*$D$16</f>
        <v>0.15762376237623762</v>
      </c>
      <c r="R3" s="44">
        <f>$P$3*$E$16</f>
        <v>0.15456310679611651</v>
      </c>
      <c r="S3" s="44">
        <f>$P$3*$F$16</f>
        <v>0.15018867924528301</v>
      </c>
      <c r="T3" s="44">
        <f>$P$3*$G$16</f>
        <v>0.1474074074074074</v>
      </c>
      <c r="U3" s="44">
        <f>$P$3*$H$16</f>
        <v>0.14605504587155962</v>
      </c>
      <c r="V3" s="44">
        <f>$P$3*$I$16</f>
        <v>0.13964912280701755</v>
      </c>
      <c r="W3" s="44">
        <f>$P$3*$J$16</f>
        <v>0.12943089430894308</v>
      </c>
      <c r="X3" s="44">
        <f>$P$3*$K$16</f>
        <v>0.1234108527131783</v>
      </c>
      <c r="Y3" s="45">
        <f>$P$3*$L$16</f>
        <v>0.12060606060606061</v>
      </c>
    </row>
    <row r="4" spans="1:28" x14ac:dyDescent="0.3">
      <c r="A4" s="280"/>
      <c r="B4" s="2">
        <v>2016</v>
      </c>
      <c r="C4" s="4">
        <f>$C$3*$C$17</f>
        <v>1.1211000000000002</v>
      </c>
      <c r="D4" s="13">
        <v>1.1060000000000001</v>
      </c>
      <c r="E4" s="4">
        <f>$D$4*$E$17</f>
        <v>1.0843137254901962</v>
      </c>
      <c r="F4" s="4">
        <f>$D$4*$F$17</f>
        <v>1.0533333333333335</v>
      </c>
      <c r="G4" s="4">
        <f>$D$4*$G$17</f>
        <v>1.0336448598130843</v>
      </c>
      <c r="H4" s="4">
        <f>$D$4*$H$17</f>
        <v>1.0240740740740741</v>
      </c>
      <c r="I4" s="4">
        <f>$D$4*$I$17</f>
        <v>0.97876106194690282</v>
      </c>
      <c r="J4" s="4">
        <f>$D$4*$J$17</f>
        <v>0.90655737704918038</v>
      </c>
      <c r="K4" s="4">
        <f>$D$4*$K$17</f>
        <v>0.87086614173228349</v>
      </c>
      <c r="L4" s="5">
        <f>$D$4*$L$17</f>
        <v>0.8442748091603054</v>
      </c>
      <c r="N4" s="280"/>
      <c r="O4" s="2">
        <v>2016</v>
      </c>
      <c r="P4" s="46">
        <f t="shared" ref="P4:P12" si="0">$P$3*$C$17</f>
        <v>0.16079200000000002</v>
      </c>
      <c r="Q4" s="13">
        <v>0.15060000000000001</v>
      </c>
      <c r="R4" s="4">
        <f>$Q$4*$E$17</f>
        <v>0.14764705882352941</v>
      </c>
      <c r="S4" s="4">
        <f>$Q$4*$F$17</f>
        <v>0.14342857142857143</v>
      </c>
      <c r="T4" s="4">
        <f>$Q$4*$G$17</f>
        <v>0.14074766355140189</v>
      </c>
      <c r="U4" s="4">
        <f>$Q$4*$H$17</f>
        <v>0.13944444444444443</v>
      </c>
      <c r="V4" s="4">
        <f>$Q$4*$I$17</f>
        <v>0.13327433628318586</v>
      </c>
      <c r="W4" s="4">
        <f>$Q$4*$J$17</f>
        <v>0.12344262295081969</v>
      </c>
      <c r="X4" s="4">
        <f>$Q$4*$K$17</f>
        <v>0.11858267716535432</v>
      </c>
      <c r="Y4" s="5">
        <f>$Q$4*$L$17</f>
        <v>0.11496183206106871</v>
      </c>
    </row>
    <row r="5" spans="1:28" x14ac:dyDescent="0.3">
      <c r="A5" s="280"/>
      <c r="B5" s="2">
        <v>2017</v>
      </c>
      <c r="C5" s="4">
        <f>$C$3*$C$18</f>
        <v>1.1433000000000002</v>
      </c>
      <c r="D5" s="4">
        <f>$D$4*$D$18</f>
        <v>1.12812</v>
      </c>
      <c r="E5" s="13">
        <v>1.1299999999999999</v>
      </c>
      <c r="F5" s="4">
        <f>$E$5*$F$18</f>
        <v>1.1078431372549018</v>
      </c>
      <c r="G5" s="4">
        <f>$E$5*$G$18</f>
        <v>1.0865384615384612</v>
      </c>
      <c r="H5" s="4">
        <f>$E$5*$H$18</f>
        <v>1.0660377358490565</v>
      </c>
      <c r="I5" s="4">
        <f>$E$5*$I$18</f>
        <v>1.0180180180180178</v>
      </c>
      <c r="J5" s="4">
        <f>$E$5*$J$18</f>
        <v>0.94957983193277307</v>
      </c>
      <c r="K5" s="4">
        <f>$E$5*$K$18</f>
        <v>0.91129032258064513</v>
      </c>
      <c r="L5" s="5">
        <f>$E$5*$L$18</f>
        <v>0.88281249999999989</v>
      </c>
      <c r="N5" s="280"/>
      <c r="O5" s="2">
        <v>2017</v>
      </c>
      <c r="P5" s="46">
        <f t="shared" si="0"/>
        <v>0.16079200000000002</v>
      </c>
      <c r="Q5" s="4">
        <f t="shared" ref="Q5:Q12" si="1">$Q$4*$D$18</f>
        <v>0.15361200000000003</v>
      </c>
      <c r="R5" s="13">
        <v>0.14799999999999999</v>
      </c>
      <c r="S5" s="4">
        <f>$R$5*$F$18</f>
        <v>0.14509803921568626</v>
      </c>
      <c r="T5" s="4">
        <f>$R$5*$G$18</f>
        <v>0.1423076923076923</v>
      </c>
      <c r="U5" s="4">
        <f>$R$5*$H$18</f>
        <v>0.13962264150943393</v>
      </c>
      <c r="V5" s="4">
        <f>$R$5*$I$18</f>
        <v>0.1333333333333333</v>
      </c>
      <c r="W5" s="4">
        <f>$R$5*$J$18</f>
        <v>0.12436974789915967</v>
      </c>
      <c r="X5" s="4">
        <f>$R$5*$K$18</f>
        <v>0.11935483870967742</v>
      </c>
      <c r="Y5" s="5">
        <f>$R$5*$L$18</f>
        <v>0.11562499999999999</v>
      </c>
    </row>
    <row r="6" spans="1:28" x14ac:dyDescent="0.3">
      <c r="A6" s="280"/>
      <c r="B6" s="2">
        <v>2018</v>
      </c>
      <c r="C6" s="4">
        <f>$C$3*$C$19</f>
        <v>1.1766000000000001</v>
      </c>
      <c r="D6" s="4">
        <f>$D$4*$D$19</f>
        <v>1.1613000000000002</v>
      </c>
      <c r="E6" s="4">
        <f>$E$5*$E$19</f>
        <v>1.1525999999999998</v>
      </c>
      <c r="F6" s="13">
        <v>1.18</v>
      </c>
      <c r="G6" s="4">
        <f>$F$6*$G$19</f>
        <v>1.1568627450980391</v>
      </c>
      <c r="H6" s="4">
        <f>$F$6*$H$19</f>
        <v>1.145631067961165</v>
      </c>
      <c r="I6" s="4">
        <f>$F$6*$I$19</f>
        <v>1.0925925925925923</v>
      </c>
      <c r="J6" s="4">
        <f>$F$6*$J$19</f>
        <v>1.0172413793103448</v>
      </c>
      <c r="K6" s="4">
        <f>$F$6*$K$19</f>
        <v>0.97520661157024791</v>
      </c>
      <c r="L6" s="5">
        <f>$F$6*$L$19</f>
        <v>0.94399999999999995</v>
      </c>
      <c r="N6" s="280"/>
      <c r="O6" s="2">
        <v>2018</v>
      </c>
      <c r="P6" s="46">
        <f t="shared" si="0"/>
        <v>0.16079200000000002</v>
      </c>
      <c r="Q6" s="4">
        <f t="shared" si="1"/>
        <v>0.15361200000000003</v>
      </c>
      <c r="R6" s="4">
        <f t="shared" ref="R6:R12" si="2">$R$5*$E$19</f>
        <v>0.15095999999999998</v>
      </c>
      <c r="S6" s="13">
        <v>0.15140000000000001</v>
      </c>
      <c r="T6" s="4">
        <f>$S$6*$G$19</f>
        <v>0.14843137254901961</v>
      </c>
      <c r="U6" s="4">
        <f>$S$6*$H$19</f>
        <v>0.14699029126213592</v>
      </c>
      <c r="V6" s="4">
        <f>$S$6*$I$19</f>
        <v>0.14018518518518516</v>
      </c>
      <c r="W6" s="4">
        <f>$S$6*$J$19</f>
        <v>0.13051724137931037</v>
      </c>
      <c r="X6" s="4">
        <f>$S$6*$K$19</f>
        <v>0.12512396694214878</v>
      </c>
      <c r="Y6" s="5">
        <f>$S$6*$L$19</f>
        <v>0.12112000000000001</v>
      </c>
    </row>
    <row r="7" spans="1:28" x14ac:dyDescent="0.3">
      <c r="A7" s="280"/>
      <c r="B7" s="2">
        <v>2019</v>
      </c>
      <c r="C7" s="4">
        <f>$C$3*$C$20</f>
        <v>1.1988000000000001</v>
      </c>
      <c r="D7" s="4">
        <f>$D$4*$D$20</f>
        <v>1.1834200000000001</v>
      </c>
      <c r="E7" s="4">
        <f>$E$5*$E$20</f>
        <v>1.1752</v>
      </c>
      <c r="F7" s="4">
        <f>$F$6*$F$20</f>
        <v>1.2036</v>
      </c>
      <c r="G7" s="13">
        <v>1.1200000000000001</v>
      </c>
      <c r="H7" s="4">
        <f>$G$7*$H$20</f>
        <v>1.108910891089109</v>
      </c>
      <c r="I7" s="4">
        <f>$G$7*$I$20</f>
        <v>1.0566037735849056</v>
      </c>
      <c r="J7" s="4">
        <f>$G$7*$J$20</f>
        <v>0.98245614035087736</v>
      </c>
      <c r="K7" s="4">
        <f>$G$7*$K$20</f>
        <v>0.94117647058823539</v>
      </c>
      <c r="L7" s="5">
        <f>$G$7*$L$20</f>
        <v>0.91056910569105698</v>
      </c>
      <c r="N7" s="280"/>
      <c r="O7" s="2">
        <v>2019</v>
      </c>
      <c r="P7" s="46">
        <f t="shared" si="0"/>
        <v>0.16079200000000002</v>
      </c>
      <c r="Q7" s="4">
        <f t="shared" si="1"/>
        <v>0.15361200000000003</v>
      </c>
      <c r="R7" s="4">
        <f t="shared" si="2"/>
        <v>0.15095999999999998</v>
      </c>
      <c r="S7" s="4">
        <f t="shared" ref="S7:S12" si="3">$S$6*$F$20</f>
        <v>0.15442800000000001</v>
      </c>
      <c r="T7" s="13">
        <v>0.14480000000000001</v>
      </c>
      <c r="U7" s="4">
        <f>$T$7*$H$20</f>
        <v>0.14336633663366338</v>
      </c>
      <c r="V7" s="4">
        <f>$T$7*$I$20</f>
        <v>0.13660377358490566</v>
      </c>
      <c r="W7" s="4">
        <f>$T$7*$J$20</f>
        <v>0.12701754385964914</v>
      </c>
      <c r="X7" s="4">
        <f>$T$7*$K$20</f>
        <v>0.12168067226890758</v>
      </c>
      <c r="Y7" s="5">
        <f>$T$7*$L$20</f>
        <v>0.11772357723577237</v>
      </c>
    </row>
    <row r="8" spans="1:28" x14ac:dyDescent="0.3">
      <c r="A8" s="280"/>
      <c r="B8" s="2">
        <v>2020</v>
      </c>
      <c r="C8" s="4">
        <f>$C$3*$C$21</f>
        <v>1.2099000000000002</v>
      </c>
      <c r="D8" s="4">
        <f>$D$4*$D$21</f>
        <v>1.1944800000000002</v>
      </c>
      <c r="E8" s="4">
        <f>$E$5*$E$21</f>
        <v>1.1978</v>
      </c>
      <c r="F8" s="4">
        <f>$F$6*$F$21</f>
        <v>1.2154</v>
      </c>
      <c r="G8" s="4">
        <f>$G$7*$G$21</f>
        <v>1.1312000000000002</v>
      </c>
      <c r="H8" s="13">
        <v>1.1399999999999999</v>
      </c>
      <c r="I8" s="4">
        <f>$H$8*$I$21</f>
        <v>1.0857142857142856</v>
      </c>
      <c r="J8" s="4">
        <f>$H$8*$J$21</f>
        <v>1.0088495575221239</v>
      </c>
      <c r="K8" s="4">
        <f>$H$8*$K$21</f>
        <v>0.96610169491525422</v>
      </c>
      <c r="L8" s="5">
        <f>$H$8*$L$21</f>
        <v>0.94214876033057848</v>
      </c>
      <c r="N8" s="280"/>
      <c r="O8" s="2">
        <v>2020</v>
      </c>
      <c r="P8" s="46">
        <f t="shared" si="0"/>
        <v>0.16079200000000002</v>
      </c>
      <c r="Q8" s="4">
        <f t="shared" si="1"/>
        <v>0.15361200000000003</v>
      </c>
      <c r="R8" s="4">
        <f t="shared" si="2"/>
        <v>0.15095999999999998</v>
      </c>
      <c r="S8" s="4">
        <f t="shared" si="3"/>
        <v>0.15442800000000001</v>
      </c>
      <c r="T8" s="4">
        <f>$T$7*$G$21</f>
        <v>0.14624800000000002</v>
      </c>
      <c r="U8" s="13">
        <v>0.14499999999999999</v>
      </c>
      <c r="V8" s="4">
        <f>$U$8*$I$21</f>
        <v>0.13809523809523808</v>
      </c>
      <c r="W8" s="4">
        <f>$U$8*$J$21</f>
        <v>0.12831858407079647</v>
      </c>
      <c r="X8" s="4">
        <f>$U$8*$K$21</f>
        <v>0.1228813559322034</v>
      </c>
      <c r="Y8" s="5">
        <f>$U$8*$L$21</f>
        <v>0.11983471074380164</v>
      </c>
    </row>
    <row r="9" spans="1:28" x14ac:dyDescent="0.3">
      <c r="A9" s="280"/>
      <c r="B9" s="2">
        <v>2021</v>
      </c>
      <c r="C9" s="4">
        <f>$C$3*$C$22</f>
        <v>1.2654000000000001</v>
      </c>
      <c r="D9" s="4">
        <f>$D$4*$D$22</f>
        <v>1.2497799999999999</v>
      </c>
      <c r="E9" s="4">
        <f>$E$5*$E$22</f>
        <v>1.2543</v>
      </c>
      <c r="F9" s="4">
        <f>$F$6*$F$22</f>
        <v>1.2744</v>
      </c>
      <c r="G9" s="4">
        <f>$G$7*$G$22</f>
        <v>1.1872000000000003</v>
      </c>
      <c r="H9" s="4">
        <f>$H$8*$H$22</f>
        <v>1.1969999999999998</v>
      </c>
      <c r="I9" s="13">
        <v>1.18</v>
      </c>
      <c r="J9" s="4">
        <f>$I$9*$J$22</f>
        <v>1.0925925925925923</v>
      </c>
      <c r="K9" s="4">
        <f>$I$9*$K$22</f>
        <v>1.0535714285714284</v>
      </c>
      <c r="L9" s="5">
        <f>$I$9*$L$22</f>
        <v>1.0172413793103448</v>
      </c>
      <c r="N9" s="280"/>
      <c r="O9" s="2">
        <v>2021</v>
      </c>
      <c r="P9" s="46">
        <f t="shared" si="0"/>
        <v>0.16079200000000002</v>
      </c>
      <c r="Q9" s="4">
        <f t="shared" si="1"/>
        <v>0.15361200000000003</v>
      </c>
      <c r="R9" s="4">
        <f t="shared" si="2"/>
        <v>0.15095999999999998</v>
      </c>
      <c r="S9" s="4">
        <f t="shared" si="3"/>
        <v>0.15442800000000001</v>
      </c>
      <c r="T9" s="4">
        <f>$T$7*$G$21</f>
        <v>0.14624800000000002</v>
      </c>
      <c r="U9" s="4">
        <f>$U$8*$H$22</f>
        <v>0.15225</v>
      </c>
      <c r="V9" s="13">
        <v>0.155</v>
      </c>
      <c r="W9" s="4">
        <f>$V$9*$J$22</f>
        <v>0.14351851851851849</v>
      </c>
      <c r="X9" s="4">
        <f>$V$9*$K$22</f>
        <v>0.13839285714285712</v>
      </c>
      <c r="Y9" s="5">
        <f>$V$9*$L$22</f>
        <v>0.13362068965517243</v>
      </c>
    </row>
    <row r="10" spans="1:28" x14ac:dyDescent="0.3">
      <c r="A10" s="280"/>
      <c r="B10" s="2">
        <v>2022</v>
      </c>
      <c r="C10" s="4">
        <f>$C$3*$C$23</f>
        <v>1.3653000000000002</v>
      </c>
      <c r="D10" s="4">
        <f>$D$4*$D$23</f>
        <v>1.3493200000000001</v>
      </c>
      <c r="E10" s="4">
        <f>$E$5*$E$23</f>
        <v>1.3446999999999998</v>
      </c>
      <c r="F10" s="4">
        <f>$F$6*$F$23</f>
        <v>1.3687999999999998</v>
      </c>
      <c r="G10" s="4">
        <f>$G$7*$G$23</f>
        <v>1.2767999999999999</v>
      </c>
      <c r="H10" s="4">
        <f>$H$8*$H$23</f>
        <v>1.2881999999999998</v>
      </c>
      <c r="I10" s="4">
        <f>$I$9*$I$23</f>
        <v>1.2744</v>
      </c>
      <c r="J10" s="13">
        <v>1.054</v>
      </c>
      <c r="K10" s="4">
        <f>$J$10*$K$23</f>
        <v>1.0134615384615384</v>
      </c>
      <c r="L10" s="5">
        <f>$J$10*$L$23</f>
        <v>0.98504672897196266</v>
      </c>
      <c r="N10" s="280"/>
      <c r="O10" s="2">
        <v>2022</v>
      </c>
      <c r="P10" s="46">
        <f t="shared" si="0"/>
        <v>0.16079200000000002</v>
      </c>
      <c r="Q10" s="4">
        <f t="shared" si="1"/>
        <v>0.15361200000000003</v>
      </c>
      <c r="R10" s="4">
        <f t="shared" si="2"/>
        <v>0.15095999999999998</v>
      </c>
      <c r="S10" s="4">
        <f t="shared" si="3"/>
        <v>0.15442800000000001</v>
      </c>
      <c r="T10" s="4">
        <f>$T$7*$G$21</f>
        <v>0.14624800000000002</v>
      </c>
      <c r="U10" s="4">
        <f>$U$8*$H$22</f>
        <v>0.15225</v>
      </c>
      <c r="V10" s="4">
        <f>$V$9*$I$23</f>
        <v>0.16740000000000002</v>
      </c>
      <c r="W10" s="13">
        <v>0.1487</v>
      </c>
      <c r="X10" s="4">
        <f>$W$10*$K$23</f>
        <v>0.14298076923076922</v>
      </c>
      <c r="Y10" s="5">
        <f>$W$10*$L$23</f>
        <v>0.13897196261682243</v>
      </c>
    </row>
    <row r="11" spans="1:28" x14ac:dyDescent="0.3">
      <c r="A11" s="280"/>
      <c r="B11" s="2">
        <v>2023</v>
      </c>
      <c r="C11" s="4">
        <f>$C$3*$C$24</f>
        <v>1.4319000000000002</v>
      </c>
      <c r="D11" s="4">
        <f>$D$4*$D$24</f>
        <v>1.4046200000000002</v>
      </c>
      <c r="E11" s="4">
        <f>$E$5*$E$24</f>
        <v>1.4011999999999998</v>
      </c>
      <c r="F11" s="4">
        <f>$F$6*$F$24</f>
        <v>1.4278</v>
      </c>
      <c r="G11" s="4">
        <f>$G$7*$G$24</f>
        <v>1.3328</v>
      </c>
      <c r="H11" s="4">
        <f>$H$8*$H$24</f>
        <v>1.3451999999999997</v>
      </c>
      <c r="I11" s="4">
        <f>$I$9*$I$24</f>
        <v>1.3216000000000001</v>
      </c>
      <c r="J11" s="4">
        <f>$J$10*$J$24</f>
        <v>1.09616</v>
      </c>
      <c r="K11" s="13">
        <v>1.0820000000000001</v>
      </c>
      <c r="L11" s="5">
        <f>$K$11*$L$24</f>
        <v>1.0504854368932039</v>
      </c>
      <c r="N11" s="280"/>
      <c r="O11" s="2">
        <v>2023</v>
      </c>
      <c r="P11" s="46">
        <f t="shared" si="0"/>
        <v>0.16079200000000002</v>
      </c>
      <c r="Q11" s="4">
        <f t="shared" si="1"/>
        <v>0.15361200000000003</v>
      </c>
      <c r="R11" s="4">
        <f t="shared" si="2"/>
        <v>0.15095999999999998</v>
      </c>
      <c r="S11" s="4">
        <f t="shared" si="3"/>
        <v>0.15442800000000001</v>
      </c>
      <c r="T11" s="4">
        <f>$T$7*$G$21</f>
        <v>0.14624800000000002</v>
      </c>
      <c r="U11" s="4">
        <f>$U$8*$H$22</f>
        <v>0.15225</v>
      </c>
      <c r="V11" s="4">
        <f>$V$9*$I$23</f>
        <v>0.16740000000000002</v>
      </c>
      <c r="W11" s="4">
        <f>$W$10*$J$24</f>
        <v>0.15464800000000001</v>
      </c>
      <c r="X11" s="13">
        <v>0.14149999999999999</v>
      </c>
      <c r="Y11" s="5">
        <f>$X$11*$L$24</f>
        <v>0.13737864077669901</v>
      </c>
    </row>
    <row r="12" spans="1:28" ht="15" thickBot="1" x14ac:dyDescent="0.35">
      <c r="A12" s="281"/>
      <c r="B12" s="6">
        <v>2024</v>
      </c>
      <c r="C12" s="12">
        <f>$C$3*$C$25</f>
        <v>1.4652000000000003</v>
      </c>
      <c r="D12" s="12">
        <f>$D$4*$D$25</f>
        <v>1.4488600000000003</v>
      </c>
      <c r="E12" s="12">
        <f>$E$5*$E$25</f>
        <v>1.4463999999999999</v>
      </c>
      <c r="F12" s="12">
        <f>$F$6*$F$25</f>
        <v>1.4749999999999999</v>
      </c>
      <c r="G12" s="12">
        <f>$G$7*$G$25</f>
        <v>1.3776000000000002</v>
      </c>
      <c r="H12" s="12">
        <f>$H$8*$H$25</f>
        <v>1.3793999999999997</v>
      </c>
      <c r="I12" s="12">
        <f>$I$9*$I$25</f>
        <v>1.3687999999999998</v>
      </c>
      <c r="J12" s="12">
        <f>$J$10*$J$25</f>
        <v>1.1277800000000002</v>
      </c>
      <c r="K12" s="12">
        <f>$K$11*$K$25</f>
        <v>1.11446</v>
      </c>
      <c r="L12" s="14">
        <v>1.0820000000000001</v>
      </c>
      <c r="N12" s="281"/>
      <c r="O12" s="6">
        <v>2024</v>
      </c>
      <c r="P12" s="47">
        <f t="shared" si="0"/>
        <v>0.16079200000000002</v>
      </c>
      <c r="Q12" s="12">
        <f t="shared" si="1"/>
        <v>0.15361200000000003</v>
      </c>
      <c r="R12" s="12">
        <f t="shared" si="2"/>
        <v>0.15095999999999998</v>
      </c>
      <c r="S12" s="12">
        <f t="shared" si="3"/>
        <v>0.15442800000000001</v>
      </c>
      <c r="T12" s="12">
        <f>$T$7*$G$21</f>
        <v>0.14624800000000002</v>
      </c>
      <c r="U12" s="12">
        <f>$U$8*$H$22</f>
        <v>0.15225</v>
      </c>
      <c r="V12" s="12">
        <f>$V$9*$I$23</f>
        <v>0.16740000000000002</v>
      </c>
      <c r="W12" s="12">
        <f>$W$10*$J$24</f>
        <v>0.15464800000000001</v>
      </c>
      <c r="X12" s="12">
        <f>$X$11*$K$25</f>
        <v>0.14574499999999999</v>
      </c>
      <c r="Y12" s="14">
        <v>0.13930000000000001</v>
      </c>
    </row>
    <row r="13" spans="1:28" ht="15" thickBot="1" x14ac:dyDescent="0.35">
      <c r="A13" s="1"/>
      <c r="B13" s="1"/>
    </row>
    <row r="14" spans="1:28" ht="15" thickBot="1" x14ac:dyDescent="0.35">
      <c r="A14" s="282" t="s">
        <v>4</v>
      </c>
      <c r="B14" s="283"/>
      <c r="C14" s="278" t="s">
        <v>3</v>
      </c>
      <c r="D14" s="278"/>
      <c r="E14" s="278"/>
      <c r="F14" s="278"/>
      <c r="G14" s="278"/>
      <c r="H14" s="278"/>
      <c r="I14" s="278"/>
      <c r="J14" s="278"/>
      <c r="K14" s="278"/>
      <c r="L14" s="279"/>
      <c r="N14" s="7" t="s">
        <v>1</v>
      </c>
      <c r="O14" s="8"/>
      <c r="P14" s="278" t="s">
        <v>229</v>
      </c>
      <c r="Q14" s="278"/>
      <c r="R14" s="278"/>
      <c r="S14" s="278"/>
      <c r="T14" s="278"/>
      <c r="U14" s="278"/>
      <c r="V14" s="278"/>
      <c r="W14" s="278"/>
      <c r="X14" s="278"/>
      <c r="Y14" s="279"/>
      <c r="AA14" s="116" t="s">
        <v>107</v>
      </c>
      <c r="AB14" s="117" t="s">
        <v>108</v>
      </c>
    </row>
    <row r="15" spans="1:28" x14ac:dyDescent="0.3">
      <c r="A15" s="284"/>
      <c r="B15" s="285"/>
      <c r="C15" s="2">
        <v>2015</v>
      </c>
      <c r="D15" s="2">
        <v>2016</v>
      </c>
      <c r="E15" s="2">
        <v>2017</v>
      </c>
      <c r="F15" s="2">
        <v>2018</v>
      </c>
      <c r="G15" s="2">
        <v>2019</v>
      </c>
      <c r="H15" s="2">
        <v>2020</v>
      </c>
      <c r="I15" s="2">
        <v>2021</v>
      </c>
      <c r="J15" s="2">
        <v>2022</v>
      </c>
      <c r="K15" s="2">
        <v>2023</v>
      </c>
      <c r="L15" s="3">
        <v>2024</v>
      </c>
      <c r="N15" s="9"/>
      <c r="O15" s="2" t="s">
        <v>0</v>
      </c>
      <c r="P15" s="10">
        <v>2015</v>
      </c>
      <c r="Q15" s="10">
        <v>2016</v>
      </c>
      <c r="R15" s="10">
        <v>2017</v>
      </c>
      <c r="S15" s="10">
        <v>2018</v>
      </c>
      <c r="T15" s="10">
        <v>2019</v>
      </c>
      <c r="U15" s="10">
        <v>2020</v>
      </c>
      <c r="V15" s="10">
        <v>2021</v>
      </c>
      <c r="W15" s="10">
        <v>2022</v>
      </c>
      <c r="X15" s="10">
        <v>2023</v>
      </c>
      <c r="Y15" s="11">
        <v>2024</v>
      </c>
      <c r="AA15" s="119">
        <v>2001</v>
      </c>
      <c r="AB15" s="120">
        <v>1.77</v>
      </c>
    </row>
    <row r="16" spans="1:28" x14ac:dyDescent="0.3">
      <c r="A16" s="280" t="s">
        <v>2</v>
      </c>
      <c r="B16" s="2">
        <v>2015</v>
      </c>
      <c r="C16" s="13">
        <v>1</v>
      </c>
      <c r="D16" s="4">
        <f>1/C17</f>
        <v>0.99009900990099009</v>
      </c>
      <c r="E16" s="4">
        <f>1/C18</f>
        <v>0.970873786407767</v>
      </c>
      <c r="F16" s="4">
        <f>1/C19</f>
        <v>0.94339622641509424</v>
      </c>
      <c r="G16" s="4">
        <f>1/C20</f>
        <v>0.92592592592592582</v>
      </c>
      <c r="H16" s="4">
        <f>1/C21</f>
        <v>0.9174311926605504</v>
      </c>
      <c r="I16" s="4">
        <f>1/C22</f>
        <v>0.87719298245614041</v>
      </c>
      <c r="J16" s="4">
        <f>1/C23</f>
        <v>0.81300813008130079</v>
      </c>
      <c r="K16" s="4">
        <f>1/C24</f>
        <v>0.77519379844961234</v>
      </c>
      <c r="L16" s="5">
        <f>1/C25</f>
        <v>0.75757575757575757</v>
      </c>
      <c r="N16" s="280" t="s">
        <v>2</v>
      </c>
      <c r="O16" s="2">
        <v>2015</v>
      </c>
      <c r="P16" s="13">
        <v>0.75209999999999999</v>
      </c>
      <c r="Q16" s="4">
        <f>$P$16*D$16</f>
        <v>0.74465346534653465</v>
      </c>
      <c r="R16" s="4">
        <f t="shared" ref="R16:Y16" si="4">$P$16*E$16</f>
        <v>0.73019417475728154</v>
      </c>
      <c r="S16" s="4">
        <f t="shared" si="4"/>
        <v>0.70952830188679239</v>
      </c>
      <c r="T16" s="4">
        <f t="shared" si="4"/>
        <v>0.69638888888888884</v>
      </c>
      <c r="U16" s="4">
        <f t="shared" si="4"/>
        <v>0.69</v>
      </c>
      <c r="V16" s="4">
        <f t="shared" si="4"/>
        <v>0.65973684210526318</v>
      </c>
      <c r="W16" s="4">
        <f t="shared" si="4"/>
        <v>0.61146341463414633</v>
      </c>
      <c r="X16" s="4">
        <f t="shared" si="4"/>
        <v>0.58302325581395342</v>
      </c>
      <c r="Y16" s="5">
        <f t="shared" si="4"/>
        <v>0.56977272727272721</v>
      </c>
      <c r="AA16" s="106">
        <v>2002</v>
      </c>
      <c r="AB16" s="97">
        <v>1.74</v>
      </c>
    </row>
    <row r="17" spans="1:28" x14ac:dyDescent="0.3">
      <c r="A17" s="280"/>
      <c r="B17" s="2">
        <v>2016</v>
      </c>
      <c r="C17" s="4">
        <v>1.01</v>
      </c>
      <c r="D17" s="13">
        <v>1</v>
      </c>
      <c r="E17" s="4">
        <f>D17/D18</f>
        <v>0.98039215686274506</v>
      </c>
      <c r="F17" s="4">
        <f>D17/D19</f>
        <v>0.95238095238095233</v>
      </c>
      <c r="G17" s="4">
        <f>D17/D20</f>
        <v>0.93457943925233644</v>
      </c>
      <c r="H17" s="4">
        <f>D17/D21</f>
        <v>0.92592592592592582</v>
      </c>
      <c r="I17" s="4">
        <f>D17/D22</f>
        <v>0.88495575221238942</v>
      </c>
      <c r="J17" s="4">
        <f>D17/D23</f>
        <v>0.81967213114754101</v>
      </c>
      <c r="K17" s="4">
        <f>D17/D24</f>
        <v>0.78740157480314954</v>
      </c>
      <c r="L17" s="5">
        <f>D17/D25</f>
        <v>0.76335877862595414</v>
      </c>
      <c r="N17" s="280"/>
      <c r="O17" s="2">
        <v>2016</v>
      </c>
      <c r="P17" s="4">
        <f>$P$16*$C17</f>
        <v>0.75962099999999999</v>
      </c>
      <c r="Q17" s="13">
        <v>0.74380000000000002</v>
      </c>
      <c r="R17" s="4">
        <f>$Q$17*E$17</f>
        <v>0.72921568627450983</v>
      </c>
      <c r="S17" s="4">
        <f t="shared" ref="S17:Y17" si="5">$Q$17*F$17</f>
        <v>0.70838095238095233</v>
      </c>
      <c r="T17" s="4">
        <f t="shared" si="5"/>
        <v>0.69514018691588786</v>
      </c>
      <c r="U17" s="4">
        <f t="shared" si="5"/>
        <v>0.6887037037037036</v>
      </c>
      <c r="V17" s="4">
        <f t="shared" si="5"/>
        <v>0.65823008849557529</v>
      </c>
      <c r="W17" s="4">
        <f t="shared" si="5"/>
        <v>0.60967213114754104</v>
      </c>
      <c r="X17" s="4">
        <f t="shared" si="5"/>
        <v>0.58566929133858259</v>
      </c>
      <c r="Y17" s="5">
        <f t="shared" si="5"/>
        <v>0.56778625954198469</v>
      </c>
      <c r="AA17" s="106">
        <v>2003</v>
      </c>
      <c r="AB17" s="97">
        <v>1.7</v>
      </c>
    </row>
    <row r="18" spans="1:28" x14ac:dyDescent="0.3">
      <c r="A18" s="280"/>
      <c r="B18" s="2">
        <v>2017</v>
      </c>
      <c r="C18" s="4">
        <v>1.03</v>
      </c>
      <c r="D18" s="4">
        <v>1.02</v>
      </c>
      <c r="E18" s="13">
        <v>1</v>
      </c>
      <c r="F18" s="4">
        <f>E18/E19</f>
        <v>0.98039215686274506</v>
      </c>
      <c r="G18" s="4">
        <f>E18/E20</f>
        <v>0.96153846153846145</v>
      </c>
      <c r="H18" s="4">
        <f>E18/E21</f>
        <v>0.94339622641509424</v>
      </c>
      <c r="I18" s="4">
        <f>E18/E22</f>
        <v>0.9009009009009008</v>
      </c>
      <c r="J18" s="4">
        <f>E18/E23</f>
        <v>0.84033613445378152</v>
      </c>
      <c r="K18" s="4">
        <f>E18/E24</f>
        <v>0.80645161290322587</v>
      </c>
      <c r="L18" s="5">
        <f>E18/E25</f>
        <v>0.78125</v>
      </c>
      <c r="N18" s="280"/>
      <c r="O18" s="2">
        <v>2017</v>
      </c>
      <c r="P18" s="4">
        <f t="shared" ref="P18:P25" si="6">$P$16*$C18</f>
        <v>0.77466299999999999</v>
      </c>
      <c r="Q18" s="4">
        <f>$Q$17*$D18</f>
        <v>0.75867600000000002</v>
      </c>
      <c r="R18" s="13">
        <v>0.76690000000000003</v>
      </c>
      <c r="S18" s="4">
        <f>$S$19*F$18</f>
        <v>0.73284313725490202</v>
      </c>
      <c r="T18" s="4">
        <f t="shared" ref="T18:Y18" si="7">$S$19*G$18</f>
        <v>0.71875</v>
      </c>
      <c r="U18" s="4">
        <f t="shared" si="7"/>
        <v>0.70518867924528295</v>
      </c>
      <c r="V18" s="4">
        <f t="shared" si="7"/>
        <v>0.67342342342342343</v>
      </c>
      <c r="W18" s="4">
        <f t="shared" si="7"/>
        <v>0.62815126050420178</v>
      </c>
      <c r="X18" s="4">
        <f t="shared" si="7"/>
        <v>0.60282258064516137</v>
      </c>
      <c r="Y18" s="5">
        <f t="shared" si="7"/>
        <v>0.583984375</v>
      </c>
      <c r="AA18" s="106">
        <v>2004</v>
      </c>
      <c r="AB18" s="97">
        <v>1.66</v>
      </c>
    </row>
    <row r="19" spans="1:28" x14ac:dyDescent="0.3">
      <c r="A19" s="280"/>
      <c r="B19" s="2">
        <v>2018</v>
      </c>
      <c r="C19" s="4">
        <v>1.06</v>
      </c>
      <c r="D19" s="4">
        <v>1.05</v>
      </c>
      <c r="E19" s="4">
        <v>1.02</v>
      </c>
      <c r="F19" s="13">
        <v>1</v>
      </c>
      <c r="G19" s="4">
        <f>F19/F20</f>
        <v>0.98039215686274506</v>
      </c>
      <c r="H19" s="4">
        <f>F19/F21</f>
        <v>0.970873786407767</v>
      </c>
      <c r="I19" s="4">
        <f>F19/F22</f>
        <v>0.92592592592592582</v>
      </c>
      <c r="J19" s="4">
        <f>F19/F23</f>
        <v>0.86206896551724144</v>
      </c>
      <c r="K19" s="4">
        <f>F19/F24</f>
        <v>0.82644628099173556</v>
      </c>
      <c r="L19" s="5">
        <f>F19/F25</f>
        <v>0.8</v>
      </c>
      <c r="N19" s="280"/>
      <c r="O19" s="2">
        <v>2018</v>
      </c>
      <c r="P19" s="4">
        <f t="shared" si="6"/>
        <v>0.79722599999999999</v>
      </c>
      <c r="Q19" s="4">
        <f t="shared" ref="Q19:Q25" si="8">$Q$17*$D19</f>
        <v>0.78099000000000007</v>
      </c>
      <c r="R19" s="4">
        <f>$R$18*$E19</f>
        <v>0.78223799999999999</v>
      </c>
      <c r="S19" s="13">
        <v>0.74750000000000005</v>
      </c>
      <c r="T19" s="4">
        <f>$S$19*G$19</f>
        <v>0.73284313725490202</v>
      </c>
      <c r="U19" s="4">
        <f t="shared" ref="U19:Y19" si="9">$S$19*H$19</f>
        <v>0.72572815533980584</v>
      </c>
      <c r="V19" s="4">
        <f t="shared" si="9"/>
        <v>0.69212962962962965</v>
      </c>
      <c r="W19" s="4">
        <f t="shared" si="9"/>
        <v>0.64439655172413801</v>
      </c>
      <c r="X19" s="4">
        <f t="shared" si="9"/>
        <v>0.61776859504132242</v>
      </c>
      <c r="Y19" s="5">
        <f t="shared" si="9"/>
        <v>0.59800000000000009</v>
      </c>
      <c r="AA19" s="106">
        <v>2005</v>
      </c>
      <c r="AB19" s="97">
        <v>1.61</v>
      </c>
    </row>
    <row r="20" spans="1:28" x14ac:dyDescent="0.3">
      <c r="A20" s="280"/>
      <c r="B20" s="2">
        <v>2019</v>
      </c>
      <c r="C20" s="4">
        <v>1.08</v>
      </c>
      <c r="D20" s="4">
        <v>1.07</v>
      </c>
      <c r="E20" s="4">
        <v>1.04</v>
      </c>
      <c r="F20" s="4">
        <v>1.02</v>
      </c>
      <c r="G20" s="13">
        <v>1</v>
      </c>
      <c r="H20" s="4">
        <f>G20/G21</f>
        <v>0.99009900990099009</v>
      </c>
      <c r="I20" s="4">
        <f>G20/G22</f>
        <v>0.94339622641509424</v>
      </c>
      <c r="J20" s="4">
        <f>G20/G23</f>
        <v>0.87719298245614041</v>
      </c>
      <c r="K20" s="4">
        <f>G20/G24</f>
        <v>0.84033613445378152</v>
      </c>
      <c r="L20" s="5">
        <f>G20/G25</f>
        <v>0.81300813008130079</v>
      </c>
      <c r="N20" s="280"/>
      <c r="O20" s="2">
        <v>2019</v>
      </c>
      <c r="P20" s="4">
        <f t="shared" si="6"/>
        <v>0.81226799999999999</v>
      </c>
      <c r="Q20" s="4">
        <f t="shared" si="8"/>
        <v>0.79586600000000007</v>
      </c>
      <c r="R20" s="4">
        <f t="shared" ref="R20:R25" si="10">$R$18*$E20</f>
        <v>0.79757600000000006</v>
      </c>
      <c r="S20" s="4">
        <f>$S$19*$F20</f>
        <v>0.76245000000000007</v>
      </c>
      <c r="T20" s="13">
        <v>0.69540000000000002</v>
      </c>
      <c r="U20" s="4">
        <f>$T$20*H$20</f>
        <v>0.68851485148514857</v>
      </c>
      <c r="V20" s="4">
        <f t="shared" ref="V20:Y20" si="11">$T$20*I$20</f>
        <v>0.65603773584905656</v>
      </c>
      <c r="W20" s="4">
        <f t="shared" si="11"/>
        <v>0.6100000000000001</v>
      </c>
      <c r="X20" s="4">
        <f t="shared" si="11"/>
        <v>0.58436974789915974</v>
      </c>
      <c r="Y20" s="5">
        <f t="shared" si="11"/>
        <v>0.56536585365853653</v>
      </c>
      <c r="AA20" s="106">
        <v>2006</v>
      </c>
      <c r="AB20" s="97">
        <v>1.56</v>
      </c>
    </row>
    <row r="21" spans="1:28" x14ac:dyDescent="0.3">
      <c r="A21" s="280"/>
      <c r="B21" s="2">
        <v>2020</v>
      </c>
      <c r="C21" s="4">
        <v>1.0900000000000001</v>
      </c>
      <c r="D21" s="4">
        <v>1.08</v>
      </c>
      <c r="E21" s="4">
        <v>1.06</v>
      </c>
      <c r="F21" s="4">
        <v>1.03</v>
      </c>
      <c r="G21" s="4">
        <v>1.01</v>
      </c>
      <c r="H21" s="13">
        <v>1</v>
      </c>
      <c r="I21" s="4">
        <f>H21/H22</f>
        <v>0.95238095238095233</v>
      </c>
      <c r="J21" s="4">
        <f>H21/H23</f>
        <v>0.88495575221238942</v>
      </c>
      <c r="K21" s="4">
        <f>H21/H24</f>
        <v>0.84745762711864414</v>
      </c>
      <c r="L21" s="5">
        <f>H21/H25</f>
        <v>0.82644628099173556</v>
      </c>
      <c r="N21" s="280"/>
      <c r="O21" s="2">
        <v>2020</v>
      </c>
      <c r="P21" s="4">
        <f t="shared" si="6"/>
        <v>0.8197890000000001</v>
      </c>
      <c r="Q21" s="4">
        <f t="shared" si="8"/>
        <v>0.80330400000000002</v>
      </c>
      <c r="R21" s="4">
        <f t="shared" si="10"/>
        <v>0.81291400000000003</v>
      </c>
      <c r="S21" s="4">
        <f t="shared" ref="S21:S25" si="12">$S$19*$F21</f>
        <v>0.76992500000000008</v>
      </c>
      <c r="T21" s="4">
        <f>$T$20*$G21</f>
        <v>0.70235400000000003</v>
      </c>
      <c r="U21" s="13">
        <v>0.69059999999999999</v>
      </c>
      <c r="V21" s="4">
        <f>$U$21*I$21</f>
        <v>0.6577142857142857</v>
      </c>
      <c r="W21" s="4">
        <f t="shared" ref="W21:Y21" si="13">$U$21*J$21</f>
        <v>0.61115044247787609</v>
      </c>
      <c r="X21" s="4">
        <f t="shared" si="13"/>
        <v>0.58525423728813564</v>
      </c>
      <c r="Y21" s="5">
        <f t="shared" si="13"/>
        <v>0.57074380165289262</v>
      </c>
      <c r="AA21" s="106">
        <v>2007</v>
      </c>
      <c r="AB21" s="97">
        <v>1.51</v>
      </c>
    </row>
    <row r="22" spans="1:28" x14ac:dyDescent="0.3">
      <c r="A22" s="280"/>
      <c r="B22" s="2">
        <v>2021</v>
      </c>
      <c r="C22" s="4">
        <v>1.1399999999999999</v>
      </c>
      <c r="D22" s="4">
        <v>1.1299999999999999</v>
      </c>
      <c r="E22" s="4">
        <v>1.1100000000000001</v>
      </c>
      <c r="F22" s="4">
        <v>1.08</v>
      </c>
      <c r="G22" s="4">
        <v>1.06</v>
      </c>
      <c r="H22" s="4">
        <v>1.05</v>
      </c>
      <c r="I22" s="13">
        <v>1</v>
      </c>
      <c r="J22" s="4">
        <f>I22/I23</f>
        <v>0.92592592592592582</v>
      </c>
      <c r="K22" s="4">
        <f>I22/I24</f>
        <v>0.89285714285714279</v>
      </c>
      <c r="L22" s="5">
        <f>I22/I25</f>
        <v>0.86206896551724144</v>
      </c>
      <c r="N22" s="280"/>
      <c r="O22" s="2">
        <v>2021</v>
      </c>
      <c r="P22" s="4">
        <f t="shared" si="6"/>
        <v>0.85739399999999988</v>
      </c>
      <c r="Q22" s="4">
        <f t="shared" si="8"/>
        <v>0.84049399999999996</v>
      </c>
      <c r="R22" s="4">
        <f t="shared" si="10"/>
        <v>0.8512590000000001</v>
      </c>
      <c r="S22" s="4">
        <f t="shared" si="12"/>
        <v>0.80730000000000013</v>
      </c>
      <c r="T22" s="4">
        <f t="shared" ref="T22:T25" si="14">$T$20*$G22</f>
        <v>0.737124</v>
      </c>
      <c r="U22" s="4">
        <f>$U$21*$H22</f>
        <v>0.72513000000000005</v>
      </c>
      <c r="V22" s="13">
        <v>0.75129999999999997</v>
      </c>
      <c r="W22" s="4">
        <f>$V$22*J$22</f>
        <v>0.69564814814814802</v>
      </c>
      <c r="X22" s="4">
        <f t="shared" ref="X22:Y22" si="15">$V$22*K$22</f>
        <v>0.67080357142857139</v>
      </c>
      <c r="Y22" s="5">
        <f t="shared" si="15"/>
        <v>0.64767241379310347</v>
      </c>
      <c r="AA22" s="106">
        <v>2008</v>
      </c>
      <c r="AB22" s="97">
        <v>1.46</v>
      </c>
    </row>
    <row r="23" spans="1:28" x14ac:dyDescent="0.3">
      <c r="A23" s="280"/>
      <c r="B23" s="2">
        <v>2022</v>
      </c>
      <c r="C23" s="4">
        <v>1.23</v>
      </c>
      <c r="D23" s="4">
        <v>1.22</v>
      </c>
      <c r="E23" s="4">
        <v>1.19</v>
      </c>
      <c r="F23" s="4">
        <v>1.1599999999999999</v>
      </c>
      <c r="G23" s="4">
        <v>1.1399999999999999</v>
      </c>
      <c r="H23" s="4">
        <v>1.1299999999999999</v>
      </c>
      <c r="I23" s="4">
        <v>1.08</v>
      </c>
      <c r="J23" s="13">
        <v>1</v>
      </c>
      <c r="K23" s="4">
        <f>J23/J24</f>
        <v>0.96153846153846145</v>
      </c>
      <c r="L23" s="5">
        <f>J23/J25</f>
        <v>0.93457943925233644</v>
      </c>
      <c r="N23" s="280"/>
      <c r="O23" s="2">
        <v>2022</v>
      </c>
      <c r="P23" s="4">
        <f t="shared" si="6"/>
        <v>0.92508299999999999</v>
      </c>
      <c r="Q23" s="4">
        <f t="shared" si="8"/>
        <v>0.90743600000000002</v>
      </c>
      <c r="R23" s="4">
        <f t="shared" si="10"/>
        <v>0.91261099999999995</v>
      </c>
      <c r="S23" s="4">
        <f t="shared" si="12"/>
        <v>0.86709999999999998</v>
      </c>
      <c r="T23" s="4">
        <f t="shared" si="14"/>
        <v>0.79275599999999991</v>
      </c>
      <c r="U23" s="4">
        <f t="shared" ref="U23:U25" si="16">$U$21*$H23</f>
        <v>0.78037799999999991</v>
      </c>
      <c r="V23" s="4">
        <f>$V$22*$I23</f>
        <v>0.81140400000000001</v>
      </c>
      <c r="W23" s="13">
        <v>0.69479999999999997</v>
      </c>
      <c r="X23" s="4">
        <f>$W$23*K$23</f>
        <v>0.66807692307692301</v>
      </c>
      <c r="Y23" s="5">
        <f>$W$23*L$23</f>
        <v>0.64934579439252338</v>
      </c>
      <c r="AA23" s="106">
        <v>2009</v>
      </c>
      <c r="AB23" s="97">
        <v>1.46</v>
      </c>
    </row>
    <row r="24" spans="1:28" x14ac:dyDescent="0.3">
      <c r="A24" s="280"/>
      <c r="B24" s="2">
        <v>2023</v>
      </c>
      <c r="C24" s="4">
        <v>1.29</v>
      </c>
      <c r="D24" s="4">
        <v>1.27</v>
      </c>
      <c r="E24" s="4">
        <v>1.24</v>
      </c>
      <c r="F24" s="4">
        <v>1.21</v>
      </c>
      <c r="G24" s="4">
        <v>1.19</v>
      </c>
      <c r="H24" s="4">
        <v>1.18</v>
      </c>
      <c r="I24" s="4">
        <v>1.1200000000000001</v>
      </c>
      <c r="J24" s="4">
        <v>1.04</v>
      </c>
      <c r="K24" s="13">
        <v>1</v>
      </c>
      <c r="L24" s="5">
        <f>K24/K25</f>
        <v>0.970873786407767</v>
      </c>
      <c r="N24" s="280"/>
      <c r="O24" s="2">
        <v>2023</v>
      </c>
      <c r="P24" s="4">
        <f t="shared" si="6"/>
        <v>0.97020899999999999</v>
      </c>
      <c r="Q24" s="4">
        <f t="shared" si="8"/>
        <v>0.94462600000000008</v>
      </c>
      <c r="R24" s="4">
        <f t="shared" si="10"/>
        <v>0.95095600000000002</v>
      </c>
      <c r="S24" s="4">
        <f t="shared" si="12"/>
        <v>0.90447500000000003</v>
      </c>
      <c r="T24" s="4">
        <f t="shared" si="14"/>
        <v>0.82752599999999998</v>
      </c>
      <c r="U24" s="4">
        <f t="shared" si="16"/>
        <v>0.81490799999999997</v>
      </c>
      <c r="V24" s="4">
        <f t="shared" ref="V24:V25" si="17">$V$22*$I24</f>
        <v>0.84145600000000009</v>
      </c>
      <c r="W24" s="4">
        <f>$W$23*$J24</f>
        <v>0.72259200000000001</v>
      </c>
      <c r="X24" s="13">
        <v>0.66449999999999998</v>
      </c>
      <c r="Y24" s="5">
        <f>$X$24*$L$24</f>
        <v>0.64514563106796119</v>
      </c>
      <c r="AA24" s="106">
        <v>2010</v>
      </c>
      <c r="AB24" s="97">
        <v>1.44</v>
      </c>
    </row>
    <row r="25" spans="1:28" ht="15" thickBot="1" x14ac:dyDescent="0.35">
      <c r="A25" s="281"/>
      <c r="B25" s="6">
        <v>2024</v>
      </c>
      <c r="C25" s="12">
        <v>1.32</v>
      </c>
      <c r="D25" s="12">
        <v>1.31</v>
      </c>
      <c r="E25" s="12">
        <v>1.28</v>
      </c>
      <c r="F25" s="12">
        <v>1.25</v>
      </c>
      <c r="G25" s="12">
        <v>1.23</v>
      </c>
      <c r="H25" s="12">
        <v>1.21</v>
      </c>
      <c r="I25" s="12">
        <v>1.1599999999999999</v>
      </c>
      <c r="J25" s="12">
        <v>1.07</v>
      </c>
      <c r="K25" s="12">
        <v>1.03</v>
      </c>
      <c r="L25" s="14">
        <v>1</v>
      </c>
      <c r="N25" s="281"/>
      <c r="O25" s="6">
        <v>2024</v>
      </c>
      <c r="P25" s="12">
        <f t="shared" si="6"/>
        <v>0.99277199999999999</v>
      </c>
      <c r="Q25" s="12">
        <f t="shared" si="8"/>
        <v>0.97437800000000008</v>
      </c>
      <c r="R25" s="12">
        <f t="shared" si="10"/>
        <v>0.98163200000000006</v>
      </c>
      <c r="S25" s="12">
        <f t="shared" si="12"/>
        <v>0.93437500000000007</v>
      </c>
      <c r="T25" s="12">
        <f t="shared" si="14"/>
        <v>0.85534200000000005</v>
      </c>
      <c r="U25" s="12">
        <f t="shared" si="16"/>
        <v>0.83562599999999998</v>
      </c>
      <c r="V25" s="12">
        <f t="shared" si="17"/>
        <v>0.87150799999999995</v>
      </c>
      <c r="W25" s="12">
        <f>$W$23*$J25</f>
        <v>0.74343599999999999</v>
      </c>
      <c r="X25" s="12">
        <f>$X$24*$K$25</f>
        <v>0.68443500000000002</v>
      </c>
      <c r="Y25" s="14">
        <v>0.65980000000000005</v>
      </c>
      <c r="AA25" s="106">
        <v>2011</v>
      </c>
      <c r="AB25" s="97">
        <v>1.39</v>
      </c>
    </row>
    <row r="26" spans="1:28" x14ac:dyDescent="0.3">
      <c r="AA26" s="106">
        <v>2012</v>
      </c>
      <c r="AB26" s="97">
        <v>1.37</v>
      </c>
    </row>
    <row r="27" spans="1:28" x14ac:dyDescent="0.3">
      <c r="AA27" s="106">
        <v>2013</v>
      </c>
      <c r="AB27" s="97">
        <v>1.35</v>
      </c>
    </row>
    <row r="28" spans="1:28" ht="15" thickBot="1" x14ac:dyDescent="0.35">
      <c r="AA28" s="118">
        <v>2014</v>
      </c>
      <c r="AB28" s="98">
        <v>1.32</v>
      </c>
    </row>
    <row r="31" spans="1:28" x14ac:dyDescent="0.3">
      <c r="A31" t="s">
        <v>140</v>
      </c>
    </row>
  </sheetData>
  <mergeCells count="9">
    <mergeCell ref="P1:Y1"/>
    <mergeCell ref="N3:N12"/>
    <mergeCell ref="A3:A12"/>
    <mergeCell ref="C1:L1"/>
    <mergeCell ref="A16:A25"/>
    <mergeCell ref="C14:L14"/>
    <mergeCell ref="A14:B15"/>
    <mergeCell ref="P14:Y14"/>
    <mergeCell ref="N16:N25"/>
  </mergeCells>
  <pageMargins left="0.25" right="0.25" top="0.75" bottom="0.75" header="0.3" footer="0.3"/>
  <pageSetup paperSize="9" scale="56" orientation="landscape" r:id="rId1"/>
  <headerFooter>
    <oddFooter>&amp;C_x000D_&amp;1#&amp;"Calibri"&amp;7&amp;K000000 Classification: In-Confidence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3E942-3563-4007-95D3-56D82FCF8989}">
  <sheetPr>
    <tabColor rgb="FFFFFF00"/>
    <pageSetUpPr fitToPage="1"/>
  </sheetPr>
  <dimension ref="A1:AY51"/>
  <sheetViews>
    <sheetView topLeftCell="AC1" zoomScale="70" zoomScaleNormal="70" workbookViewId="0">
      <selection activeCell="O39" sqref="O39"/>
    </sheetView>
  </sheetViews>
  <sheetFormatPr defaultRowHeight="14.4" x14ac:dyDescent="0.3"/>
  <cols>
    <col min="2" max="4" width="9.109375" bestFit="1" customWidth="1"/>
    <col min="5" max="9" width="8.44140625" bestFit="1" customWidth="1"/>
    <col min="10" max="10" width="8.44140625" customWidth="1"/>
    <col min="11" max="13" width="8.44140625" bestFit="1" customWidth="1"/>
    <col min="14" max="14" width="8.77734375" bestFit="1" customWidth="1"/>
    <col min="15" max="15" width="9" bestFit="1" customWidth="1"/>
    <col min="16" max="16" width="9.109375" bestFit="1" customWidth="1"/>
    <col min="17" max="17" width="14.21875" customWidth="1"/>
    <col min="18" max="18" width="13.6640625" customWidth="1"/>
    <col min="19" max="19" width="13.44140625" customWidth="1"/>
    <col min="20" max="20" width="13.88671875" customWidth="1"/>
    <col min="21" max="21" width="14.88671875" customWidth="1"/>
    <col min="22" max="22" width="14.77734375" customWidth="1"/>
    <col min="23" max="23" width="24.5546875" bestFit="1" customWidth="1"/>
    <col min="24" max="24" width="24.88671875" bestFit="1" customWidth="1"/>
    <col min="25" max="25" width="9" bestFit="1" customWidth="1"/>
    <col min="26" max="26" width="8.44140625" bestFit="1" customWidth="1"/>
    <col min="27" max="27" width="8.33203125" bestFit="1" customWidth="1"/>
    <col min="28" max="28" width="38.44140625" bestFit="1" customWidth="1"/>
    <col min="29" max="31" width="8.5546875" bestFit="1" customWidth="1"/>
    <col min="32" max="32" width="19.77734375" bestFit="1" customWidth="1"/>
    <col min="33" max="33" width="17.88671875" bestFit="1" customWidth="1"/>
    <col min="34" max="34" width="19.109375" bestFit="1" customWidth="1"/>
    <col min="35" max="35" width="8.5546875" bestFit="1" customWidth="1"/>
    <col min="36" max="36" width="8.5546875" customWidth="1"/>
    <col min="37" max="40" width="8.5546875" bestFit="1" customWidth="1"/>
    <col min="41" max="41" width="21.77734375" bestFit="1" customWidth="1"/>
    <col min="42" max="42" width="17.33203125" bestFit="1" customWidth="1"/>
    <col min="43" max="43" width="18.5546875" bestFit="1" customWidth="1"/>
    <col min="44" max="44" width="16.21875" bestFit="1" customWidth="1"/>
    <col min="45" max="45" width="8.5546875" bestFit="1" customWidth="1"/>
    <col min="48" max="48" width="20.44140625" bestFit="1" customWidth="1"/>
  </cols>
  <sheetData>
    <row r="1" spans="1:51" ht="43.8" customHeight="1" thickBot="1" x14ac:dyDescent="0.35">
      <c r="A1" s="289" t="s">
        <v>0</v>
      </c>
      <c r="B1" s="291" t="s">
        <v>312</v>
      </c>
      <c r="C1" s="292"/>
      <c r="D1" s="292"/>
      <c r="E1" s="291" t="s">
        <v>6</v>
      </c>
      <c r="F1" s="292"/>
      <c r="G1" s="292"/>
      <c r="H1" s="291" t="s">
        <v>7</v>
      </c>
      <c r="I1" s="292"/>
      <c r="J1" s="292"/>
      <c r="K1" s="291" t="s">
        <v>8</v>
      </c>
      <c r="L1" s="292"/>
      <c r="M1" s="293"/>
      <c r="N1" s="291" t="s">
        <v>9</v>
      </c>
      <c r="O1" s="292"/>
      <c r="P1" s="293"/>
      <c r="Q1" s="291" t="s">
        <v>309</v>
      </c>
      <c r="R1" s="292"/>
      <c r="S1" s="293"/>
      <c r="T1" s="291" t="s">
        <v>310</v>
      </c>
      <c r="U1" s="292"/>
      <c r="V1" s="293"/>
      <c r="W1" s="28" t="s">
        <v>10</v>
      </c>
      <c r="X1" s="28" t="s">
        <v>31</v>
      </c>
      <c r="Y1" s="291" t="s">
        <v>11</v>
      </c>
      <c r="Z1" s="292"/>
      <c r="AA1" s="292"/>
      <c r="AB1" s="28" t="s">
        <v>329</v>
      </c>
      <c r="AC1" s="292" t="s">
        <v>282</v>
      </c>
      <c r="AD1" s="292"/>
      <c r="AE1" s="292"/>
      <c r="AF1" s="291" t="s">
        <v>12</v>
      </c>
      <c r="AG1" s="292"/>
      <c r="AH1" s="293"/>
      <c r="AI1" s="291" t="s">
        <v>13</v>
      </c>
      <c r="AJ1" s="292"/>
      <c r="AK1" s="292"/>
      <c r="AL1" s="291" t="s">
        <v>296</v>
      </c>
      <c r="AM1" s="292"/>
      <c r="AN1" s="292"/>
      <c r="AO1" s="28" t="s">
        <v>283</v>
      </c>
      <c r="AP1" s="28" t="s">
        <v>14</v>
      </c>
      <c r="AQ1" s="27" t="s">
        <v>23</v>
      </c>
      <c r="AR1" s="28" t="s">
        <v>15</v>
      </c>
      <c r="AS1" s="291" t="s">
        <v>16</v>
      </c>
      <c r="AT1" s="292"/>
      <c r="AU1" s="293"/>
      <c r="AV1" s="28" t="s">
        <v>287</v>
      </c>
      <c r="AW1" s="286" t="s">
        <v>17</v>
      </c>
      <c r="AX1" s="287"/>
      <c r="AY1" s="288"/>
    </row>
    <row r="2" spans="1:51" ht="15" thickBot="1" x14ac:dyDescent="0.35">
      <c r="A2" s="290"/>
      <c r="B2" s="29" t="s">
        <v>18</v>
      </c>
      <c r="C2" s="30" t="s">
        <v>19</v>
      </c>
      <c r="D2" s="31" t="s">
        <v>20</v>
      </c>
      <c r="E2" s="29" t="s">
        <v>18</v>
      </c>
      <c r="F2" s="30" t="s">
        <v>19</v>
      </c>
      <c r="G2" s="31" t="s">
        <v>20</v>
      </c>
      <c r="H2" s="29" t="s">
        <v>18</v>
      </c>
      <c r="I2" s="30" t="s">
        <v>19</v>
      </c>
      <c r="J2" s="31" t="s">
        <v>20</v>
      </c>
      <c r="K2" s="29" t="s">
        <v>18</v>
      </c>
      <c r="L2" s="30" t="s">
        <v>19</v>
      </c>
      <c r="M2" s="31" t="s">
        <v>20</v>
      </c>
      <c r="N2" s="29" t="s">
        <v>18</v>
      </c>
      <c r="O2" s="30" t="s">
        <v>19</v>
      </c>
      <c r="P2" s="30" t="s">
        <v>20</v>
      </c>
      <c r="Q2" s="29" t="s">
        <v>18</v>
      </c>
      <c r="R2" s="30" t="s">
        <v>19</v>
      </c>
      <c r="S2" s="31" t="s">
        <v>20</v>
      </c>
      <c r="T2" s="29" t="s">
        <v>18</v>
      </c>
      <c r="U2" s="30" t="s">
        <v>19</v>
      </c>
      <c r="V2" s="31" t="s">
        <v>20</v>
      </c>
      <c r="W2" s="29" t="s">
        <v>19</v>
      </c>
      <c r="X2" s="32" t="s">
        <v>19</v>
      </c>
      <c r="Y2" s="29" t="s">
        <v>18</v>
      </c>
      <c r="Z2" s="30" t="s">
        <v>19</v>
      </c>
      <c r="AA2" s="31" t="s">
        <v>20</v>
      </c>
      <c r="AB2" s="32" t="s">
        <v>19</v>
      </c>
      <c r="AC2" s="29" t="s">
        <v>18</v>
      </c>
      <c r="AD2" s="30" t="s">
        <v>19</v>
      </c>
      <c r="AE2" s="31" t="s">
        <v>20</v>
      </c>
      <c r="AF2" s="29" t="s">
        <v>18</v>
      </c>
      <c r="AG2" s="30" t="s">
        <v>19</v>
      </c>
      <c r="AH2" s="31" t="s">
        <v>20</v>
      </c>
      <c r="AI2" s="29" t="s">
        <v>18</v>
      </c>
      <c r="AJ2" s="30" t="s">
        <v>19</v>
      </c>
      <c r="AK2" s="31" t="s">
        <v>20</v>
      </c>
      <c r="AL2" s="29" t="s">
        <v>18</v>
      </c>
      <c r="AM2" s="30" t="s">
        <v>19</v>
      </c>
      <c r="AN2" s="31" t="s">
        <v>20</v>
      </c>
      <c r="AO2" s="29" t="s">
        <v>19</v>
      </c>
      <c r="AP2" s="32" t="s">
        <v>19</v>
      </c>
      <c r="AQ2" s="31" t="s">
        <v>19</v>
      </c>
      <c r="AR2" s="32" t="s">
        <v>19</v>
      </c>
      <c r="AS2" s="29" t="s">
        <v>21</v>
      </c>
      <c r="AT2" s="30" t="s">
        <v>19</v>
      </c>
      <c r="AU2" s="31" t="s">
        <v>22</v>
      </c>
      <c r="AV2" s="32" t="s">
        <v>19</v>
      </c>
      <c r="AW2" s="33" t="s">
        <v>18</v>
      </c>
      <c r="AX2" s="34" t="s">
        <v>19</v>
      </c>
      <c r="AY2" s="35" t="s">
        <v>20</v>
      </c>
    </row>
    <row r="3" spans="1:51" x14ac:dyDescent="0.3">
      <c r="A3" s="37">
        <v>2015</v>
      </c>
      <c r="B3" s="122"/>
      <c r="C3" s="125"/>
      <c r="D3" s="125"/>
      <c r="E3" s="122"/>
      <c r="F3" s="125"/>
      <c r="G3" s="125"/>
      <c r="H3" s="122"/>
      <c r="I3" s="125"/>
      <c r="J3" s="125"/>
      <c r="K3" s="122"/>
      <c r="L3" s="125"/>
      <c r="M3" s="125"/>
      <c r="N3" s="122">
        <v>1474.8570000000002</v>
      </c>
      <c r="O3" s="125">
        <v>1585.4712750000001</v>
      </c>
      <c r="P3" s="125">
        <v>1696.08555</v>
      </c>
      <c r="Q3" s="122"/>
      <c r="R3" s="125">
        <v>1674.0000000000002</v>
      </c>
      <c r="S3" s="126"/>
      <c r="T3" s="122"/>
      <c r="U3" s="125"/>
      <c r="V3" s="126"/>
      <c r="W3" s="123"/>
      <c r="X3" s="132"/>
      <c r="Y3" s="122"/>
      <c r="Z3" s="125"/>
      <c r="AA3" s="125"/>
      <c r="AB3" s="132"/>
      <c r="AC3" s="122"/>
      <c r="AD3" s="125"/>
      <c r="AE3" s="125"/>
      <c r="AF3" s="122"/>
      <c r="AG3" s="125"/>
      <c r="AH3" s="126"/>
      <c r="AI3" s="122">
        <v>1780.5008480000001</v>
      </c>
      <c r="AJ3" s="125">
        <v>1780.5008480000001</v>
      </c>
      <c r="AK3" s="125">
        <v>1780.5008480000001</v>
      </c>
      <c r="AL3" s="122"/>
      <c r="AM3" s="125"/>
      <c r="AN3" s="125"/>
      <c r="AO3" s="123">
        <v>2214.9429</v>
      </c>
      <c r="AP3" s="131"/>
      <c r="AQ3" s="128"/>
      <c r="AR3" s="123"/>
      <c r="AS3" s="122"/>
      <c r="AT3" s="125"/>
      <c r="AU3" s="126"/>
      <c r="AV3" s="131"/>
      <c r="AW3" s="127">
        <v>1376.08</v>
      </c>
      <c r="AX3" s="127">
        <v>2076.48</v>
      </c>
      <c r="AY3" s="128">
        <v>4611.3100000000004</v>
      </c>
    </row>
    <row r="4" spans="1:51" x14ac:dyDescent="0.3">
      <c r="A4" s="37">
        <v>2016</v>
      </c>
      <c r="B4" s="123"/>
      <c r="C4" s="127"/>
      <c r="D4" s="127"/>
      <c r="E4" s="123"/>
      <c r="F4" s="127"/>
      <c r="G4" s="127"/>
      <c r="H4" s="123"/>
      <c r="I4" s="127"/>
      <c r="J4" s="127"/>
      <c r="K4" s="123"/>
      <c r="L4" s="127"/>
      <c r="M4" s="127"/>
      <c r="N4" s="123"/>
      <c r="O4" s="127"/>
      <c r="P4" s="127"/>
      <c r="Q4" s="123"/>
      <c r="R4" s="127"/>
      <c r="S4" s="128"/>
      <c r="T4" s="123"/>
      <c r="U4" s="127"/>
      <c r="V4" s="128"/>
      <c r="W4" s="123"/>
      <c r="X4" s="132"/>
      <c r="Y4" s="123"/>
      <c r="Z4" s="127"/>
      <c r="AA4" s="127"/>
      <c r="AB4" s="132"/>
      <c r="AC4" s="123"/>
      <c r="AD4" s="127"/>
      <c r="AE4" s="127"/>
      <c r="AF4" s="123"/>
      <c r="AG4" s="127"/>
      <c r="AH4" s="128"/>
      <c r="AI4" s="123"/>
      <c r="AJ4" s="127"/>
      <c r="AK4" s="127"/>
      <c r="AL4" s="123"/>
      <c r="AM4" s="127"/>
      <c r="AN4" s="127"/>
      <c r="AO4" s="123"/>
      <c r="AP4" s="132"/>
      <c r="AQ4" s="128"/>
      <c r="AR4" s="123"/>
      <c r="AS4" s="123"/>
      <c r="AT4" s="127"/>
      <c r="AU4" s="128"/>
      <c r="AV4" s="132"/>
      <c r="AW4" s="127">
        <v>1176.26</v>
      </c>
      <c r="AX4" s="127">
        <v>1887.99</v>
      </c>
      <c r="AY4" s="128">
        <v>3710.06</v>
      </c>
    </row>
    <row r="5" spans="1:51" x14ac:dyDescent="0.3">
      <c r="A5" s="37">
        <v>2017</v>
      </c>
      <c r="B5" s="123"/>
      <c r="C5" s="127"/>
      <c r="D5" s="127"/>
      <c r="E5" s="123"/>
      <c r="F5" s="127"/>
      <c r="G5" s="127"/>
      <c r="H5" s="123"/>
      <c r="I5" s="127"/>
      <c r="J5" s="127"/>
      <c r="K5" s="123"/>
      <c r="L5" s="127"/>
      <c r="M5" s="127"/>
      <c r="N5" s="123"/>
      <c r="O5" s="127"/>
      <c r="P5" s="127"/>
      <c r="Q5" s="123"/>
      <c r="R5" s="127"/>
      <c r="S5" s="128"/>
      <c r="T5" s="123"/>
      <c r="U5" s="127"/>
      <c r="V5" s="128"/>
      <c r="W5" s="123"/>
      <c r="X5" s="132"/>
      <c r="Y5" s="123"/>
      <c r="Z5" s="127"/>
      <c r="AA5" s="127"/>
      <c r="AB5" s="132">
        <v>1640.79</v>
      </c>
      <c r="AC5" s="123"/>
      <c r="AD5" s="127"/>
      <c r="AE5" s="127"/>
      <c r="AF5" s="123"/>
      <c r="AG5" s="127"/>
      <c r="AH5" s="128"/>
      <c r="AI5" s="123"/>
      <c r="AJ5" s="127"/>
      <c r="AK5" s="127"/>
      <c r="AL5" s="123"/>
      <c r="AM5" s="127"/>
      <c r="AN5" s="127"/>
      <c r="AO5" s="123"/>
      <c r="AP5" s="132"/>
      <c r="AQ5" s="128"/>
      <c r="AR5" s="123"/>
      <c r="AS5" s="123"/>
      <c r="AT5" s="127"/>
      <c r="AU5" s="128"/>
      <c r="AV5" s="132"/>
      <c r="AW5" s="127">
        <v>955.84</v>
      </c>
      <c r="AX5" s="127">
        <v>1633.5800000000002</v>
      </c>
      <c r="AY5" s="128">
        <v>3423.7200000000003</v>
      </c>
    </row>
    <row r="6" spans="1:51" x14ac:dyDescent="0.3">
      <c r="A6" s="37">
        <v>2018</v>
      </c>
      <c r="B6" s="123"/>
      <c r="C6" s="127"/>
      <c r="D6" s="127"/>
      <c r="E6" s="123"/>
      <c r="F6" s="127"/>
      <c r="G6" s="127"/>
      <c r="H6" s="123"/>
      <c r="I6" s="127"/>
      <c r="J6" s="127"/>
      <c r="K6" s="123"/>
      <c r="L6" s="127"/>
      <c r="M6" s="127"/>
      <c r="N6" s="123"/>
      <c r="O6" s="127"/>
      <c r="P6" s="127"/>
      <c r="Q6" s="123"/>
      <c r="R6" s="127"/>
      <c r="S6" s="128"/>
      <c r="T6" s="123"/>
      <c r="U6" s="127"/>
      <c r="V6" s="128"/>
      <c r="W6" s="123"/>
      <c r="X6" s="132"/>
      <c r="Y6" s="123"/>
      <c r="Z6" s="127"/>
      <c r="AA6" s="127"/>
      <c r="AB6" s="132"/>
      <c r="AC6" s="123"/>
      <c r="AD6" s="127"/>
      <c r="AE6" s="127"/>
      <c r="AF6" s="123"/>
      <c r="AG6" s="127"/>
      <c r="AH6" s="128"/>
      <c r="AI6" s="123"/>
      <c r="AJ6" s="127"/>
      <c r="AK6" s="127"/>
      <c r="AL6" s="123"/>
      <c r="AM6" s="127"/>
      <c r="AN6" s="127"/>
      <c r="AO6" s="123"/>
      <c r="AP6" s="132"/>
      <c r="AQ6" s="128"/>
      <c r="AR6" s="123"/>
      <c r="AS6" s="123"/>
      <c r="AT6" s="127"/>
      <c r="AU6" s="128"/>
      <c r="AV6" s="132"/>
      <c r="AW6" s="127">
        <v>919.79000000000008</v>
      </c>
      <c r="AX6" s="127">
        <v>1395.65</v>
      </c>
      <c r="AY6" s="128">
        <v>3300.12</v>
      </c>
    </row>
    <row r="7" spans="1:51" x14ac:dyDescent="0.3">
      <c r="A7" s="37">
        <v>2019</v>
      </c>
      <c r="B7" s="123"/>
      <c r="C7" s="127"/>
      <c r="D7" s="127"/>
      <c r="E7" s="123"/>
      <c r="F7" s="127"/>
      <c r="G7" s="127"/>
      <c r="H7" s="123"/>
      <c r="I7" s="127"/>
      <c r="J7" s="127"/>
      <c r="K7" s="123"/>
      <c r="L7" s="127"/>
      <c r="M7" s="127"/>
      <c r="N7" s="123"/>
      <c r="O7" s="127"/>
      <c r="P7" s="127"/>
      <c r="Q7" s="123"/>
      <c r="R7" s="127"/>
      <c r="S7" s="128"/>
      <c r="T7" s="123"/>
      <c r="U7" s="127"/>
      <c r="V7" s="128"/>
      <c r="W7" s="123"/>
      <c r="X7" s="132"/>
      <c r="Y7" s="123"/>
      <c r="Z7" s="127"/>
      <c r="AA7" s="127"/>
      <c r="AB7" s="132"/>
      <c r="AC7" s="123"/>
      <c r="AD7" s="127"/>
      <c r="AE7" s="127"/>
      <c r="AF7" s="123"/>
      <c r="AG7" s="127"/>
      <c r="AH7" s="128"/>
      <c r="AI7" s="123"/>
      <c r="AJ7" s="127"/>
      <c r="AK7" s="127"/>
      <c r="AL7" s="123"/>
      <c r="AM7" s="127"/>
      <c r="AN7" s="127"/>
      <c r="AO7" s="123"/>
      <c r="AP7" s="132"/>
      <c r="AQ7" s="128"/>
      <c r="AR7" s="123"/>
      <c r="AS7" s="123"/>
      <c r="AT7" s="127"/>
      <c r="AU7" s="128"/>
      <c r="AV7" s="132"/>
      <c r="AW7" s="127">
        <v>820.91</v>
      </c>
      <c r="AX7" s="127">
        <v>1153.6000000000001</v>
      </c>
      <c r="AY7" s="128">
        <v>2710.96</v>
      </c>
    </row>
    <row r="8" spans="1:51" x14ac:dyDescent="0.3">
      <c r="A8" s="37">
        <v>2020</v>
      </c>
      <c r="B8" s="123"/>
      <c r="C8" s="127"/>
      <c r="D8" s="127"/>
      <c r="E8" s="123"/>
      <c r="F8" s="127"/>
      <c r="G8" s="127"/>
      <c r="H8" s="123"/>
      <c r="I8" s="127"/>
      <c r="J8" s="127"/>
      <c r="K8" s="123">
        <v>659.29372999999987</v>
      </c>
      <c r="L8" s="127">
        <v>692.60541319999993</v>
      </c>
      <c r="M8" s="127">
        <v>725.91709639999999</v>
      </c>
      <c r="N8" s="123">
        <v>637.13822400000004</v>
      </c>
      <c r="O8" s="127">
        <v>668.8476495000001</v>
      </c>
      <c r="P8" s="127">
        <v>700.55707500000005</v>
      </c>
      <c r="Q8" s="123">
        <v>583.20000000000005</v>
      </c>
      <c r="R8" s="127">
        <v>604.80000000000007</v>
      </c>
      <c r="S8" s="128">
        <v>648</v>
      </c>
      <c r="T8" s="123">
        <v>648</v>
      </c>
      <c r="U8" s="127">
        <v>702.00000000000011</v>
      </c>
      <c r="V8" s="128">
        <v>756</v>
      </c>
      <c r="W8" s="123">
        <v>1683.6279883999996</v>
      </c>
      <c r="X8" s="132">
        <v>649.37750800000003</v>
      </c>
      <c r="Y8" s="123"/>
      <c r="Z8" s="127"/>
      <c r="AA8" s="127"/>
      <c r="AB8" s="132"/>
      <c r="AC8" s="123">
        <v>540.6427152</v>
      </c>
      <c r="AD8" s="127">
        <v>540.6427152</v>
      </c>
      <c r="AE8" s="127">
        <v>540.6427152</v>
      </c>
      <c r="AF8" s="123">
        <v>1002.705</v>
      </c>
      <c r="AG8" s="127">
        <v>1178.9379999999999</v>
      </c>
      <c r="AH8" s="128">
        <v>1391.633</v>
      </c>
      <c r="AI8" s="123">
        <v>568.64289440000005</v>
      </c>
      <c r="AJ8" s="127">
        <v>978.81229600000006</v>
      </c>
      <c r="AK8" s="127">
        <v>1407.6227200000003</v>
      </c>
      <c r="AL8" s="123">
        <v>1318.2308003255393</v>
      </c>
      <c r="AM8" s="127">
        <v>1318.2308003255393</v>
      </c>
      <c r="AN8" s="127">
        <v>1318.2308003255393</v>
      </c>
      <c r="AO8" s="123">
        <v>1712.6942999999999</v>
      </c>
      <c r="AP8" s="132"/>
      <c r="AQ8" s="128">
        <v>2047.1589899999997</v>
      </c>
      <c r="AR8" s="123">
        <v>573.19465021817996</v>
      </c>
      <c r="AS8" s="123">
        <v>690.83401920000006</v>
      </c>
      <c r="AT8" s="127">
        <v>988.00846560000002</v>
      </c>
      <c r="AU8" s="128">
        <v>1285.1829120000002</v>
      </c>
      <c r="AV8" s="132">
        <v>1058.6134</v>
      </c>
      <c r="AW8" s="127">
        <v>654.05000000000007</v>
      </c>
      <c r="AX8" s="192">
        <v>1012.49</v>
      </c>
      <c r="AY8" s="193">
        <v>2679.03</v>
      </c>
    </row>
    <row r="9" spans="1:51" x14ac:dyDescent="0.3">
      <c r="A9" s="37">
        <v>2021</v>
      </c>
      <c r="B9" s="227">
        <v>1329.5304563167463</v>
      </c>
      <c r="C9" s="228">
        <v>1329.5304563167463</v>
      </c>
      <c r="D9" s="228">
        <v>1329.5304563167463</v>
      </c>
      <c r="E9" s="123"/>
      <c r="F9" s="127"/>
      <c r="G9" s="127"/>
      <c r="H9" s="123"/>
      <c r="I9" s="127"/>
      <c r="J9" s="127"/>
      <c r="K9" s="123"/>
      <c r="L9" s="127"/>
      <c r="M9" s="127"/>
      <c r="N9" s="123"/>
      <c r="O9" s="127"/>
      <c r="P9" s="127"/>
      <c r="Q9" s="123"/>
      <c r="R9" s="127"/>
      <c r="S9" s="128"/>
      <c r="T9" s="123"/>
      <c r="U9" s="127"/>
      <c r="V9" s="128"/>
      <c r="W9" s="123"/>
      <c r="X9" s="132"/>
      <c r="Y9" s="123"/>
      <c r="Z9" s="127"/>
      <c r="AA9" s="127"/>
      <c r="AB9" s="132"/>
      <c r="AC9" s="123">
        <v>507.06776400000012</v>
      </c>
      <c r="AD9" s="127">
        <v>514.8159184000001</v>
      </c>
      <c r="AE9" s="127">
        <v>523.4246584</v>
      </c>
      <c r="AF9" s="123"/>
      <c r="AG9" s="127"/>
      <c r="AH9" s="128"/>
      <c r="AI9" s="123"/>
      <c r="AJ9" s="127"/>
      <c r="AK9" s="127"/>
      <c r="AL9" s="123"/>
      <c r="AM9" s="127"/>
      <c r="AN9" s="127"/>
      <c r="AO9" s="123"/>
      <c r="AP9" s="132"/>
      <c r="AQ9" s="128"/>
      <c r="AR9" s="123"/>
      <c r="AS9" s="123">
        <v>617.5050232000001</v>
      </c>
      <c r="AT9" s="127">
        <v>883.80427200000008</v>
      </c>
      <c r="AU9" s="128">
        <v>1150.1045920000001</v>
      </c>
      <c r="AV9" s="132">
        <v>1058.6134</v>
      </c>
      <c r="AW9" s="127">
        <v>636.54</v>
      </c>
      <c r="AX9" s="192">
        <v>944.51</v>
      </c>
      <c r="AY9" s="193">
        <v>2157.85</v>
      </c>
    </row>
    <row r="10" spans="1:51" x14ac:dyDescent="0.3">
      <c r="A10" s="37">
        <v>2022</v>
      </c>
      <c r="B10" s="227">
        <v>1414.3941024646235</v>
      </c>
      <c r="C10" s="228">
        <v>1414.3941024646235</v>
      </c>
      <c r="D10" s="228">
        <v>1414.3941024646235</v>
      </c>
      <c r="E10" s="123">
        <v>1019.7</v>
      </c>
      <c r="F10" s="127">
        <v>1019.7</v>
      </c>
      <c r="G10" s="127">
        <v>1019.7</v>
      </c>
      <c r="H10" s="123">
        <v>659.2</v>
      </c>
      <c r="I10" s="127">
        <v>659.2</v>
      </c>
      <c r="J10" s="127">
        <v>659.2</v>
      </c>
      <c r="K10" s="123"/>
      <c r="L10" s="127"/>
      <c r="M10" s="127"/>
      <c r="N10" s="123"/>
      <c r="O10" s="127"/>
      <c r="P10" s="127"/>
      <c r="Q10" s="123"/>
      <c r="R10" s="127"/>
      <c r="S10" s="128"/>
      <c r="T10" s="123"/>
      <c r="U10" s="127"/>
      <c r="V10" s="128"/>
      <c r="W10" s="123"/>
      <c r="X10" s="132"/>
      <c r="Y10" s="123">
        <v>741.6</v>
      </c>
      <c r="Z10" s="127">
        <v>741.6</v>
      </c>
      <c r="AA10" s="127">
        <v>741.6</v>
      </c>
      <c r="AB10" s="132"/>
      <c r="AC10" s="123">
        <v>473.49281280000002</v>
      </c>
      <c r="AD10" s="127">
        <v>488.98912160000003</v>
      </c>
      <c r="AE10" s="127">
        <v>506.20660160000006</v>
      </c>
      <c r="AF10" s="123"/>
      <c r="AG10" s="127"/>
      <c r="AH10" s="128"/>
      <c r="AI10" s="123"/>
      <c r="AJ10" s="127"/>
      <c r="AK10" s="127"/>
      <c r="AL10" s="123"/>
      <c r="AM10" s="127"/>
      <c r="AN10" s="127"/>
      <c r="AO10" s="123"/>
      <c r="AP10" s="132"/>
      <c r="AQ10" s="128"/>
      <c r="AR10" s="123"/>
      <c r="AS10" s="123">
        <v>559.6141616000001</v>
      </c>
      <c r="AT10" s="127">
        <v>802.75728000000004</v>
      </c>
      <c r="AU10" s="128">
        <v>1042.0397935999999</v>
      </c>
      <c r="AV10" s="132">
        <v>1017.2898</v>
      </c>
      <c r="AW10" s="127">
        <v>586.07000000000005</v>
      </c>
      <c r="AX10" s="192">
        <v>902.28</v>
      </c>
      <c r="AY10" s="193">
        <v>1934.3400000000001</v>
      </c>
    </row>
    <row r="11" spans="1:51" x14ac:dyDescent="0.3">
      <c r="A11" s="37">
        <v>2023</v>
      </c>
      <c r="B11" s="123">
        <v>1355.7056045736308</v>
      </c>
      <c r="C11" s="127">
        <v>1371.2933709332026</v>
      </c>
      <c r="D11" s="127">
        <v>1392.8617059108092</v>
      </c>
      <c r="E11" s="123"/>
      <c r="F11" s="127"/>
      <c r="G11" s="127"/>
      <c r="H11" s="123"/>
      <c r="I11" s="127"/>
      <c r="J11" s="127"/>
      <c r="K11" s="123"/>
      <c r="L11" s="127"/>
      <c r="M11" s="127"/>
      <c r="N11" s="123"/>
      <c r="O11" s="127"/>
      <c r="P11" s="127"/>
      <c r="Q11" s="123"/>
      <c r="R11" s="127"/>
      <c r="S11" s="128"/>
      <c r="T11" s="123"/>
      <c r="U11" s="127"/>
      <c r="V11" s="128"/>
      <c r="W11" s="123"/>
      <c r="X11" s="132"/>
      <c r="Y11" s="123"/>
      <c r="Z11" s="127"/>
      <c r="AA11" s="127"/>
      <c r="AB11" s="132"/>
      <c r="AC11" s="123">
        <v>448.52660160000005</v>
      </c>
      <c r="AD11" s="127">
        <v>466.6058208</v>
      </c>
      <c r="AE11" s="127">
        <v>489.84970720000001</v>
      </c>
      <c r="AF11" s="123"/>
      <c r="AG11" s="127"/>
      <c r="AH11" s="128"/>
      <c r="AI11" s="123"/>
      <c r="AJ11" s="127"/>
      <c r="AK11" s="127"/>
      <c r="AL11" s="123"/>
      <c r="AM11" s="127"/>
      <c r="AN11" s="127"/>
      <c r="AO11" s="123"/>
      <c r="AP11" s="132"/>
      <c r="AQ11" s="128"/>
      <c r="AR11" s="123"/>
      <c r="AS11" s="123">
        <v>509.44129600000002</v>
      </c>
      <c r="AT11" s="127">
        <v>725.56875040000011</v>
      </c>
      <c r="AU11" s="128">
        <v>949.4142008</v>
      </c>
      <c r="AV11" s="132">
        <v>974.75079999999991</v>
      </c>
      <c r="AW11" s="127">
        <v>332.27532467532467</v>
      </c>
      <c r="AX11" s="127">
        <v>511.70400000000001</v>
      </c>
      <c r="AY11" s="128">
        <v>1147.3183856502242</v>
      </c>
    </row>
    <row r="12" spans="1:51" x14ac:dyDescent="0.3">
      <c r="A12" s="37">
        <v>2024</v>
      </c>
      <c r="B12" s="123">
        <v>1297.0171066826379</v>
      </c>
      <c r="C12" s="127">
        <v>1328.1926394017821</v>
      </c>
      <c r="D12" s="127">
        <v>1371.3293093569946</v>
      </c>
      <c r="E12" s="123"/>
      <c r="F12" s="127"/>
      <c r="G12" s="127"/>
      <c r="H12" s="123"/>
      <c r="I12" s="127"/>
      <c r="J12" s="127"/>
      <c r="K12" s="123"/>
      <c r="L12" s="127"/>
      <c r="M12" s="127"/>
      <c r="N12" s="123"/>
      <c r="O12" s="127"/>
      <c r="P12" s="127"/>
      <c r="Q12" s="123"/>
      <c r="R12" s="127"/>
      <c r="S12" s="128"/>
      <c r="T12" s="123"/>
      <c r="U12" s="127"/>
      <c r="V12" s="128"/>
      <c r="W12" s="123"/>
      <c r="X12" s="132"/>
      <c r="Y12" s="123"/>
      <c r="Z12" s="127"/>
      <c r="AA12" s="127"/>
      <c r="AB12" s="132"/>
      <c r="AC12" s="123">
        <v>423.56039040000002</v>
      </c>
      <c r="AD12" s="127">
        <v>444.22252000000009</v>
      </c>
      <c r="AE12" s="127">
        <v>473.49281280000002</v>
      </c>
      <c r="AF12" s="123"/>
      <c r="AG12" s="127"/>
      <c r="AH12" s="128"/>
      <c r="AI12" s="123"/>
      <c r="AJ12" s="127"/>
      <c r="AK12" s="127"/>
      <c r="AL12" s="123"/>
      <c r="AM12" s="127"/>
      <c r="AN12" s="127"/>
      <c r="AO12" s="123"/>
      <c r="AP12" s="132"/>
      <c r="AQ12" s="128"/>
      <c r="AR12" s="123"/>
      <c r="AS12" s="123">
        <v>474.70763599999998</v>
      </c>
      <c r="AT12" s="127">
        <v>675.39588480000009</v>
      </c>
      <c r="AU12" s="128">
        <v>879.94473840000001</v>
      </c>
      <c r="AV12" s="132">
        <v>933.42720000000008</v>
      </c>
      <c r="AW12" s="123"/>
      <c r="AX12" s="127"/>
      <c r="AY12" s="128"/>
    </row>
    <row r="13" spans="1:51" x14ac:dyDescent="0.3">
      <c r="A13" s="37">
        <v>2025</v>
      </c>
      <c r="B13" s="123">
        <v>1238.3286087916451</v>
      </c>
      <c r="C13" s="127">
        <v>1285.091907870361</v>
      </c>
      <c r="D13" s="127">
        <v>1349.7969128031805</v>
      </c>
      <c r="E13" s="123"/>
      <c r="F13" s="127"/>
      <c r="G13" s="127"/>
      <c r="H13" s="123"/>
      <c r="I13" s="127"/>
      <c r="J13" s="127"/>
      <c r="K13" s="123">
        <v>513.55511599999988</v>
      </c>
      <c r="L13" s="127">
        <v>539.23287179999988</v>
      </c>
      <c r="M13" s="127">
        <v>564.9106276</v>
      </c>
      <c r="N13" s="123">
        <v>495.55195200000009</v>
      </c>
      <c r="O13" s="127">
        <v>520.62452100000007</v>
      </c>
      <c r="P13" s="127">
        <v>545.69709000000012</v>
      </c>
      <c r="Q13" s="123"/>
      <c r="R13" s="127"/>
      <c r="S13" s="128"/>
      <c r="T13" s="123"/>
      <c r="U13" s="127"/>
      <c r="V13" s="128"/>
      <c r="W13" s="123">
        <v>1214.4884500000001</v>
      </c>
      <c r="X13" s="132"/>
      <c r="Y13" s="123"/>
      <c r="Z13" s="127"/>
      <c r="AA13" s="127"/>
      <c r="AB13" s="132">
        <v>1276.17</v>
      </c>
      <c r="AC13" s="123">
        <v>402.03825200000006</v>
      </c>
      <c r="AD13" s="127">
        <v>427.86504880000001</v>
      </c>
      <c r="AE13" s="127">
        <v>459.71825200000006</v>
      </c>
      <c r="AF13" s="123"/>
      <c r="AG13" s="127"/>
      <c r="AH13" s="128"/>
      <c r="AI13" s="123">
        <v>438.13497280000007</v>
      </c>
      <c r="AJ13" s="127">
        <v>783.04983680000021</v>
      </c>
      <c r="AK13" s="127">
        <v>1155.9302720000001</v>
      </c>
      <c r="AL13" s="123">
        <v>752.62469147919182</v>
      </c>
      <c r="AM13" s="127">
        <v>846.73438774755584</v>
      </c>
      <c r="AN13" s="127">
        <v>1152.8698466894243</v>
      </c>
      <c r="AO13" s="123">
        <v>1513.3893</v>
      </c>
      <c r="AP13" s="132"/>
      <c r="AQ13" s="128">
        <v>1653.8889735</v>
      </c>
      <c r="AR13" s="127">
        <v>565.68614055187993</v>
      </c>
      <c r="AS13" s="123">
        <v>443.83136720000005</v>
      </c>
      <c r="AT13" s="127">
        <v>632.94315760000018</v>
      </c>
      <c r="AU13" s="128">
        <v>822.05387680000001</v>
      </c>
      <c r="AV13" s="132">
        <v>890.88819999999998</v>
      </c>
      <c r="AW13" s="123"/>
      <c r="AX13" s="127"/>
      <c r="AY13" s="128"/>
    </row>
    <row r="14" spans="1:51" x14ac:dyDescent="0.3">
      <c r="A14" s="37">
        <v>2026</v>
      </c>
      <c r="B14" s="123">
        <v>1179.6401109006522</v>
      </c>
      <c r="C14" s="127">
        <v>1241.99117633894</v>
      </c>
      <c r="D14" s="127">
        <v>1328.2645162493661</v>
      </c>
      <c r="E14" s="123"/>
      <c r="F14" s="127"/>
      <c r="G14" s="127"/>
      <c r="H14" s="123"/>
      <c r="I14" s="127"/>
      <c r="J14" s="127"/>
      <c r="K14" s="123"/>
      <c r="L14" s="127"/>
      <c r="M14" s="127"/>
      <c r="N14" s="123"/>
      <c r="O14" s="127"/>
      <c r="P14" s="127"/>
      <c r="Q14" s="123"/>
      <c r="R14" s="127"/>
      <c r="S14" s="128"/>
      <c r="T14" s="123"/>
      <c r="U14" s="127"/>
      <c r="V14" s="128"/>
      <c r="W14" s="123"/>
      <c r="X14" s="132"/>
      <c r="Y14" s="123"/>
      <c r="Z14" s="127"/>
      <c r="AA14" s="127"/>
      <c r="AB14" s="132"/>
      <c r="AC14" s="123">
        <v>380.51611360000004</v>
      </c>
      <c r="AD14" s="127">
        <v>411.50757760000005</v>
      </c>
      <c r="AE14" s="127">
        <v>445.94369120000005</v>
      </c>
      <c r="AF14" s="123"/>
      <c r="AG14" s="127"/>
      <c r="AH14" s="128"/>
      <c r="AI14" s="123"/>
      <c r="AJ14" s="127"/>
      <c r="AK14" s="127"/>
      <c r="AL14" s="123"/>
      <c r="AM14" s="127"/>
      <c r="AN14" s="127"/>
      <c r="AO14" s="123"/>
      <c r="AP14" s="132"/>
      <c r="AQ14" s="128"/>
      <c r="AR14" s="127"/>
      <c r="AS14" s="123">
        <v>416.81570319999997</v>
      </c>
      <c r="AT14" s="127">
        <v>598.20842640000001</v>
      </c>
      <c r="AU14" s="128">
        <v>771.88101119999999</v>
      </c>
      <c r="AV14" s="132">
        <v>851.99540000000002</v>
      </c>
      <c r="AW14" s="123"/>
      <c r="AX14" s="127"/>
      <c r="AY14" s="128"/>
    </row>
    <row r="15" spans="1:51" x14ac:dyDescent="0.3">
      <c r="A15" s="37">
        <v>2027</v>
      </c>
      <c r="B15" s="123">
        <v>1120.9516130096592</v>
      </c>
      <c r="C15" s="127">
        <v>1198.8904448075193</v>
      </c>
      <c r="D15" s="127">
        <v>1306.7321196955518</v>
      </c>
      <c r="E15" s="123"/>
      <c r="F15" s="127"/>
      <c r="G15" s="127"/>
      <c r="H15" s="123"/>
      <c r="I15" s="127"/>
      <c r="J15" s="127"/>
      <c r="K15" s="123"/>
      <c r="L15" s="127"/>
      <c r="M15" s="127"/>
      <c r="N15" s="123"/>
      <c r="O15" s="127"/>
      <c r="P15" s="127"/>
      <c r="Q15" s="123"/>
      <c r="R15" s="127"/>
      <c r="S15" s="128"/>
      <c r="T15" s="123"/>
      <c r="U15" s="127"/>
      <c r="V15" s="128"/>
      <c r="W15" s="123"/>
      <c r="X15" s="132"/>
      <c r="Y15" s="123"/>
      <c r="Z15" s="127"/>
      <c r="AA15" s="127"/>
      <c r="AB15" s="132"/>
      <c r="AC15" s="123">
        <v>364.15921920000005</v>
      </c>
      <c r="AD15" s="127">
        <v>396.87243119999999</v>
      </c>
      <c r="AE15" s="127">
        <v>434.75204080000009</v>
      </c>
      <c r="AF15" s="123"/>
      <c r="AG15" s="127"/>
      <c r="AH15" s="128"/>
      <c r="AI15" s="123"/>
      <c r="AJ15" s="127"/>
      <c r="AK15" s="127"/>
      <c r="AL15" s="123"/>
      <c r="AM15" s="127"/>
      <c r="AN15" s="127"/>
      <c r="AO15" s="123"/>
      <c r="AP15" s="132"/>
      <c r="AQ15" s="128"/>
      <c r="AR15" s="127"/>
      <c r="AS15" s="123">
        <v>393.65957280000009</v>
      </c>
      <c r="AT15" s="127">
        <v>563.47369519999995</v>
      </c>
      <c r="AU15" s="128">
        <v>737.14735119999989</v>
      </c>
      <c r="AV15" s="132">
        <v>817.96420000000001</v>
      </c>
      <c r="AW15" s="123"/>
      <c r="AX15" s="127"/>
      <c r="AY15" s="128"/>
    </row>
    <row r="16" spans="1:51" x14ac:dyDescent="0.3">
      <c r="A16" s="37">
        <v>2028</v>
      </c>
      <c r="B16" s="123">
        <v>1062.2631151186665</v>
      </c>
      <c r="C16" s="127">
        <v>1155.7897132760984</v>
      </c>
      <c r="D16" s="127">
        <v>1285.1997231417374</v>
      </c>
      <c r="E16" s="123"/>
      <c r="F16" s="127"/>
      <c r="G16" s="127"/>
      <c r="H16" s="123"/>
      <c r="I16" s="127"/>
      <c r="J16" s="127"/>
      <c r="K16" s="123"/>
      <c r="L16" s="127"/>
      <c r="M16" s="127"/>
      <c r="N16" s="123"/>
      <c r="O16" s="127"/>
      <c r="P16" s="127"/>
      <c r="Q16" s="123"/>
      <c r="R16" s="127"/>
      <c r="S16" s="128"/>
      <c r="T16" s="123"/>
      <c r="U16" s="127"/>
      <c r="V16" s="128"/>
      <c r="W16" s="123"/>
      <c r="X16" s="132"/>
      <c r="Y16" s="123"/>
      <c r="Z16" s="127"/>
      <c r="AA16" s="127"/>
      <c r="AB16" s="132"/>
      <c r="AC16" s="123">
        <v>347.80232480000001</v>
      </c>
      <c r="AD16" s="127">
        <v>382.23728480000005</v>
      </c>
      <c r="AE16" s="127">
        <v>423.56039040000002</v>
      </c>
      <c r="AF16" s="123"/>
      <c r="AG16" s="127"/>
      <c r="AH16" s="128"/>
      <c r="AI16" s="123"/>
      <c r="AJ16" s="127"/>
      <c r="AK16" s="127"/>
      <c r="AL16" s="123"/>
      <c r="AM16" s="127"/>
      <c r="AN16" s="127"/>
      <c r="AO16" s="123"/>
      <c r="AP16" s="132"/>
      <c r="AQ16" s="128"/>
      <c r="AR16" s="127"/>
      <c r="AS16" s="123">
        <v>382.08097200000003</v>
      </c>
      <c r="AT16" s="127">
        <v>540.31756480000001</v>
      </c>
      <c r="AU16" s="128">
        <v>702.41262000000006</v>
      </c>
      <c r="AV16" s="132">
        <v>790.01</v>
      </c>
      <c r="AW16" s="123"/>
      <c r="AX16" s="127"/>
      <c r="AY16" s="128"/>
    </row>
    <row r="17" spans="1:51" x14ac:dyDescent="0.3">
      <c r="A17" s="37">
        <v>2029</v>
      </c>
      <c r="B17" s="123">
        <v>1003.5746172276737</v>
      </c>
      <c r="C17" s="127">
        <v>1112.6889817446774</v>
      </c>
      <c r="D17" s="127">
        <v>1263.6673265879231</v>
      </c>
      <c r="E17" s="123"/>
      <c r="F17" s="127"/>
      <c r="G17" s="127"/>
      <c r="H17" s="123"/>
      <c r="I17" s="127"/>
      <c r="J17" s="127"/>
      <c r="K17" s="123"/>
      <c r="L17" s="127"/>
      <c r="M17" s="127"/>
      <c r="N17" s="123"/>
      <c r="O17" s="127"/>
      <c r="P17" s="127"/>
      <c r="Q17" s="123"/>
      <c r="R17" s="127"/>
      <c r="S17" s="128"/>
      <c r="T17" s="123"/>
      <c r="U17" s="127"/>
      <c r="V17" s="128"/>
      <c r="W17" s="123"/>
      <c r="X17" s="132"/>
      <c r="Y17" s="123"/>
      <c r="Z17" s="127"/>
      <c r="AA17" s="127"/>
      <c r="AB17" s="132"/>
      <c r="AC17" s="123">
        <v>331.44485359999999</v>
      </c>
      <c r="AD17" s="127">
        <v>371.04563440000004</v>
      </c>
      <c r="AE17" s="127">
        <v>414.95165040000006</v>
      </c>
      <c r="AF17" s="123"/>
      <c r="AG17" s="127"/>
      <c r="AH17" s="128"/>
      <c r="AI17" s="123"/>
      <c r="AJ17" s="127"/>
      <c r="AK17" s="127"/>
      <c r="AL17" s="123"/>
      <c r="AM17" s="127"/>
      <c r="AN17" s="127"/>
      <c r="AO17" s="123"/>
      <c r="AP17" s="132"/>
      <c r="AQ17" s="128"/>
      <c r="AR17" s="127"/>
      <c r="AS17" s="123">
        <v>366.64390880000002</v>
      </c>
      <c r="AT17" s="127">
        <v>517.16036320000001</v>
      </c>
      <c r="AU17" s="128">
        <v>679.25541839999994</v>
      </c>
      <c r="AV17" s="132">
        <v>764.48659999999995</v>
      </c>
      <c r="AW17" s="123"/>
      <c r="AX17" s="127"/>
      <c r="AY17" s="128"/>
    </row>
    <row r="18" spans="1:51" x14ac:dyDescent="0.3">
      <c r="A18" s="37">
        <v>2030</v>
      </c>
      <c r="B18" s="123">
        <v>944.88611933668074</v>
      </c>
      <c r="C18" s="127">
        <v>1069.5882502132565</v>
      </c>
      <c r="D18" s="127">
        <v>1242.1349300341087</v>
      </c>
      <c r="E18" s="123"/>
      <c r="F18" s="127"/>
      <c r="G18" s="127"/>
      <c r="H18" s="123"/>
      <c r="I18" s="127"/>
      <c r="J18" s="127"/>
      <c r="K18" s="123">
        <v>424.72396079999999</v>
      </c>
      <c r="L18" s="127">
        <v>446.23775619999998</v>
      </c>
      <c r="M18" s="127">
        <v>467.75155159999997</v>
      </c>
      <c r="N18" s="123">
        <v>410.01024600000005</v>
      </c>
      <c r="O18" s="127">
        <v>430.65824400000002</v>
      </c>
      <c r="P18" s="127">
        <v>451.30624200000011</v>
      </c>
      <c r="Q18" s="123"/>
      <c r="R18" s="127">
        <v>410.40000000000003</v>
      </c>
      <c r="S18" s="128"/>
      <c r="T18" s="123"/>
      <c r="U18" s="127">
        <v>486.00000000000006</v>
      </c>
      <c r="V18" s="128"/>
      <c r="W18" s="123">
        <v>745.34891159999995</v>
      </c>
      <c r="X18" s="132">
        <v>353.33735528</v>
      </c>
      <c r="Y18" s="123"/>
      <c r="Z18" s="127"/>
      <c r="AA18" s="127"/>
      <c r="AB18" s="132"/>
      <c r="AC18" s="123">
        <v>315.08738240000008</v>
      </c>
      <c r="AD18" s="127">
        <v>359.85398400000003</v>
      </c>
      <c r="AE18" s="127">
        <v>406.34291039999999</v>
      </c>
      <c r="AF18" s="123"/>
      <c r="AG18" s="127"/>
      <c r="AH18" s="128"/>
      <c r="AI18" s="123">
        <v>316.94813920000007</v>
      </c>
      <c r="AJ18" s="127">
        <v>633.89743200000009</v>
      </c>
      <c r="AK18" s="127">
        <v>1006.7778672000001</v>
      </c>
      <c r="AL18" s="123">
        <v>313.78335239515252</v>
      </c>
      <c r="AM18" s="127">
        <v>448.97520437904171</v>
      </c>
      <c r="AN18" s="127">
        <v>984.64259377198232</v>
      </c>
      <c r="AO18" s="123">
        <v>1314.0843</v>
      </c>
      <c r="AP18" s="132">
        <v>433.16402799999997</v>
      </c>
      <c r="AQ18" s="128">
        <v>1353.078713208</v>
      </c>
      <c r="AR18" s="123">
        <v>573.55975771511999</v>
      </c>
      <c r="AS18" s="123">
        <v>351.20577440000005</v>
      </c>
      <c r="AT18" s="127">
        <v>501.72330000000005</v>
      </c>
      <c r="AU18" s="128">
        <v>652.23975440000004</v>
      </c>
      <c r="AV18" s="132">
        <v>741.39400000000001</v>
      </c>
      <c r="AW18" s="123"/>
      <c r="AX18" s="127"/>
      <c r="AY18" s="128"/>
    </row>
    <row r="19" spans="1:51" x14ac:dyDescent="0.3">
      <c r="A19" s="37">
        <v>2031</v>
      </c>
      <c r="B19" s="123">
        <v>886.19762144568801</v>
      </c>
      <c r="C19" s="127">
        <v>1026.4875186818356</v>
      </c>
      <c r="D19" s="127">
        <v>1220.6025334802944</v>
      </c>
      <c r="E19" s="123"/>
      <c r="F19" s="127"/>
      <c r="G19" s="127"/>
      <c r="H19" s="123"/>
      <c r="I19" s="127"/>
      <c r="J19" s="127"/>
      <c r="K19" s="123"/>
      <c r="L19" s="127"/>
      <c r="M19" s="127"/>
      <c r="N19" s="123"/>
      <c r="O19" s="127"/>
      <c r="P19" s="127"/>
      <c r="Q19" s="123"/>
      <c r="R19" s="127"/>
      <c r="S19" s="128"/>
      <c r="T19" s="123"/>
      <c r="U19" s="127"/>
      <c r="V19" s="128"/>
      <c r="W19" s="123"/>
      <c r="X19" s="132"/>
      <c r="Y19" s="123"/>
      <c r="Z19" s="127"/>
      <c r="AA19" s="127"/>
      <c r="AB19" s="132"/>
      <c r="AC19" s="123">
        <v>301.3133984000001</v>
      </c>
      <c r="AD19" s="127">
        <v>347.80174800000003</v>
      </c>
      <c r="AE19" s="127">
        <v>396.87300800000003</v>
      </c>
      <c r="AF19" s="123"/>
      <c r="AG19" s="127"/>
      <c r="AH19" s="128"/>
      <c r="AI19" s="123"/>
      <c r="AJ19" s="127"/>
      <c r="AK19" s="127"/>
      <c r="AL19" s="123"/>
      <c r="AM19" s="127"/>
      <c r="AN19" s="127"/>
      <c r="AO19" s="123"/>
      <c r="AP19" s="132"/>
      <c r="AQ19" s="128"/>
      <c r="AR19" s="123"/>
      <c r="AS19" s="123"/>
      <c r="AT19" s="127"/>
      <c r="AU19" s="128"/>
      <c r="AV19" s="132">
        <v>720.73220000000003</v>
      </c>
      <c r="AW19" s="123"/>
      <c r="AX19" s="127"/>
      <c r="AY19" s="128"/>
    </row>
    <row r="20" spans="1:51" x14ac:dyDescent="0.3">
      <c r="A20" s="37">
        <v>2032</v>
      </c>
      <c r="B20" s="123">
        <v>827.50912355469507</v>
      </c>
      <c r="C20" s="127">
        <v>983.38678715041488</v>
      </c>
      <c r="D20" s="127">
        <v>1199.0701369264798</v>
      </c>
      <c r="E20" s="123"/>
      <c r="F20" s="127"/>
      <c r="G20" s="127"/>
      <c r="H20" s="123"/>
      <c r="I20" s="127"/>
      <c r="J20" s="127"/>
      <c r="K20" s="123"/>
      <c r="L20" s="127"/>
      <c r="M20" s="127"/>
      <c r="N20" s="123"/>
      <c r="O20" s="127"/>
      <c r="P20" s="127"/>
      <c r="Q20" s="123"/>
      <c r="R20" s="127"/>
      <c r="S20" s="128"/>
      <c r="T20" s="123"/>
      <c r="U20" s="127"/>
      <c r="V20" s="128"/>
      <c r="W20" s="123"/>
      <c r="X20" s="132"/>
      <c r="Y20" s="123"/>
      <c r="Z20" s="127"/>
      <c r="AA20" s="127"/>
      <c r="AB20" s="132"/>
      <c r="AC20" s="123">
        <v>287.53941440000006</v>
      </c>
      <c r="AD20" s="127">
        <v>335.74951200000004</v>
      </c>
      <c r="AE20" s="127">
        <v>387.40310560000012</v>
      </c>
      <c r="AF20" s="123"/>
      <c r="AG20" s="127"/>
      <c r="AH20" s="128"/>
      <c r="AI20" s="123"/>
      <c r="AJ20" s="127"/>
      <c r="AK20" s="127"/>
      <c r="AL20" s="123"/>
      <c r="AM20" s="127"/>
      <c r="AN20" s="127"/>
      <c r="AO20" s="123"/>
      <c r="AP20" s="132"/>
      <c r="AQ20" s="128"/>
      <c r="AR20" s="123"/>
      <c r="AS20" s="123"/>
      <c r="AT20" s="127"/>
      <c r="AU20" s="128"/>
      <c r="AV20" s="132">
        <v>702.50119999999993</v>
      </c>
      <c r="AW20" s="123"/>
      <c r="AX20" s="127"/>
      <c r="AY20" s="128"/>
    </row>
    <row r="21" spans="1:51" x14ac:dyDescent="0.3">
      <c r="A21" s="37">
        <v>2033</v>
      </c>
      <c r="B21" s="123">
        <v>768.82062566370234</v>
      </c>
      <c r="C21" s="127">
        <v>940.28605561899383</v>
      </c>
      <c r="D21" s="127">
        <v>1177.5377403726654</v>
      </c>
      <c r="E21" s="123"/>
      <c r="F21" s="127"/>
      <c r="G21" s="127"/>
      <c r="H21" s="123"/>
      <c r="I21" s="127"/>
      <c r="J21" s="127"/>
      <c r="K21" s="123"/>
      <c r="L21" s="127"/>
      <c r="M21" s="127"/>
      <c r="N21" s="123"/>
      <c r="O21" s="127"/>
      <c r="P21" s="127"/>
      <c r="Q21" s="123"/>
      <c r="R21" s="127"/>
      <c r="S21" s="128"/>
      <c r="T21" s="123"/>
      <c r="U21" s="127"/>
      <c r="V21" s="128"/>
      <c r="W21" s="123"/>
      <c r="X21" s="132"/>
      <c r="Y21" s="123"/>
      <c r="Z21" s="127"/>
      <c r="AA21" s="127"/>
      <c r="AB21" s="132"/>
      <c r="AC21" s="123">
        <v>275.48660159999997</v>
      </c>
      <c r="AD21" s="127">
        <v>326.27960960000007</v>
      </c>
      <c r="AE21" s="127">
        <v>378.79436560000011</v>
      </c>
      <c r="AF21" s="123"/>
      <c r="AG21" s="127"/>
      <c r="AH21" s="128"/>
      <c r="AI21" s="123"/>
      <c r="AJ21" s="127"/>
      <c r="AK21" s="127"/>
      <c r="AL21" s="123"/>
      <c r="AM21" s="127"/>
      <c r="AN21" s="127"/>
      <c r="AO21" s="123"/>
      <c r="AP21" s="132"/>
      <c r="AQ21" s="128"/>
      <c r="AR21" s="123"/>
      <c r="AS21" s="123"/>
      <c r="AT21" s="127"/>
      <c r="AU21" s="128"/>
      <c r="AV21" s="132">
        <v>685.48559999999998</v>
      </c>
      <c r="AW21" s="123"/>
      <c r="AX21" s="127"/>
      <c r="AY21" s="128"/>
    </row>
    <row r="22" spans="1:51" x14ac:dyDescent="0.3">
      <c r="A22" s="37">
        <v>2034</v>
      </c>
      <c r="B22" s="123">
        <v>710.1321277727094</v>
      </c>
      <c r="C22" s="127">
        <v>897.18532408757289</v>
      </c>
      <c r="D22" s="127">
        <v>1156.0053438188511</v>
      </c>
      <c r="E22" s="123"/>
      <c r="F22" s="127"/>
      <c r="G22" s="127"/>
      <c r="H22" s="123"/>
      <c r="I22" s="127"/>
      <c r="J22" s="127"/>
      <c r="K22" s="123"/>
      <c r="L22" s="127"/>
      <c r="M22" s="127"/>
      <c r="N22" s="123"/>
      <c r="O22" s="127"/>
      <c r="P22" s="127"/>
      <c r="Q22" s="123"/>
      <c r="R22" s="127"/>
      <c r="S22" s="128"/>
      <c r="T22" s="123"/>
      <c r="U22" s="127"/>
      <c r="V22" s="128"/>
      <c r="W22" s="123"/>
      <c r="X22" s="132"/>
      <c r="Y22" s="123"/>
      <c r="Z22" s="127"/>
      <c r="AA22" s="127"/>
      <c r="AB22" s="132"/>
      <c r="AC22" s="123">
        <v>263.43378880000006</v>
      </c>
      <c r="AD22" s="127">
        <v>316.80970720000005</v>
      </c>
      <c r="AE22" s="127">
        <v>370.18562560000009</v>
      </c>
      <c r="AF22" s="123"/>
      <c r="AG22" s="127"/>
      <c r="AH22" s="128"/>
      <c r="AI22" s="123"/>
      <c r="AJ22" s="127"/>
      <c r="AK22" s="127"/>
      <c r="AL22" s="123"/>
      <c r="AM22" s="127"/>
      <c r="AN22" s="127"/>
      <c r="AO22" s="123"/>
      <c r="AP22" s="132"/>
      <c r="AQ22" s="128"/>
      <c r="AR22" s="123"/>
      <c r="AS22" s="123"/>
      <c r="AT22" s="127"/>
      <c r="AU22" s="128"/>
      <c r="AV22" s="132">
        <v>668.47</v>
      </c>
      <c r="AW22" s="123"/>
      <c r="AX22" s="127"/>
      <c r="AY22" s="128"/>
    </row>
    <row r="23" spans="1:51" x14ac:dyDescent="0.3">
      <c r="A23" s="37">
        <v>2035</v>
      </c>
      <c r="B23" s="123">
        <v>651.44362988171611</v>
      </c>
      <c r="C23" s="127">
        <v>854.08459255615139</v>
      </c>
      <c r="D23" s="127">
        <v>1134.4729472650361</v>
      </c>
      <c r="E23" s="123">
        <v>597.4</v>
      </c>
      <c r="F23" s="127">
        <v>618</v>
      </c>
      <c r="G23" s="127">
        <v>638.6</v>
      </c>
      <c r="H23" s="123">
        <v>370.8</v>
      </c>
      <c r="I23" s="127">
        <v>391.40000000000003</v>
      </c>
      <c r="J23" s="127">
        <v>401.7</v>
      </c>
      <c r="K23" s="123">
        <v>328.95287159999998</v>
      </c>
      <c r="L23" s="127">
        <v>345.60871320000001</v>
      </c>
      <c r="M23" s="127">
        <v>362.26455479999993</v>
      </c>
      <c r="N23" s="123">
        <v>349.54110900000006</v>
      </c>
      <c r="O23" s="127">
        <v>367.23939300000006</v>
      </c>
      <c r="P23" s="127">
        <v>384.93767700000012</v>
      </c>
      <c r="Q23" s="123"/>
      <c r="R23" s="127"/>
      <c r="S23" s="128"/>
      <c r="T23" s="123"/>
      <c r="U23" s="127"/>
      <c r="V23" s="128"/>
      <c r="W23" s="123">
        <v>667.62165079999988</v>
      </c>
      <c r="X23" s="132"/>
      <c r="Y23" s="123">
        <v>422.3</v>
      </c>
      <c r="Z23" s="127">
        <v>432.6</v>
      </c>
      <c r="AA23" s="127">
        <v>442.90000000000003</v>
      </c>
      <c r="AB23" s="132">
        <v>1033.0899999999999</v>
      </c>
      <c r="AC23" s="123">
        <v>253.96388640000004</v>
      </c>
      <c r="AD23" s="127">
        <v>308.2003904</v>
      </c>
      <c r="AE23" s="127">
        <v>365.01980480000003</v>
      </c>
      <c r="AF23" s="123"/>
      <c r="AG23" s="127"/>
      <c r="AH23" s="128"/>
      <c r="AI23" s="123">
        <v>270.33808479999999</v>
      </c>
      <c r="AJ23" s="127">
        <v>577.96513600000003</v>
      </c>
      <c r="AK23" s="127">
        <v>922.88000000000011</v>
      </c>
      <c r="AL23" s="123">
        <v>252.05075817174458</v>
      </c>
      <c r="AM23" s="127">
        <v>385.26164452991833</v>
      </c>
      <c r="AN23" s="127">
        <v>824.25546170254609</v>
      </c>
      <c r="AO23" s="123">
        <v>1181.2142999999999</v>
      </c>
      <c r="AP23" s="132"/>
      <c r="AQ23" s="128">
        <v>1152.6223415100001</v>
      </c>
      <c r="AR23" s="127">
        <v>556.33945664399994</v>
      </c>
      <c r="AS23" s="123"/>
      <c r="AT23" s="127"/>
      <c r="AU23" s="128"/>
      <c r="AV23" s="132">
        <v>653.88519999999994</v>
      </c>
      <c r="AW23" s="123"/>
      <c r="AX23" s="127"/>
      <c r="AY23" s="128"/>
    </row>
    <row r="24" spans="1:51" x14ac:dyDescent="0.3">
      <c r="A24" s="37">
        <v>2036</v>
      </c>
      <c r="B24" s="123">
        <v>643.79125805976628</v>
      </c>
      <c r="C24" s="127">
        <v>840.57519504452227</v>
      </c>
      <c r="D24" s="127">
        <v>1115.7803902844439</v>
      </c>
      <c r="E24" s="123"/>
      <c r="F24" s="127"/>
      <c r="G24" s="127"/>
      <c r="H24" s="123"/>
      <c r="I24" s="127"/>
      <c r="J24" s="127"/>
      <c r="K24" s="123"/>
      <c r="L24" s="127"/>
      <c r="M24" s="127"/>
      <c r="N24" s="123"/>
      <c r="O24" s="127"/>
      <c r="P24" s="127"/>
      <c r="Q24" s="123"/>
      <c r="R24" s="127"/>
      <c r="S24" s="128"/>
      <c r="T24" s="123"/>
      <c r="U24" s="127"/>
      <c r="V24" s="128"/>
      <c r="W24" s="123"/>
      <c r="X24" s="132"/>
      <c r="Y24" s="123"/>
      <c r="Z24" s="127"/>
      <c r="AA24" s="127"/>
      <c r="AB24" s="132"/>
      <c r="AC24" s="123">
        <v>244.49398400000001</v>
      </c>
      <c r="AD24" s="127">
        <v>299.59107360000007</v>
      </c>
      <c r="AE24" s="127">
        <v>359.85398400000003</v>
      </c>
      <c r="AF24" s="123"/>
      <c r="AG24" s="127"/>
      <c r="AH24" s="128"/>
      <c r="AI24" s="123"/>
      <c r="AJ24" s="127"/>
      <c r="AK24" s="127"/>
      <c r="AL24" s="123"/>
      <c r="AM24" s="127"/>
      <c r="AN24" s="127"/>
      <c r="AO24" s="123"/>
      <c r="AP24" s="132"/>
      <c r="AQ24" s="128"/>
      <c r="AR24" s="123"/>
      <c r="AS24" s="123"/>
      <c r="AT24" s="127"/>
      <c r="AU24" s="128"/>
      <c r="AV24" s="132">
        <v>641.73119999999994</v>
      </c>
      <c r="AW24" s="123"/>
      <c r="AX24" s="127"/>
      <c r="AY24" s="128"/>
    </row>
    <row r="25" spans="1:51" x14ac:dyDescent="0.3">
      <c r="A25" s="37">
        <v>2037</v>
      </c>
      <c r="B25" s="123">
        <v>636.13888623781645</v>
      </c>
      <c r="C25" s="127">
        <v>827.06579753289338</v>
      </c>
      <c r="D25" s="127">
        <v>1097.0878333038518</v>
      </c>
      <c r="E25" s="123"/>
      <c r="F25" s="127"/>
      <c r="G25" s="127"/>
      <c r="H25" s="123"/>
      <c r="I25" s="127"/>
      <c r="J25" s="127"/>
      <c r="K25" s="123"/>
      <c r="L25" s="127"/>
      <c r="M25" s="127"/>
      <c r="N25" s="123"/>
      <c r="O25" s="127"/>
      <c r="P25" s="127"/>
      <c r="Q25" s="123"/>
      <c r="R25" s="127"/>
      <c r="S25" s="128"/>
      <c r="T25" s="123"/>
      <c r="U25" s="127"/>
      <c r="V25" s="128"/>
      <c r="W25" s="123"/>
      <c r="X25" s="132"/>
      <c r="Y25" s="123"/>
      <c r="Z25" s="127"/>
      <c r="AA25" s="127"/>
      <c r="AB25" s="132"/>
      <c r="AC25" s="123">
        <v>235.02408160000005</v>
      </c>
      <c r="AD25" s="127">
        <v>290.98233360000006</v>
      </c>
      <c r="AE25" s="127">
        <v>352.10582959999999</v>
      </c>
      <c r="AF25" s="123"/>
      <c r="AG25" s="127"/>
      <c r="AH25" s="128"/>
      <c r="AI25" s="123"/>
      <c r="AJ25" s="127"/>
      <c r="AK25" s="127"/>
      <c r="AL25" s="123"/>
      <c r="AM25" s="127"/>
      <c r="AN25" s="127"/>
      <c r="AO25" s="123"/>
      <c r="AP25" s="132"/>
      <c r="AQ25" s="128"/>
      <c r="AR25" s="123"/>
      <c r="AS25" s="123"/>
      <c r="AT25" s="127"/>
      <c r="AU25" s="128"/>
      <c r="AV25" s="132">
        <v>629.57720000000006</v>
      </c>
      <c r="AW25" s="123"/>
      <c r="AX25" s="127"/>
      <c r="AY25" s="128"/>
    </row>
    <row r="26" spans="1:51" x14ac:dyDescent="0.3">
      <c r="A26" s="37">
        <v>2038</v>
      </c>
      <c r="B26" s="123">
        <v>628.48651441586651</v>
      </c>
      <c r="C26" s="127">
        <v>813.55640002126438</v>
      </c>
      <c r="D26" s="127">
        <v>1078.3952763232594</v>
      </c>
      <c r="E26" s="123"/>
      <c r="F26" s="127"/>
      <c r="G26" s="127"/>
      <c r="H26" s="123"/>
      <c r="I26" s="127"/>
      <c r="J26" s="127"/>
      <c r="K26" s="123"/>
      <c r="L26" s="127"/>
      <c r="M26" s="127"/>
      <c r="N26" s="123"/>
      <c r="O26" s="127"/>
      <c r="P26" s="127"/>
      <c r="Q26" s="123"/>
      <c r="R26" s="127"/>
      <c r="S26" s="128"/>
      <c r="T26" s="123"/>
      <c r="U26" s="127"/>
      <c r="V26" s="128"/>
      <c r="W26" s="123"/>
      <c r="X26" s="132"/>
      <c r="Y26" s="123"/>
      <c r="Z26" s="127"/>
      <c r="AA26" s="127"/>
      <c r="AB26" s="132"/>
      <c r="AC26" s="123">
        <v>225.55417920000002</v>
      </c>
      <c r="AD26" s="127">
        <v>282.37359360000005</v>
      </c>
      <c r="AE26" s="127">
        <v>344.35767520000007</v>
      </c>
      <c r="AF26" s="123"/>
      <c r="AG26" s="127"/>
      <c r="AH26" s="128"/>
      <c r="AI26" s="123"/>
      <c r="AJ26" s="127"/>
      <c r="AK26" s="127"/>
      <c r="AL26" s="123"/>
      <c r="AM26" s="127"/>
      <c r="AN26" s="127"/>
      <c r="AO26" s="123"/>
      <c r="AP26" s="132"/>
      <c r="AQ26" s="128"/>
      <c r="AR26" s="123"/>
      <c r="AS26" s="123"/>
      <c r="AT26" s="127"/>
      <c r="AU26" s="128"/>
      <c r="AV26" s="132">
        <v>618.6386</v>
      </c>
      <c r="AW26" s="123"/>
      <c r="AX26" s="127"/>
      <c r="AY26" s="128"/>
    </row>
    <row r="27" spans="1:51" x14ac:dyDescent="0.3">
      <c r="A27" s="37">
        <v>2039</v>
      </c>
      <c r="B27" s="123">
        <v>620.83414259391679</v>
      </c>
      <c r="C27" s="127">
        <v>800.04700250963538</v>
      </c>
      <c r="D27" s="127">
        <v>1059.7027193426673</v>
      </c>
      <c r="E27" s="123"/>
      <c r="F27" s="127"/>
      <c r="G27" s="127"/>
      <c r="H27" s="123"/>
      <c r="I27" s="127"/>
      <c r="J27" s="127"/>
      <c r="K27" s="123"/>
      <c r="L27" s="127"/>
      <c r="M27" s="127"/>
      <c r="N27" s="123"/>
      <c r="O27" s="127"/>
      <c r="P27" s="127"/>
      <c r="Q27" s="123"/>
      <c r="R27" s="127"/>
      <c r="S27" s="128"/>
      <c r="T27" s="123"/>
      <c r="U27" s="127"/>
      <c r="V27" s="128"/>
      <c r="W27" s="123"/>
      <c r="X27" s="132"/>
      <c r="Y27" s="123"/>
      <c r="Z27" s="127"/>
      <c r="AA27" s="127"/>
      <c r="AB27" s="132"/>
      <c r="AC27" s="123">
        <v>217.80660159999999</v>
      </c>
      <c r="AD27" s="127">
        <v>275.48660160000003</v>
      </c>
      <c r="AE27" s="127">
        <v>340.05359360000006</v>
      </c>
      <c r="AF27" s="123"/>
      <c r="AG27" s="127"/>
      <c r="AH27" s="128"/>
      <c r="AI27" s="123"/>
      <c r="AJ27" s="127"/>
      <c r="AK27" s="127"/>
      <c r="AL27" s="123"/>
      <c r="AM27" s="127"/>
      <c r="AN27" s="127"/>
      <c r="AO27" s="123"/>
      <c r="AP27" s="132"/>
      <c r="AQ27" s="128"/>
      <c r="AR27" s="123"/>
      <c r="AS27" s="123"/>
      <c r="AT27" s="127"/>
      <c r="AU27" s="128"/>
      <c r="AV27" s="132">
        <v>608.91539999999998</v>
      </c>
      <c r="AW27" s="123"/>
      <c r="AX27" s="127"/>
      <c r="AY27" s="128"/>
    </row>
    <row r="28" spans="1:51" x14ac:dyDescent="0.3">
      <c r="A28" s="37">
        <v>2040</v>
      </c>
      <c r="B28" s="123">
        <v>613.18177077196674</v>
      </c>
      <c r="C28" s="127">
        <v>786.53760499800626</v>
      </c>
      <c r="D28" s="127">
        <v>1041.0101623620749</v>
      </c>
      <c r="E28" s="123"/>
      <c r="F28" s="127"/>
      <c r="G28" s="127"/>
      <c r="H28" s="123"/>
      <c r="I28" s="127"/>
      <c r="J28" s="127"/>
      <c r="K28" s="123">
        <v>287.31326759999996</v>
      </c>
      <c r="L28" s="127">
        <v>301.88712899999996</v>
      </c>
      <c r="M28" s="127">
        <v>316.46099040000001</v>
      </c>
      <c r="N28" s="123">
        <v>305.29539900000003</v>
      </c>
      <c r="O28" s="127">
        <v>320.78139750000003</v>
      </c>
      <c r="P28" s="127">
        <v>336.26739600000002</v>
      </c>
      <c r="Q28" s="123"/>
      <c r="R28" s="127">
        <v>345.6</v>
      </c>
      <c r="S28" s="128"/>
      <c r="T28" s="123"/>
      <c r="U28" s="127">
        <v>410.40000000000003</v>
      </c>
      <c r="V28" s="128"/>
      <c r="W28" s="123">
        <v>589.89438999999993</v>
      </c>
      <c r="X28" s="132"/>
      <c r="Y28" s="123"/>
      <c r="Z28" s="127"/>
      <c r="AA28" s="127"/>
      <c r="AB28" s="132"/>
      <c r="AC28" s="123">
        <v>210.05902400000002</v>
      </c>
      <c r="AD28" s="127">
        <v>268.59960960000006</v>
      </c>
      <c r="AE28" s="127">
        <v>335.74951200000004</v>
      </c>
      <c r="AF28" s="123"/>
      <c r="AG28" s="127"/>
      <c r="AH28" s="128"/>
      <c r="AI28" s="123">
        <v>242.37251360000005</v>
      </c>
      <c r="AJ28" s="127">
        <v>522.03284000000008</v>
      </c>
      <c r="AK28" s="127">
        <v>838.98213280000016</v>
      </c>
      <c r="AL28" s="123">
        <v>220.30176685428447</v>
      </c>
      <c r="AM28" s="127">
        <v>351.00478785255353</v>
      </c>
      <c r="AN28" s="127">
        <v>677.04303055493517</v>
      </c>
      <c r="AO28" s="123">
        <v>1048.3443</v>
      </c>
      <c r="AP28" s="132"/>
      <c r="AQ28" s="128">
        <v>1002.3896037</v>
      </c>
      <c r="AR28" s="123">
        <v>358.28628941054001</v>
      </c>
      <c r="AS28" s="123"/>
      <c r="AT28" s="127"/>
      <c r="AU28" s="128"/>
      <c r="AV28" s="132">
        <v>599.19220000000007</v>
      </c>
      <c r="AW28" s="123"/>
      <c r="AX28" s="127"/>
      <c r="AY28" s="128"/>
    </row>
    <row r="29" spans="1:51" x14ac:dyDescent="0.3">
      <c r="A29" s="37">
        <v>2041</v>
      </c>
      <c r="B29" s="123">
        <v>605.52939895001703</v>
      </c>
      <c r="C29" s="127">
        <v>773.02820748637737</v>
      </c>
      <c r="D29" s="127">
        <v>1022.3176053814825</v>
      </c>
      <c r="E29" s="123"/>
      <c r="F29" s="127"/>
      <c r="G29" s="127"/>
      <c r="H29" s="123"/>
      <c r="I29" s="127"/>
      <c r="J29" s="127"/>
      <c r="K29" s="123"/>
      <c r="L29" s="127"/>
      <c r="M29" s="127"/>
      <c r="N29" s="123"/>
      <c r="O29" s="127"/>
      <c r="P29" s="127"/>
      <c r="Q29" s="123"/>
      <c r="R29" s="127"/>
      <c r="S29" s="128"/>
      <c r="T29" s="123"/>
      <c r="U29" s="127"/>
      <c r="V29" s="128"/>
      <c r="W29" s="123"/>
      <c r="X29" s="132"/>
      <c r="Y29" s="123"/>
      <c r="Z29" s="127"/>
      <c r="AA29" s="127"/>
      <c r="AB29" s="132"/>
      <c r="AC29" s="123">
        <v>204.03261760000001</v>
      </c>
      <c r="AD29" s="127">
        <v>261.71261759999999</v>
      </c>
      <c r="AE29" s="127">
        <v>328.00135760000006</v>
      </c>
      <c r="AF29" s="123"/>
      <c r="AG29" s="127"/>
      <c r="AH29" s="128"/>
      <c r="AI29" s="123"/>
      <c r="AJ29" s="127"/>
      <c r="AK29" s="127"/>
      <c r="AL29" s="123"/>
      <c r="AM29" s="127"/>
      <c r="AN29" s="127"/>
      <c r="AO29" s="123"/>
      <c r="AP29" s="132"/>
      <c r="AQ29" s="128"/>
      <c r="AR29" s="123"/>
      <c r="AS29" s="123"/>
      <c r="AT29" s="127"/>
      <c r="AU29" s="128"/>
      <c r="AV29" s="132">
        <v>589.46899999999994</v>
      </c>
      <c r="AW29" s="123"/>
      <c r="AX29" s="127"/>
      <c r="AY29" s="128"/>
    </row>
    <row r="30" spans="1:51" x14ac:dyDescent="0.3">
      <c r="A30" s="37">
        <v>2042</v>
      </c>
      <c r="B30" s="123">
        <v>597.87702712806708</v>
      </c>
      <c r="C30" s="127">
        <v>759.51880997474836</v>
      </c>
      <c r="D30" s="127">
        <v>1003.6250484008901</v>
      </c>
      <c r="E30" s="123"/>
      <c r="F30" s="127"/>
      <c r="G30" s="127"/>
      <c r="H30" s="123"/>
      <c r="I30" s="127"/>
      <c r="J30" s="127"/>
      <c r="K30" s="123"/>
      <c r="L30" s="127"/>
      <c r="M30" s="127"/>
      <c r="N30" s="123"/>
      <c r="O30" s="127"/>
      <c r="P30" s="127"/>
      <c r="Q30" s="123"/>
      <c r="R30" s="127"/>
      <c r="S30" s="128"/>
      <c r="T30" s="123"/>
      <c r="U30" s="127"/>
      <c r="V30" s="128"/>
      <c r="W30" s="123"/>
      <c r="X30" s="132"/>
      <c r="Y30" s="123"/>
      <c r="Z30" s="127"/>
      <c r="AA30" s="127"/>
      <c r="AB30" s="132"/>
      <c r="AC30" s="123">
        <v>198.00621120000002</v>
      </c>
      <c r="AD30" s="127">
        <v>254.82562560000002</v>
      </c>
      <c r="AE30" s="127">
        <v>320.25320320000003</v>
      </c>
      <c r="AF30" s="123"/>
      <c r="AG30" s="127"/>
      <c r="AH30" s="128"/>
      <c r="AI30" s="123"/>
      <c r="AJ30" s="127"/>
      <c r="AK30" s="127"/>
      <c r="AL30" s="123"/>
      <c r="AM30" s="127"/>
      <c r="AN30" s="127"/>
      <c r="AO30" s="123"/>
      <c r="AP30" s="132"/>
      <c r="AQ30" s="128"/>
      <c r="AR30" s="123"/>
      <c r="AS30" s="123"/>
      <c r="AT30" s="127"/>
      <c r="AU30" s="128"/>
      <c r="AV30" s="132">
        <v>580.96119999999996</v>
      </c>
      <c r="AW30" s="123"/>
      <c r="AX30" s="127"/>
      <c r="AY30" s="128"/>
    </row>
    <row r="31" spans="1:51" x14ac:dyDescent="0.3">
      <c r="A31" s="37">
        <v>2043</v>
      </c>
      <c r="B31" s="123">
        <v>590.22465530611703</v>
      </c>
      <c r="C31" s="127">
        <v>746.00941246311925</v>
      </c>
      <c r="D31" s="127">
        <v>984.93249142029799</v>
      </c>
      <c r="E31" s="123"/>
      <c r="F31" s="127"/>
      <c r="G31" s="127"/>
      <c r="H31" s="123"/>
      <c r="I31" s="127"/>
      <c r="J31" s="127"/>
      <c r="K31" s="123"/>
      <c r="L31" s="127"/>
      <c r="M31" s="127"/>
      <c r="N31" s="123"/>
      <c r="O31" s="127"/>
      <c r="P31" s="127"/>
      <c r="Q31" s="123"/>
      <c r="R31" s="127"/>
      <c r="S31" s="128"/>
      <c r="T31" s="123"/>
      <c r="U31" s="127"/>
      <c r="V31" s="128"/>
      <c r="W31" s="123"/>
      <c r="X31" s="132"/>
      <c r="Y31" s="123"/>
      <c r="Z31" s="127"/>
      <c r="AA31" s="127"/>
      <c r="AB31" s="132"/>
      <c r="AC31" s="123">
        <v>191.97980480000004</v>
      </c>
      <c r="AD31" s="127">
        <v>249.65980480000005</v>
      </c>
      <c r="AE31" s="127">
        <v>315.94854480000004</v>
      </c>
      <c r="AF31" s="123"/>
      <c r="AG31" s="127"/>
      <c r="AH31" s="128"/>
      <c r="AI31" s="123"/>
      <c r="AJ31" s="127"/>
      <c r="AK31" s="127"/>
      <c r="AL31" s="123"/>
      <c r="AM31" s="127"/>
      <c r="AN31" s="127"/>
      <c r="AO31" s="123"/>
      <c r="AP31" s="132"/>
      <c r="AQ31" s="128"/>
      <c r="AR31" s="123"/>
      <c r="AS31" s="123"/>
      <c r="AT31" s="127"/>
      <c r="AU31" s="128"/>
      <c r="AV31" s="132">
        <v>572.45339999999999</v>
      </c>
      <c r="AW31" s="123"/>
      <c r="AX31" s="127"/>
      <c r="AY31" s="128"/>
    </row>
    <row r="32" spans="1:51" x14ac:dyDescent="0.3">
      <c r="A32" s="37">
        <v>2044</v>
      </c>
      <c r="B32" s="123">
        <v>582.5722834841672</v>
      </c>
      <c r="C32" s="127">
        <v>732.50001495149036</v>
      </c>
      <c r="D32" s="127">
        <v>966.23993443970562</v>
      </c>
      <c r="E32" s="123"/>
      <c r="F32" s="127"/>
      <c r="G32" s="127"/>
      <c r="H32" s="123"/>
      <c r="I32" s="127"/>
      <c r="J32" s="127"/>
      <c r="K32" s="123"/>
      <c r="L32" s="127"/>
      <c r="M32" s="127"/>
      <c r="N32" s="123"/>
      <c r="O32" s="127"/>
      <c r="P32" s="127"/>
      <c r="Q32" s="123"/>
      <c r="R32" s="127"/>
      <c r="S32" s="128"/>
      <c r="T32" s="123"/>
      <c r="U32" s="127"/>
      <c r="V32" s="128"/>
      <c r="W32" s="123"/>
      <c r="X32" s="132"/>
      <c r="Y32" s="123"/>
      <c r="Z32" s="127"/>
      <c r="AA32" s="127"/>
      <c r="AB32" s="132"/>
      <c r="AC32" s="123">
        <v>185.95339840000003</v>
      </c>
      <c r="AD32" s="127">
        <v>244.49398400000001</v>
      </c>
      <c r="AE32" s="127">
        <v>311.64388640000004</v>
      </c>
      <c r="AF32" s="123"/>
      <c r="AG32" s="127"/>
      <c r="AH32" s="128"/>
      <c r="AI32" s="123"/>
      <c r="AJ32" s="127"/>
      <c r="AK32" s="127"/>
      <c r="AL32" s="123"/>
      <c r="AM32" s="127"/>
      <c r="AN32" s="127"/>
      <c r="AO32" s="123"/>
      <c r="AP32" s="132"/>
      <c r="AQ32" s="128"/>
      <c r="AR32" s="123"/>
      <c r="AS32" s="123"/>
      <c r="AT32" s="127"/>
      <c r="AU32" s="128"/>
      <c r="AV32" s="132">
        <v>563.94560000000001</v>
      </c>
      <c r="AW32" s="123"/>
      <c r="AX32" s="127"/>
      <c r="AY32" s="128"/>
    </row>
    <row r="33" spans="1:51" x14ac:dyDescent="0.3">
      <c r="A33" s="37">
        <v>2045</v>
      </c>
      <c r="B33" s="123">
        <v>574.91991166221726</v>
      </c>
      <c r="C33" s="127">
        <v>718.99061743986124</v>
      </c>
      <c r="D33" s="127">
        <v>947.54737745911325</v>
      </c>
      <c r="E33" s="123"/>
      <c r="F33" s="127"/>
      <c r="G33" s="127"/>
      <c r="H33" s="123"/>
      <c r="I33" s="127"/>
      <c r="J33" s="127"/>
      <c r="K33" s="123">
        <v>255.38957119999998</v>
      </c>
      <c r="L33" s="127">
        <v>267.8814524</v>
      </c>
      <c r="M33" s="127">
        <v>280.37333359999997</v>
      </c>
      <c r="N33" s="123">
        <v>271.37368800000002</v>
      </c>
      <c r="O33" s="127">
        <v>284.64740100000006</v>
      </c>
      <c r="P33" s="127">
        <v>297.92111400000005</v>
      </c>
      <c r="Q33" s="123"/>
      <c r="R33" s="127"/>
      <c r="S33" s="128"/>
      <c r="T33" s="123"/>
      <c r="U33" s="127"/>
      <c r="V33" s="128"/>
      <c r="W33" s="123">
        <v>549.64277279999999</v>
      </c>
      <c r="X33" s="132"/>
      <c r="Y33" s="123"/>
      <c r="Z33" s="127"/>
      <c r="AA33" s="127"/>
      <c r="AB33" s="132">
        <v>779.07140000000004</v>
      </c>
      <c r="AC33" s="123">
        <v>180.7881544</v>
      </c>
      <c r="AD33" s="127">
        <v>239.32874000000004</v>
      </c>
      <c r="AE33" s="127">
        <v>306.47864240000007</v>
      </c>
      <c r="AF33" s="123"/>
      <c r="AG33" s="127"/>
      <c r="AH33" s="128"/>
      <c r="AI33" s="123">
        <v>214.40694240000005</v>
      </c>
      <c r="AJ33" s="127">
        <v>475.42278560000005</v>
      </c>
      <c r="AK33" s="127">
        <v>755.08311200000003</v>
      </c>
      <c r="AL33" s="123">
        <v>190.68909056707142</v>
      </c>
      <c r="AM33" s="127">
        <v>316.93305311329595</v>
      </c>
      <c r="AN33" s="127">
        <v>545.26164953486818</v>
      </c>
      <c r="AO33" s="123">
        <v>967.29360000000008</v>
      </c>
      <c r="AP33" s="132"/>
      <c r="AQ33" s="128"/>
      <c r="AR33" s="123">
        <v>315.17676959039994</v>
      </c>
      <c r="AS33" s="123"/>
      <c r="AT33" s="127"/>
      <c r="AU33" s="128"/>
      <c r="AV33" s="132">
        <v>556.65319999999997</v>
      </c>
      <c r="AW33" s="123"/>
      <c r="AX33" s="127"/>
      <c r="AY33" s="128"/>
    </row>
    <row r="34" spans="1:51" x14ac:dyDescent="0.3">
      <c r="A34" s="37">
        <v>2046</v>
      </c>
      <c r="B34" s="123">
        <v>567.26753984026743</v>
      </c>
      <c r="C34" s="127">
        <v>705.48121992823235</v>
      </c>
      <c r="D34" s="127">
        <v>928.85482047852099</v>
      </c>
      <c r="E34" s="123"/>
      <c r="F34" s="127"/>
      <c r="G34" s="127"/>
      <c r="H34" s="123"/>
      <c r="I34" s="127"/>
      <c r="J34" s="127"/>
      <c r="K34" s="123"/>
      <c r="L34" s="127"/>
      <c r="M34" s="127"/>
      <c r="N34" s="123"/>
      <c r="O34" s="127"/>
      <c r="P34" s="127"/>
      <c r="Q34" s="123"/>
      <c r="R34" s="127"/>
      <c r="S34" s="128"/>
      <c r="T34" s="123"/>
      <c r="U34" s="127"/>
      <c r="V34" s="128"/>
      <c r="W34" s="123"/>
      <c r="X34" s="132"/>
      <c r="Y34" s="123"/>
      <c r="Z34" s="127"/>
      <c r="AA34" s="127"/>
      <c r="AB34" s="132"/>
      <c r="AC34" s="123">
        <v>175.62291040000002</v>
      </c>
      <c r="AD34" s="127">
        <v>234.16349600000004</v>
      </c>
      <c r="AE34" s="127">
        <v>301.3133984000001</v>
      </c>
      <c r="AF34" s="123"/>
      <c r="AG34" s="127"/>
      <c r="AH34" s="128"/>
      <c r="AI34" s="123"/>
      <c r="AJ34" s="127"/>
      <c r="AK34" s="127"/>
      <c r="AL34" s="123"/>
      <c r="AM34" s="127"/>
      <c r="AN34" s="127"/>
      <c r="AO34" s="123"/>
      <c r="AP34" s="132"/>
      <c r="AQ34" s="128"/>
      <c r="AR34" s="123"/>
      <c r="AS34" s="123"/>
      <c r="AT34" s="127"/>
      <c r="AU34" s="128"/>
      <c r="AV34" s="132">
        <v>542.0684</v>
      </c>
      <c r="AW34" s="123"/>
      <c r="AX34" s="127"/>
      <c r="AY34" s="128"/>
    </row>
    <row r="35" spans="1:51" x14ac:dyDescent="0.3">
      <c r="A35" s="37">
        <v>2047</v>
      </c>
      <c r="B35" s="123">
        <v>559.6151680183176</v>
      </c>
      <c r="C35" s="127">
        <v>691.97182241660335</v>
      </c>
      <c r="D35" s="127">
        <v>910.16226349792885</v>
      </c>
      <c r="E35" s="123"/>
      <c r="F35" s="127"/>
      <c r="G35" s="127"/>
      <c r="H35" s="123"/>
      <c r="I35" s="127"/>
      <c r="J35" s="127"/>
      <c r="K35" s="123"/>
      <c r="L35" s="127"/>
      <c r="M35" s="127"/>
      <c r="N35" s="123"/>
      <c r="O35" s="127"/>
      <c r="P35" s="127"/>
      <c r="Q35" s="123"/>
      <c r="R35" s="127"/>
      <c r="S35" s="128"/>
      <c r="T35" s="123"/>
      <c r="U35" s="127"/>
      <c r="V35" s="128"/>
      <c r="W35" s="123"/>
      <c r="X35" s="132"/>
      <c r="Y35" s="123"/>
      <c r="Z35" s="127"/>
      <c r="AA35" s="127"/>
      <c r="AB35" s="132"/>
      <c r="AC35" s="123">
        <v>171.31825200000003</v>
      </c>
      <c r="AD35" s="127">
        <v>229.85883760000002</v>
      </c>
      <c r="AE35" s="127">
        <v>297.00873999999999</v>
      </c>
      <c r="AF35" s="123"/>
      <c r="AG35" s="127"/>
      <c r="AH35" s="128"/>
      <c r="AI35" s="123"/>
      <c r="AJ35" s="127"/>
      <c r="AK35" s="127"/>
      <c r="AL35" s="123"/>
      <c r="AM35" s="127"/>
      <c r="AN35" s="127"/>
      <c r="AO35" s="123"/>
      <c r="AP35" s="132"/>
      <c r="AQ35" s="128"/>
      <c r="AR35" s="123"/>
      <c r="AS35" s="123"/>
      <c r="AT35" s="127"/>
      <c r="AU35" s="128"/>
      <c r="AV35" s="132">
        <v>532.34519999999998</v>
      </c>
      <c r="AW35" s="123"/>
      <c r="AX35" s="127"/>
      <c r="AY35" s="128"/>
    </row>
    <row r="36" spans="1:51" x14ac:dyDescent="0.3">
      <c r="A36" s="37">
        <v>2048</v>
      </c>
      <c r="B36" s="123">
        <v>551.96279619636778</v>
      </c>
      <c r="C36" s="127">
        <v>678.46242490497423</v>
      </c>
      <c r="D36" s="127">
        <v>891.46970651733648</v>
      </c>
      <c r="E36" s="123"/>
      <c r="F36" s="127"/>
      <c r="G36" s="127"/>
      <c r="H36" s="123"/>
      <c r="I36" s="127"/>
      <c r="J36" s="127"/>
      <c r="K36" s="123"/>
      <c r="L36" s="127"/>
      <c r="M36" s="127"/>
      <c r="N36" s="123"/>
      <c r="O36" s="127"/>
      <c r="P36" s="127"/>
      <c r="Q36" s="123"/>
      <c r="R36" s="127"/>
      <c r="S36" s="128"/>
      <c r="T36" s="123"/>
      <c r="U36" s="127"/>
      <c r="V36" s="128"/>
      <c r="W36" s="123"/>
      <c r="X36" s="132"/>
      <c r="Y36" s="123"/>
      <c r="Z36" s="127"/>
      <c r="AA36" s="127"/>
      <c r="AB36" s="132"/>
      <c r="AC36" s="123">
        <v>167.01359360000004</v>
      </c>
      <c r="AD36" s="127">
        <v>225.55417920000002</v>
      </c>
      <c r="AE36" s="127">
        <v>292.70408159999999</v>
      </c>
      <c r="AF36" s="123"/>
      <c r="AG36" s="127"/>
      <c r="AH36" s="128"/>
      <c r="AI36" s="123"/>
      <c r="AJ36" s="127"/>
      <c r="AK36" s="127"/>
      <c r="AL36" s="123"/>
      <c r="AM36" s="127"/>
      <c r="AN36" s="127"/>
      <c r="AO36" s="123"/>
      <c r="AP36" s="132"/>
      <c r="AQ36" s="128"/>
      <c r="AR36" s="123"/>
      <c r="AS36" s="123"/>
      <c r="AT36" s="127"/>
      <c r="AU36" s="128"/>
      <c r="AV36" s="132">
        <v>522.62199999999996</v>
      </c>
      <c r="AW36" s="123"/>
      <c r="AX36" s="127"/>
      <c r="AY36" s="128"/>
    </row>
    <row r="37" spans="1:51" x14ac:dyDescent="0.3">
      <c r="A37" s="37">
        <v>2049</v>
      </c>
      <c r="B37" s="123">
        <v>544.31042437441783</v>
      </c>
      <c r="C37" s="127">
        <v>664.95302739334534</v>
      </c>
      <c r="D37" s="127">
        <v>872.7771495367441</v>
      </c>
      <c r="E37" s="123"/>
      <c r="F37" s="127"/>
      <c r="G37" s="127"/>
      <c r="H37" s="123"/>
      <c r="I37" s="127"/>
      <c r="J37" s="127"/>
      <c r="K37" s="123"/>
      <c r="L37" s="127"/>
      <c r="M37" s="127"/>
      <c r="N37" s="123"/>
      <c r="O37" s="127"/>
      <c r="P37" s="127"/>
      <c r="Q37" s="123"/>
      <c r="R37" s="127"/>
      <c r="S37" s="128"/>
      <c r="T37" s="123"/>
      <c r="U37" s="127"/>
      <c r="V37" s="128"/>
      <c r="W37" s="123"/>
      <c r="X37" s="132"/>
      <c r="Y37" s="123"/>
      <c r="Z37" s="127"/>
      <c r="AA37" s="127"/>
      <c r="AB37" s="132"/>
      <c r="AC37" s="123">
        <v>162.70893520000001</v>
      </c>
      <c r="AD37" s="127">
        <v>221.25009760000003</v>
      </c>
      <c r="AE37" s="127">
        <v>288.40000000000003</v>
      </c>
      <c r="AF37" s="123"/>
      <c r="AG37" s="127"/>
      <c r="AH37" s="128"/>
      <c r="AI37" s="123"/>
      <c r="AJ37" s="127"/>
      <c r="AK37" s="127"/>
      <c r="AL37" s="123"/>
      <c r="AM37" s="127"/>
      <c r="AN37" s="127"/>
      <c r="AO37" s="123"/>
      <c r="AP37" s="132"/>
      <c r="AQ37" s="128"/>
      <c r="AR37" s="123"/>
      <c r="AS37" s="123"/>
      <c r="AT37" s="127"/>
      <c r="AU37" s="128"/>
      <c r="AV37" s="132">
        <v>514.11419999999998</v>
      </c>
      <c r="AW37" s="123"/>
      <c r="AX37" s="127"/>
      <c r="AY37" s="128"/>
    </row>
    <row r="38" spans="1:51" ht="15" thickBot="1" x14ac:dyDescent="0.35">
      <c r="A38" s="38">
        <v>2050</v>
      </c>
      <c r="B38" s="124">
        <v>536.65805255246744</v>
      </c>
      <c r="C38" s="129">
        <v>651.44362988171611</v>
      </c>
      <c r="D38" s="129">
        <v>854.08459255615139</v>
      </c>
      <c r="E38" s="124">
        <v>422.3</v>
      </c>
      <c r="F38" s="129">
        <v>422.3</v>
      </c>
      <c r="G38" s="129">
        <v>463.5</v>
      </c>
      <c r="H38" s="124">
        <v>247.20000000000002</v>
      </c>
      <c r="I38" s="129">
        <v>257.5</v>
      </c>
      <c r="J38" s="129">
        <v>278.10000000000002</v>
      </c>
      <c r="K38" s="124">
        <v>230.40580879999996</v>
      </c>
      <c r="L38" s="129">
        <v>242.2036966</v>
      </c>
      <c r="M38" s="129">
        <v>254.00158439999996</v>
      </c>
      <c r="N38" s="124">
        <v>244.82626200000004</v>
      </c>
      <c r="O38" s="129">
        <v>257.36254650000006</v>
      </c>
      <c r="P38" s="129">
        <v>269.89883100000003</v>
      </c>
      <c r="Q38" s="124">
        <v>270</v>
      </c>
      <c r="R38" s="129">
        <v>313.2</v>
      </c>
      <c r="S38" s="130">
        <v>432.00000000000006</v>
      </c>
      <c r="T38" s="124">
        <v>313.2</v>
      </c>
      <c r="U38" s="129">
        <v>378</v>
      </c>
      <c r="V38" s="130">
        <v>507.6</v>
      </c>
      <c r="W38" s="124">
        <v>509.39115559999999</v>
      </c>
      <c r="X38" s="133">
        <v>245.10769920000004</v>
      </c>
      <c r="Y38" s="124">
        <v>288.40000000000003</v>
      </c>
      <c r="Z38" s="129">
        <v>298.7</v>
      </c>
      <c r="AA38" s="129">
        <v>309</v>
      </c>
      <c r="AB38" s="133"/>
      <c r="AC38" s="124">
        <v>158.40427679999999</v>
      </c>
      <c r="AD38" s="129">
        <v>216.94601600000001</v>
      </c>
      <c r="AE38" s="129">
        <v>284.09591840000007</v>
      </c>
      <c r="AF38" s="124">
        <v>450.91339999999997</v>
      </c>
      <c r="AG38" s="129">
        <v>607.70000000000005</v>
      </c>
      <c r="AH38" s="130">
        <v>807.02560000000005</v>
      </c>
      <c r="AI38" s="124">
        <v>195.76245920000005</v>
      </c>
      <c r="AJ38" s="129">
        <v>438.13497280000007</v>
      </c>
      <c r="AK38" s="129">
        <v>689.82972800000005</v>
      </c>
      <c r="AL38" s="124">
        <v>163.2127293101064</v>
      </c>
      <c r="AM38" s="129">
        <v>285.93606451945294</v>
      </c>
      <c r="AN38" s="129">
        <v>429.24179392291842</v>
      </c>
      <c r="AO38" s="124">
        <v>886.24290000000008</v>
      </c>
      <c r="AP38" s="133">
        <v>330.26949999999999</v>
      </c>
      <c r="AQ38" s="130"/>
      <c r="AR38" s="124">
        <v>167.88883173280001</v>
      </c>
      <c r="AS38" s="124"/>
      <c r="AT38" s="129"/>
      <c r="AU38" s="130"/>
      <c r="AV38" s="133">
        <v>505.60640000000001</v>
      </c>
      <c r="AW38" s="124"/>
      <c r="AX38" s="129"/>
      <c r="AY38" s="130"/>
    </row>
    <row r="40" spans="1:51" x14ac:dyDescent="0.3">
      <c r="A40" s="36" t="s">
        <v>24</v>
      </c>
    </row>
    <row r="41" spans="1:51" x14ac:dyDescent="0.3">
      <c r="A41" s="36" t="s">
        <v>60</v>
      </c>
    </row>
    <row r="42" spans="1:51" x14ac:dyDescent="0.3">
      <c r="A42" s="36" t="s">
        <v>308</v>
      </c>
    </row>
    <row r="43" spans="1:51" x14ac:dyDescent="0.3">
      <c r="AR43" s="4"/>
    </row>
    <row r="44" spans="1:51" x14ac:dyDescent="0.3">
      <c r="AR44" s="4"/>
    </row>
    <row r="45" spans="1:51" x14ac:dyDescent="0.3">
      <c r="W45" s="4"/>
      <c r="AR45" s="4"/>
    </row>
    <row r="46" spans="1:51" x14ac:dyDescent="0.3">
      <c r="W46" s="4"/>
      <c r="AR46" s="4"/>
    </row>
    <row r="47" spans="1:51" x14ac:dyDescent="0.3">
      <c r="W47" s="4"/>
      <c r="AR47" s="4"/>
    </row>
    <row r="48" spans="1:51" x14ac:dyDescent="0.3">
      <c r="W48" s="4"/>
      <c r="AR48" s="4"/>
    </row>
    <row r="49" spans="23:44" x14ac:dyDescent="0.3">
      <c r="W49" s="4"/>
      <c r="AR49" s="4"/>
    </row>
    <row r="50" spans="23:44" x14ac:dyDescent="0.3">
      <c r="W50" s="4"/>
    </row>
    <row r="51" spans="23:44" x14ac:dyDescent="0.3">
      <c r="W51" s="4"/>
    </row>
  </sheetData>
  <mergeCells count="15">
    <mergeCell ref="AW1:AY1"/>
    <mergeCell ref="A1:A2"/>
    <mergeCell ref="B1:D1"/>
    <mergeCell ref="E1:G1"/>
    <mergeCell ref="H1:J1"/>
    <mergeCell ref="K1:M1"/>
    <mergeCell ref="N1:P1"/>
    <mergeCell ref="Y1:AA1"/>
    <mergeCell ref="AC1:AE1"/>
    <mergeCell ref="AF1:AH1"/>
    <mergeCell ref="AL1:AN1"/>
    <mergeCell ref="AS1:AU1"/>
    <mergeCell ref="Q1:S1"/>
    <mergeCell ref="T1:V1"/>
    <mergeCell ref="AI1:AK1"/>
  </mergeCells>
  <pageMargins left="0.25" right="0.25" top="0.75" bottom="0.75" header="0.3" footer="0.3"/>
  <pageSetup paperSize="9" scale="23" orientation="landscape" r:id="rId1"/>
  <headerFooter>
    <oddFooter>&amp;C_x000D_&amp;1#&amp;"Calibri"&amp;7&amp;K000000 Classification: In-Confidence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A98F3-72B7-402A-96C0-2739A1083DE1}">
  <sheetPr>
    <tabColor rgb="FFFFFF00"/>
    <pageSetUpPr fitToPage="1"/>
  </sheetPr>
  <dimension ref="A1:AR42"/>
  <sheetViews>
    <sheetView topLeftCell="T1" zoomScale="70" zoomScaleNormal="70" workbookViewId="0">
      <selection activeCell="O39" sqref="O39"/>
    </sheetView>
  </sheetViews>
  <sheetFormatPr defaultRowHeight="14.4" x14ac:dyDescent="0.3"/>
  <cols>
    <col min="2" max="13" width="6.6640625" bestFit="1" customWidth="1"/>
    <col min="14" max="14" width="6.5546875" customWidth="1"/>
    <col min="15" max="15" width="7.109375" customWidth="1"/>
    <col min="16" max="16" width="6.6640625" customWidth="1"/>
    <col min="17" max="17" width="7.109375" customWidth="1"/>
    <col min="18" max="18" width="8.44140625" customWidth="1"/>
    <col min="19" max="19" width="7.44140625" bestFit="1" customWidth="1"/>
    <col min="20" max="20" width="6.88671875" customWidth="1"/>
    <col min="21" max="21" width="6.77734375" customWidth="1"/>
    <col min="22" max="22" width="6.6640625" bestFit="1" customWidth="1"/>
    <col min="23" max="23" width="26.33203125" bestFit="1" customWidth="1"/>
    <col min="24" max="24" width="31.21875" bestFit="1" customWidth="1"/>
    <col min="25" max="25" width="10.6640625" customWidth="1"/>
    <col min="26" max="26" width="9.5546875" customWidth="1"/>
    <col min="27" max="27" width="10.21875" customWidth="1"/>
    <col min="28" max="28" width="15.44140625" bestFit="1" customWidth="1"/>
    <col min="29" max="30" width="18.5546875" bestFit="1" customWidth="1"/>
    <col min="31" max="31" width="7.44140625" bestFit="1" customWidth="1"/>
    <col min="32" max="33" width="7.109375" customWidth="1"/>
    <col min="34" max="36" width="6.77734375" customWidth="1"/>
    <col min="37" max="37" width="6.88671875" customWidth="1"/>
    <col min="38" max="38" width="20.6640625" bestFit="1" customWidth="1"/>
    <col min="39" max="39" width="9" bestFit="1" customWidth="1"/>
    <col min="40" max="40" width="20.44140625" bestFit="1" customWidth="1"/>
    <col min="41" max="42" width="9" bestFit="1" customWidth="1"/>
  </cols>
  <sheetData>
    <row r="1" spans="1:44" ht="40.200000000000003" customHeight="1" thickBot="1" x14ac:dyDescent="0.35">
      <c r="A1" s="289" t="s">
        <v>0</v>
      </c>
      <c r="B1" s="291" t="s">
        <v>312</v>
      </c>
      <c r="C1" s="292"/>
      <c r="D1" s="292"/>
      <c r="E1" s="291" t="s">
        <v>11</v>
      </c>
      <c r="F1" s="292"/>
      <c r="G1" s="293"/>
      <c r="H1" s="291" t="s">
        <v>6</v>
      </c>
      <c r="I1" s="292"/>
      <c r="J1" s="293"/>
      <c r="K1" s="291" t="s">
        <v>7</v>
      </c>
      <c r="L1" s="292"/>
      <c r="M1" s="293"/>
      <c r="N1" s="291" t="s">
        <v>31</v>
      </c>
      <c r="O1" s="292"/>
      <c r="P1" s="293"/>
      <c r="Q1" s="291" t="s">
        <v>286</v>
      </c>
      <c r="R1" s="292"/>
      <c r="S1" s="293"/>
      <c r="T1" s="291" t="s">
        <v>311</v>
      </c>
      <c r="U1" s="292"/>
      <c r="V1" s="293"/>
      <c r="W1" s="229" t="s">
        <v>309</v>
      </c>
      <c r="X1" s="229" t="s">
        <v>310</v>
      </c>
      <c r="Y1" s="291" t="s">
        <v>12</v>
      </c>
      <c r="Z1" s="292"/>
      <c r="AA1" s="293"/>
      <c r="AB1" s="28" t="s">
        <v>330</v>
      </c>
      <c r="AC1" s="28" t="s">
        <v>32</v>
      </c>
      <c r="AD1" s="26" t="s">
        <v>23</v>
      </c>
      <c r="AE1" s="291" t="s">
        <v>25</v>
      </c>
      <c r="AF1" s="292"/>
      <c r="AG1" s="293"/>
      <c r="AH1" s="291" t="s">
        <v>26</v>
      </c>
      <c r="AI1" s="292"/>
      <c r="AJ1" s="293"/>
      <c r="AK1" s="291" t="s">
        <v>15</v>
      </c>
      <c r="AL1" s="292"/>
      <c r="AM1" s="293"/>
      <c r="AN1" s="28" t="s">
        <v>287</v>
      </c>
      <c r="AO1" s="286" t="s">
        <v>27</v>
      </c>
      <c r="AP1" s="287"/>
      <c r="AQ1" s="287"/>
      <c r="AR1" s="288"/>
    </row>
    <row r="2" spans="1:44" ht="15" customHeight="1" thickBot="1" x14ac:dyDescent="0.35">
      <c r="A2" s="290"/>
      <c r="B2" s="29" t="s">
        <v>21</v>
      </c>
      <c r="C2" s="30" t="s">
        <v>19</v>
      </c>
      <c r="D2" s="31" t="s">
        <v>22</v>
      </c>
      <c r="E2" s="29" t="s">
        <v>21</v>
      </c>
      <c r="F2" s="30" t="s">
        <v>19</v>
      </c>
      <c r="G2" s="31" t="s">
        <v>22</v>
      </c>
      <c r="H2" s="29" t="s">
        <v>21</v>
      </c>
      <c r="I2" s="30" t="s">
        <v>19</v>
      </c>
      <c r="J2" s="31" t="s">
        <v>22</v>
      </c>
      <c r="K2" s="29" t="s">
        <v>21</v>
      </c>
      <c r="L2" s="30" t="s">
        <v>19</v>
      </c>
      <c r="M2" s="31" t="s">
        <v>22</v>
      </c>
      <c r="N2" s="29" t="s">
        <v>21</v>
      </c>
      <c r="O2" s="30" t="s">
        <v>19</v>
      </c>
      <c r="P2" s="31" t="s">
        <v>22</v>
      </c>
      <c r="Q2" s="29" t="s">
        <v>21</v>
      </c>
      <c r="R2" s="30" t="s">
        <v>19</v>
      </c>
      <c r="S2" s="31" t="s">
        <v>22</v>
      </c>
      <c r="T2" s="29" t="s">
        <v>21</v>
      </c>
      <c r="U2" s="30" t="s">
        <v>19</v>
      </c>
      <c r="V2" s="31" t="s">
        <v>22</v>
      </c>
      <c r="W2" s="29" t="s">
        <v>19</v>
      </c>
      <c r="X2" s="29" t="s">
        <v>19</v>
      </c>
      <c r="Y2" s="29" t="s">
        <v>18</v>
      </c>
      <c r="Z2" s="30" t="s">
        <v>19</v>
      </c>
      <c r="AA2" s="31" t="s">
        <v>20</v>
      </c>
      <c r="AB2" s="32" t="s">
        <v>19</v>
      </c>
      <c r="AC2" s="32" t="s">
        <v>19</v>
      </c>
      <c r="AD2" s="30" t="s">
        <v>19</v>
      </c>
      <c r="AE2" s="29" t="s">
        <v>18</v>
      </c>
      <c r="AF2" s="30" t="s">
        <v>28</v>
      </c>
      <c r="AG2" s="31" t="s">
        <v>20</v>
      </c>
      <c r="AH2" s="29" t="s">
        <v>18</v>
      </c>
      <c r="AI2" s="30" t="s">
        <v>19</v>
      </c>
      <c r="AJ2" s="31" t="s">
        <v>20</v>
      </c>
      <c r="AK2" s="29" t="s">
        <v>21</v>
      </c>
      <c r="AL2" s="30" t="s">
        <v>19</v>
      </c>
      <c r="AM2" s="31" t="s">
        <v>22</v>
      </c>
      <c r="AN2" s="32" t="s">
        <v>19</v>
      </c>
      <c r="AO2" s="33" t="s">
        <v>21</v>
      </c>
      <c r="AP2" s="34" t="s">
        <v>19</v>
      </c>
      <c r="AQ2" s="35" t="s">
        <v>22</v>
      </c>
      <c r="AR2" s="35" t="s">
        <v>29</v>
      </c>
    </row>
    <row r="3" spans="1:44" x14ac:dyDescent="0.3">
      <c r="A3" s="41">
        <v>2015</v>
      </c>
      <c r="B3" s="123"/>
      <c r="C3" s="127"/>
      <c r="D3" s="128"/>
      <c r="E3" s="123"/>
      <c r="F3" s="127"/>
      <c r="G3" s="127"/>
      <c r="H3" s="123"/>
      <c r="I3" s="127"/>
      <c r="J3" s="127"/>
      <c r="K3" s="123"/>
      <c r="L3" s="127"/>
      <c r="M3" s="127"/>
      <c r="N3" s="123"/>
      <c r="O3" s="127"/>
      <c r="P3" s="128"/>
      <c r="Q3" s="127"/>
      <c r="R3" s="127"/>
      <c r="S3" s="127"/>
      <c r="T3" s="123"/>
      <c r="U3" s="127"/>
      <c r="V3" s="128"/>
      <c r="W3" s="122"/>
      <c r="X3" s="122"/>
      <c r="Y3" s="123"/>
      <c r="Z3" s="127"/>
      <c r="AA3" s="128"/>
      <c r="AB3" s="132"/>
      <c r="AC3" s="132"/>
      <c r="AD3" s="127"/>
      <c r="AE3" s="123"/>
      <c r="AF3" s="127"/>
      <c r="AG3" s="128"/>
      <c r="AH3" s="123"/>
      <c r="AI3" s="127"/>
      <c r="AJ3" s="128"/>
      <c r="AK3" s="123">
        <v>64.74277682673339</v>
      </c>
      <c r="AL3" s="127">
        <v>66.07782102961734</v>
      </c>
      <c r="AM3" s="128">
        <v>67.412865232501275</v>
      </c>
      <c r="AN3" s="132"/>
      <c r="AO3" s="127">
        <v>89.980800000000016</v>
      </c>
      <c r="AP3" s="127">
        <v>138.1848</v>
      </c>
      <c r="AQ3" s="127">
        <v>327.78720000000004</v>
      </c>
      <c r="AR3" s="128">
        <v>124.63000000000001</v>
      </c>
    </row>
    <row r="4" spans="1:44" x14ac:dyDescent="0.3">
      <c r="A4" s="41">
        <v>2016</v>
      </c>
      <c r="B4" s="123"/>
      <c r="C4" s="127"/>
      <c r="D4" s="128"/>
      <c r="E4" s="123"/>
      <c r="F4" s="127"/>
      <c r="G4" s="127"/>
      <c r="H4" s="123"/>
      <c r="I4" s="127"/>
      <c r="J4" s="127"/>
      <c r="K4" s="123"/>
      <c r="L4" s="127"/>
      <c r="M4" s="127"/>
      <c r="N4" s="123"/>
      <c r="O4" s="127"/>
      <c r="P4" s="128"/>
      <c r="Q4" s="127"/>
      <c r="R4" s="127"/>
      <c r="S4" s="127"/>
      <c r="T4" s="123"/>
      <c r="U4" s="127"/>
      <c r="V4" s="128"/>
      <c r="W4" s="123"/>
      <c r="X4" s="123"/>
      <c r="Y4" s="123"/>
      <c r="Z4" s="127"/>
      <c r="AA4" s="128"/>
      <c r="AB4" s="132"/>
      <c r="AC4" s="132"/>
      <c r="AD4" s="127"/>
      <c r="AE4" s="123"/>
      <c r="AF4" s="127"/>
      <c r="AG4" s="128"/>
      <c r="AH4" s="123"/>
      <c r="AI4" s="127"/>
      <c r="AJ4" s="128"/>
      <c r="AK4" s="123"/>
      <c r="AL4" s="127"/>
      <c r="AM4" s="128"/>
      <c r="AN4" s="132"/>
      <c r="AO4" s="127">
        <v>83.232240000000004</v>
      </c>
      <c r="AP4" s="127">
        <v>121.04560000000001</v>
      </c>
      <c r="AQ4" s="127">
        <v>272.08480000000003</v>
      </c>
      <c r="AR4" s="128">
        <v>94.76</v>
      </c>
    </row>
    <row r="5" spans="1:44" x14ac:dyDescent="0.3">
      <c r="A5" s="41">
        <v>2017</v>
      </c>
      <c r="B5" s="123"/>
      <c r="C5" s="127"/>
      <c r="D5" s="128"/>
      <c r="E5" s="123"/>
      <c r="F5" s="127"/>
      <c r="G5" s="127"/>
      <c r="H5" s="123"/>
      <c r="I5" s="127"/>
      <c r="J5" s="127"/>
      <c r="K5" s="123"/>
      <c r="L5" s="127"/>
      <c r="M5" s="127"/>
      <c r="N5" s="123"/>
      <c r="O5" s="127"/>
      <c r="P5" s="128"/>
      <c r="Q5" s="127"/>
      <c r="R5" s="127"/>
      <c r="S5" s="127"/>
      <c r="T5" s="123"/>
      <c r="U5" s="127"/>
      <c r="V5" s="128"/>
      <c r="W5" s="123"/>
      <c r="X5" s="123"/>
      <c r="Y5" s="123"/>
      <c r="Z5" s="127"/>
      <c r="AA5" s="128"/>
      <c r="AB5" s="132"/>
      <c r="AC5" s="132"/>
      <c r="AD5" s="127"/>
      <c r="AE5" s="123"/>
      <c r="AF5" s="127"/>
      <c r="AG5" s="128"/>
      <c r="AH5" s="123"/>
      <c r="AI5" s="127"/>
      <c r="AJ5" s="128"/>
      <c r="AK5" s="123"/>
      <c r="AL5" s="127"/>
      <c r="AM5" s="128"/>
      <c r="AN5" s="132"/>
      <c r="AO5" s="127">
        <v>60.308560000000007</v>
      </c>
      <c r="AP5" s="127">
        <v>95.336800000000011</v>
      </c>
      <c r="AQ5" s="127">
        <v>239.94880000000001</v>
      </c>
      <c r="AR5" s="128">
        <v>81.37</v>
      </c>
    </row>
    <row r="6" spans="1:44" x14ac:dyDescent="0.3">
      <c r="A6" s="41">
        <v>2018</v>
      </c>
      <c r="B6" s="123"/>
      <c r="C6" s="127"/>
      <c r="D6" s="128"/>
      <c r="E6" s="123"/>
      <c r="F6" s="127"/>
      <c r="G6" s="127"/>
      <c r="H6" s="123"/>
      <c r="I6" s="127"/>
      <c r="J6" s="127"/>
      <c r="K6" s="123"/>
      <c r="L6" s="127"/>
      <c r="M6" s="127"/>
      <c r="N6" s="123"/>
      <c r="O6" s="127"/>
      <c r="P6" s="128"/>
      <c r="Q6" s="127"/>
      <c r="R6" s="127"/>
      <c r="S6" s="127"/>
      <c r="T6" s="123"/>
      <c r="U6" s="127"/>
      <c r="V6" s="128"/>
      <c r="W6" s="123"/>
      <c r="X6" s="123"/>
      <c r="Y6" s="123"/>
      <c r="Z6" s="127"/>
      <c r="AA6" s="128"/>
      <c r="AB6" s="132"/>
      <c r="AC6" s="132"/>
      <c r="AD6" s="127"/>
      <c r="AE6" s="123"/>
      <c r="AF6" s="127"/>
      <c r="AG6" s="128"/>
      <c r="AH6" s="123"/>
      <c r="AI6" s="127"/>
      <c r="AJ6" s="128"/>
      <c r="AK6" s="123"/>
      <c r="AL6" s="127"/>
      <c r="AM6" s="128"/>
      <c r="AN6" s="132"/>
      <c r="AO6" s="127">
        <v>54.845440000000004</v>
      </c>
      <c r="AP6" s="127">
        <v>80.34</v>
      </c>
      <c r="AQ6" s="127">
        <v>229.23680000000002</v>
      </c>
      <c r="AR6" s="128">
        <v>64.89</v>
      </c>
    </row>
    <row r="7" spans="1:44" x14ac:dyDescent="0.3">
      <c r="A7" s="41">
        <v>2019</v>
      </c>
      <c r="B7" s="123"/>
      <c r="C7" s="127"/>
      <c r="D7" s="128"/>
      <c r="E7" s="123"/>
      <c r="F7" s="127"/>
      <c r="G7" s="127"/>
      <c r="H7" s="123"/>
      <c r="I7" s="127"/>
      <c r="J7" s="127"/>
      <c r="K7" s="123"/>
      <c r="L7" s="127"/>
      <c r="M7" s="127"/>
      <c r="N7" s="123"/>
      <c r="O7" s="127"/>
      <c r="P7" s="128"/>
      <c r="Q7" s="127"/>
      <c r="R7" s="127"/>
      <c r="S7" s="127"/>
      <c r="T7" s="123"/>
      <c r="U7" s="127"/>
      <c r="V7" s="128"/>
      <c r="W7" s="123"/>
      <c r="X7" s="123"/>
      <c r="Y7" s="123"/>
      <c r="Z7" s="127"/>
      <c r="AA7" s="128"/>
      <c r="AB7" s="132"/>
      <c r="AC7" s="132"/>
      <c r="AD7" s="127"/>
      <c r="AE7" s="123"/>
      <c r="AF7" s="127"/>
      <c r="AG7" s="128"/>
      <c r="AH7" s="123"/>
      <c r="AI7" s="127"/>
      <c r="AJ7" s="128"/>
      <c r="AK7" s="123"/>
      <c r="AL7" s="127"/>
      <c r="AM7" s="128"/>
      <c r="AN7" s="132"/>
      <c r="AO7" s="127">
        <v>52.381680000000003</v>
      </c>
      <c r="AP7" s="127">
        <v>70.699200000000005</v>
      </c>
      <c r="AQ7" s="127">
        <v>188.53120000000001</v>
      </c>
      <c r="AR7" s="128">
        <v>53.56</v>
      </c>
    </row>
    <row r="8" spans="1:44" x14ac:dyDescent="0.3">
      <c r="A8" s="41">
        <v>2020</v>
      </c>
      <c r="B8" s="123"/>
      <c r="C8" s="127"/>
      <c r="D8" s="128"/>
      <c r="E8" s="123"/>
      <c r="F8" s="127"/>
      <c r="G8" s="127"/>
      <c r="H8" s="123"/>
      <c r="I8" s="127"/>
      <c r="J8" s="127"/>
      <c r="K8" s="123"/>
      <c r="L8" s="127"/>
      <c r="M8" s="127"/>
      <c r="N8" s="123">
        <v>52.439032299930787</v>
      </c>
      <c r="O8" s="127">
        <v>63.124734673368614</v>
      </c>
      <c r="P8" s="128">
        <v>70.473058985289313</v>
      </c>
      <c r="Q8" s="127"/>
      <c r="R8" s="226"/>
      <c r="S8" s="127"/>
      <c r="T8" s="123">
        <v>64.063759379200008</v>
      </c>
      <c r="U8" s="127">
        <v>64.721930170240014</v>
      </c>
      <c r="V8" s="128">
        <v>65.380100961280007</v>
      </c>
      <c r="W8" s="127">
        <v>29.495135984461118</v>
      </c>
      <c r="X8" s="123">
        <v>29.082696795746333</v>
      </c>
      <c r="Y8" s="123">
        <v>74.623500000000007</v>
      </c>
      <c r="Z8" s="127">
        <v>83.558750000000003</v>
      </c>
      <c r="AA8" s="128">
        <v>98.447400000000002</v>
      </c>
      <c r="AB8" s="132">
        <v>45.761428571428546</v>
      </c>
      <c r="AC8" s="132">
        <v>61.087195092000002</v>
      </c>
      <c r="AD8" s="127">
        <v>69.532183220000007</v>
      </c>
      <c r="AE8" s="123"/>
      <c r="AF8" s="127"/>
      <c r="AG8" s="128"/>
      <c r="AH8" s="123">
        <v>124.93282000000001</v>
      </c>
      <c r="AI8" s="127">
        <v>81.067385999999999</v>
      </c>
      <c r="AJ8" s="128">
        <v>49.973025</v>
      </c>
      <c r="AK8" s="123">
        <v>38.186951953951237</v>
      </c>
      <c r="AL8" s="127">
        <v>40.23003243863613</v>
      </c>
      <c r="AM8" s="128">
        <v>42.27311292332103</v>
      </c>
      <c r="AN8" s="132">
        <v>40.837439999999994</v>
      </c>
      <c r="AO8" s="192">
        <v>43.276479999999999</v>
      </c>
      <c r="AP8" s="192">
        <v>63.200800000000001</v>
      </c>
      <c r="AQ8" s="192">
        <v>184.24639999999999</v>
      </c>
      <c r="AR8" s="193">
        <v>46.35</v>
      </c>
    </row>
    <row r="9" spans="1:44" x14ac:dyDescent="0.3">
      <c r="A9" s="41">
        <v>2021</v>
      </c>
      <c r="B9" s="123">
        <v>48.410000000000004</v>
      </c>
      <c r="C9" s="127">
        <v>48.410000000000004</v>
      </c>
      <c r="D9" s="128">
        <v>48.410000000000004</v>
      </c>
      <c r="E9" s="123"/>
      <c r="F9" s="127"/>
      <c r="G9" s="127"/>
      <c r="H9" s="123"/>
      <c r="I9" s="127"/>
      <c r="J9" s="127"/>
      <c r="K9" s="123"/>
      <c r="L9" s="127"/>
      <c r="M9" s="127"/>
      <c r="N9" s="123"/>
      <c r="O9" s="127"/>
      <c r="P9" s="128"/>
      <c r="Q9" s="127">
        <v>36.870172684800011</v>
      </c>
      <c r="R9" s="127">
        <v>88.812069382400011</v>
      </c>
      <c r="S9" s="127">
        <v>140.75396608</v>
      </c>
      <c r="T9" s="123"/>
      <c r="U9" s="127"/>
      <c r="V9" s="128"/>
      <c r="W9" s="127"/>
      <c r="X9" s="123"/>
      <c r="Y9" s="123"/>
      <c r="Z9" s="127"/>
      <c r="AA9" s="128"/>
      <c r="AB9" s="132">
        <v>43.425087108013834</v>
      </c>
      <c r="AC9" s="132"/>
      <c r="AD9" s="127"/>
      <c r="AE9" s="123"/>
      <c r="AF9" s="127"/>
      <c r="AG9" s="128"/>
      <c r="AH9" s="123"/>
      <c r="AI9" s="127"/>
      <c r="AJ9" s="128"/>
      <c r="AK9" s="123"/>
      <c r="AL9" s="127"/>
      <c r="AM9" s="128"/>
      <c r="AN9" s="132">
        <v>40.837439999999994</v>
      </c>
      <c r="AO9" s="192">
        <v>33.100080000000005</v>
      </c>
      <c r="AP9" s="192">
        <v>54.6312</v>
      </c>
      <c r="AQ9" s="192">
        <v>136.04240000000001</v>
      </c>
      <c r="AR9" s="193">
        <v>41.2</v>
      </c>
    </row>
    <row r="10" spans="1:44" x14ac:dyDescent="0.3">
      <c r="A10" s="41">
        <v>2022</v>
      </c>
      <c r="B10" s="123">
        <v>50.47</v>
      </c>
      <c r="C10" s="127">
        <v>50.47</v>
      </c>
      <c r="D10" s="128">
        <v>50.47</v>
      </c>
      <c r="E10" s="123">
        <v>51.5</v>
      </c>
      <c r="F10" s="127">
        <v>51.5</v>
      </c>
      <c r="G10" s="127">
        <v>51.5</v>
      </c>
      <c r="H10" s="123">
        <v>66.95</v>
      </c>
      <c r="I10" s="127">
        <v>66.95</v>
      </c>
      <c r="J10" s="127">
        <v>66.95</v>
      </c>
      <c r="K10" s="123">
        <v>41.2</v>
      </c>
      <c r="L10" s="127">
        <v>41.2</v>
      </c>
      <c r="M10" s="127">
        <v>41.2</v>
      </c>
      <c r="N10" s="123"/>
      <c r="O10" s="127"/>
      <c r="P10" s="128"/>
      <c r="Q10" s="127">
        <v>35.969943136288002</v>
      </c>
      <c r="R10" s="127">
        <v>83.189277086608016</v>
      </c>
      <c r="S10" s="127">
        <v>130.40861106</v>
      </c>
      <c r="T10" s="123"/>
      <c r="U10" s="127"/>
      <c r="V10" s="128"/>
      <c r="W10" s="127"/>
      <c r="X10" s="123"/>
      <c r="Y10" s="123"/>
      <c r="Z10" s="127"/>
      <c r="AA10" s="128"/>
      <c r="AB10" s="132">
        <v>41.285943517329812</v>
      </c>
      <c r="AC10" s="132"/>
      <c r="AD10" s="127"/>
      <c r="AE10" s="123">
        <v>43.670681600000009</v>
      </c>
      <c r="AF10" s="127">
        <v>80.517819200000005</v>
      </c>
      <c r="AG10" s="128">
        <v>126.91791840000002</v>
      </c>
      <c r="AH10" s="123"/>
      <c r="AI10" s="127"/>
      <c r="AJ10" s="128"/>
      <c r="AK10" s="123"/>
      <c r="AL10" s="127"/>
      <c r="AM10" s="128"/>
      <c r="AN10" s="132">
        <v>39.257419999999996</v>
      </c>
      <c r="AO10" s="192">
        <v>32.136000000000003</v>
      </c>
      <c r="AP10" s="192">
        <v>52.488800000000012</v>
      </c>
      <c r="AQ10" s="192">
        <v>128.54400000000001</v>
      </c>
      <c r="AR10" s="193">
        <v>41.2</v>
      </c>
    </row>
    <row r="11" spans="1:44" x14ac:dyDescent="0.3">
      <c r="A11" s="41">
        <v>2023</v>
      </c>
      <c r="B11" s="123">
        <v>47.38</v>
      </c>
      <c r="C11" s="127">
        <v>48.410000000000004</v>
      </c>
      <c r="D11" s="128">
        <v>49.44</v>
      </c>
      <c r="E11" s="123"/>
      <c r="F11" s="127"/>
      <c r="G11" s="127"/>
      <c r="H11" s="123"/>
      <c r="I11" s="127"/>
      <c r="J11" s="127"/>
      <c r="K11" s="123"/>
      <c r="L11" s="127"/>
      <c r="M11" s="127"/>
      <c r="N11" s="123"/>
      <c r="O11" s="127"/>
      <c r="P11" s="128"/>
      <c r="Q11" s="127">
        <v>34.548522564304008</v>
      </c>
      <c r="R11" s="127">
        <v>79.756322383472011</v>
      </c>
      <c r="S11" s="127">
        <v>124.96412214496002</v>
      </c>
      <c r="T11" s="123"/>
      <c r="U11" s="127"/>
      <c r="V11" s="128"/>
      <c r="W11" s="127"/>
      <c r="X11" s="123"/>
      <c r="Y11" s="123"/>
      <c r="Z11" s="127"/>
      <c r="AA11" s="128"/>
      <c r="AB11" s="132">
        <v>41.000724371905285</v>
      </c>
      <c r="AC11" s="132"/>
      <c r="AD11" s="127"/>
      <c r="AE11" s="123">
        <v>40.941264000000004</v>
      </c>
      <c r="AF11" s="127">
        <v>75.058983999999995</v>
      </c>
      <c r="AG11" s="128">
        <v>118.72966560000003</v>
      </c>
      <c r="AH11" s="123"/>
      <c r="AI11" s="127"/>
      <c r="AJ11" s="128"/>
      <c r="AK11" s="123"/>
      <c r="AL11" s="127"/>
      <c r="AM11" s="128"/>
      <c r="AN11" s="132">
        <v>37.677399999999999</v>
      </c>
      <c r="AO11" s="127"/>
      <c r="AP11" s="127"/>
      <c r="AQ11" s="127"/>
      <c r="AR11" s="128"/>
    </row>
    <row r="12" spans="1:44" x14ac:dyDescent="0.3">
      <c r="A12" s="41">
        <v>2024</v>
      </c>
      <c r="B12" s="123">
        <v>45.32</v>
      </c>
      <c r="C12" s="127">
        <v>46.35</v>
      </c>
      <c r="D12" s="128">
        <v>49.44</v>
      </c>
      <c r="E12" s="123"/>
      <c r="F12" s="127"/>
      <c r="G12" s="127"/>
      <c r="H12" s="123"/>
      <c r="I12" s="127"/>
      <c r="J12" s="127"/>
      <c r="K12" s="123"/>
      <c r="L12" s="127"/>
      <c r="M12" s="127"/>
      <c r="N12" s="123"/>
      <c r="O12" s="127"/>
      <c r="P12" s="128"/>
      <c r="Q12" s="127">
        <v>33.125195333775999</v>
      </c>
      <c r="R12" s="127">
        <v>76.560747759216014</v>
      </c>
      <c r="S12" s="127">
        <v>119.99630017312002</v>
      </c>
      <c r="T12" s="123"/>
      <c r="U12" s="127"/>
      <c r="V12" s="128"/>
      <c r="W12" s="127"/>
      <c r="X12" s="123"/>
      <c r="Y12" s="123"/>
      <c r="Z12" s="127"/>
      <c r="AA12" s="128"/>
      <c r="AB12" s="132">
        <v>38.698571428571356</v>
      </c>
      <c r="AC12" s="132"/>
      <c r="AD12" s="127"/>
      <c r="AE12" s="123">
        <v>39.576555200000008</v>
      </c>
      <c r="AF12" s="127">
        <v>73.694275200000007</v>
      </c>
      <c r="AG12" s="128">
        <v>117.3649568</v>
      </c>
      <c r="AH12" s="123"/>
      <c r="AI12" s="127"/>
      <c r="AJ12" s="128"/>
      <c r="AK12" s="123"/>
      <c r="AL12" s="127"/>
      <c r="AM12" s="128"/>
      <c r="AN12" s="132">
        <v>36.097380000000001</v>
      </c>
      <c r="AO12" s="127"/>
      <c r="AP12" s="127"/>
      <c r="AQ12" s="127"/>
      <c r="AR12" s="128"/>
    </row>
    <row r="13" spans="1:44" x14ac:dyDescent="0.3">
      <c r="A13" s="41">
        <v>2025</v>
      </c>
      <c r="B13" s="123">
        <v>42.230000000000004</v>
      </c>
      <c r="C13" s="127">
        <v>45.32</v>
      </c>
      <c r="D13" s="128">
        <v>48.410000000000004</v>
      </c>
      <c r="E13" s="123"/>
      <c r="F13" s="127"/>
      <c r="G13" s="127"/>
      <c r="H13" s="123"/>
      <c r="I13" s="127"/>
      <c r="J13" s="127"/>
      <c r="K13" s="123"/>
      <c r="L13" s="127"/>
      <c r="M13" s="127"/>
      <c r="N13" s="123"/>
      <c r="O13" s="127"/>
      <c r="P13" s="128"/>
      <c r="Q13" s="127">
        <v>31.806496473920006</v>
      </c>
      <c r="R13" s="127">
        <v>73.740667466256014</v>
      </c>
      <c r="S13" s="127">
        <v>115.67483843552002</v>
      </c>
      <c r="T13" s="123">
        <v>40.661439862400009</v>
      </c>
      <c r="U13" s="127">
        <v>43.147943910400009</v>
      </c>
      <c r="V13" s="128">
        <v>45.634447958400003</v>
      </c>
      <c r="W13" s="127">
        <v>23.644505793822088</v>
      </c>
      <c r="X13" s="123">
        <v>23.433874607772196</v>
      </c>
      <c r="Y13" s="123"/>
      <c r="Z13" s="127"/>
      <c r="AA13" s="128"/>
      <c r="AB13" s="132">
        <v>36.294608472400405</v>
      </c>
      <c r="AC13" s="132">
        <v>50.421142156000002</v>
      </c>
      <c r="AD13" s="127">
        <v>55.964916100000003</v>
      </c>
      <c r="AE13" s="123">
        <v>36.847137600000003</v>
      </c>
      <c r="AF13" s="127">
        <v>69.600148800000014</v>
      </c>
      <c r="AG13" s="128">
        <v>113.27083040000002</v>
      </c>
      <c r="AH13" s="123">
        <v>114.38253</v>
      </c>
      <c r="AI13" s="127">
        <v>73.293770000000009</v>
      </c>
      <c r="AJ13" s="128">
        <v>41.088966000000006</v>
      </c>
      <c r="AK13" s="123">
        <v>30.24852139272107</v>
      </c>
      <c r="AL13" s="127">
        <v>31.808701453671329</v>
      </c>
      <c r="AM13" s="128">
        <v>33.368881514621584</v>
      </c>
      <c r="AN13" s="132">
        <v>34.517359999999996</v>
      </c>
      <c r="AO13" s="127"/>
      <c r="AP13" s="127"/>
      <c r="AQ13" s="127"/>
      <c r="AR13" s="128"/>
    </row>
    <row r="14" spans="1:44" x14ac:dyDescent="0.3">
      <c r="A14" s="41">
        <v>2026</v>
      </c>
      <c r="B14" s="123">
        <v>40.17</v>
      </c>
      <c r="C14" s="127">
        <v>43.26</v>
      </c>
      <c r="D14" s="128">
        <v>47.38</v>
      </c>
      <c r="E14" s="123"/>
      <c r="F14" s="127"/>
      <c r="G14" s="127"/>
      <c r="H14" s="123"/>
      <c r="I14" s="127"/>
      <c r="J14" s="127"/>
      <c r="K14" s="123"/>
      <c r="L14" s="127"/>
      <c r="M14" s="127"/>
      <c r="N14" s="123"/>
      <c r="O14" s="127"/>
      <c r="P14" s="128"/>
      <c r="Q14" s="127">
        <v>30.674174349056003</v>
      </c>
      <c r="R14" s="127">
        <v>71.256041467520006</v>
      </c>
      <c r="S14" s="127">
        <v>111.83790858598401</v>
      </c>
      <c r="T14" s="123"/>
      <c r="U14" s="127"/>
      <c r="V14" s="128"/>
      <c r="W14" s="123"/>
      <c r="X14" s="123"/>
      <c r="Y14" s="123"/>
      <c r="Z14" s="127"/>
      <c r="AA14" s="128"/>
      <c r="AB14" s="132">
        <v>34.872857142857079</v>
      </c>
      <c r="AC14" s="132"/>
      <c r="AD14" s="127"/>
      <c r="AE14" s="123">
        <v>35.482428800000008</v>
      </c>
      <c r="AF14" s="127">
        <v>66.870731200000023</v>
      </c>
      <c r="AG14" s="128">
        <v>107.81199520000003</v>
      </c>
      <c r="AH14" s="123"/>
      <c r="AI14" s="127"/>
      <c r="AJ14" s="128"/>
      <c r="AK14" s="123"/>
      <c r="AL14" s="127"/>
      <c r="AM14" s="128"/>
      <c r="AN14" s="132">
        <v>32.937339999999999</v>
      </c>
      <c r="AO14" s="127"/>
      <c r="AP14" s="127"/>
      <c r="AQ14" s="127"/>
      <c r="AR14" s="128"/>
    </row>
    <row r="15" spans="1:44" x14ac:dyDescent="0.3">
      <c r="A15" s="41">
        <v>2027</v>
      </c>
      <c r="B15" s="123">
        <v>38.11</v>
      </c>
      <c r="C15" s="127">
        <v>41.2</v>
      </c>
      <c r="D15" s="128">
        <v>47.38</v>
      </c>
      <c r="E15" s="123"/>
      <c r="F15" s="127"/>
      <c r="G15" s="127"/>
      <c r="H15" s="123"/>
      <c r="I15" s="127"/>
      <c r="J15" s="127"/>
      <c r="K15" s="123"/>
      <c r="L15" s="127"/>
      <c r="M15" s="127"/>
      <c r="N15" s="123"/>
      <c r="O15" s="127"/>
      <c r="P15" s="128"/>
      <c r="Q15" s="127">
        <v>29.548287224176004</v>
      </c>
      <c r="R15" s="127">
        <v>68.868536337552015</v>
      </c>
      <c r="S15" s="127">
        <v>108.18878545092801</v>
      </c>
      <c r="T15" s="123"/>
      <c r="U15" s="127"/>
      <c r="V15" s="128"/>
      <c r="W15" s="123"/>
      <c r="X15" s="123"/>
      <c r="Y15" s="123"/>
      <c r="Z15" s="127"/>
      <c r="AA15" s="128"/>
      <c r="AB15" s="132">
        <v>33.014588300018275</v>
      </c>
      <c r="AC15" s="132"/>
      <c r="AD15" s="127"/>
      <c r="AE15" s="123">
        <v>32.753011200000003</v>
      </c>
      <c r="AF15" s="127">
        <v>64.141313600000004</v>
      </c>
      <c r="AG15" s="128">
        <v>103.71786880000001</v>
      </c>
      <c r="AH15" s="123"/>
      <c r="AI15" s="127"/>
      <c r="AJ15" s="128"/>
      <c r="AK15" s="123"/>
      <c r="AL15" s="127"/>
      <c r="AM15" s="128"/>
      <c r="AN15" s="132">
        <v>31.6004</v>
      </c>
      <c r="AO15" s="127"/>
      <c r="AP15" s="127"/>
      <c r="AQ15" s="127"/>
      <c r="AR15" s="128"/>
    </row>
    <row r="16" spans="1:44" x14ac:dyDescent="0.3">
      <c r="A16" s="41">
        <v>2028</v>
      </c>
      <c r="B16" s="123">
        <v>36.050000000000004</v>
      </c>
      <c r="C16" s="127">
        <v>40.17</v>
      </c>
      <c r="D16" s="128">
        <v>46.35</v>
      </c>
      <c r="E16" s="123"/>
      <c r="F16" s="127"/>
      <c r="G16" s="127"/>
      <c r="H16" s="123"/>
      <c r="I16" s="127"/>
      <c r="J16" s="127"/>
      <c r="K16" s="123"/>
      <c r="L16" s="127"/>
      <c r="M16" s="127"/>
      <c r="N16" s="123"/>
      <c r="O16" s="127"/>
      <c r="P16" s="128"/>
      <c r="Q16" s="127">
        <v>28.441705122320002</v>
      </c>
      <c r="R16" s="127">
        <v>66.718530476416021</v>
      </c>
      <c r="S16" s="127">
        <v>104.99535584204801</v>
      </c>
      <c r="T16" s="123"/>
      <c r="U16" s="127"/>
      <c r="V16" s="128"/>
      <c r="W16" s="123"/>
      <c r="X16" s="123"/>
      <c r="Y16" s="123"/>
      <c r="Z16" s="127"/>
      <c r="AA16" s="128"/>
      <c r="AB16" s="132">
        <v>32.016321291032369</v>
      </c>
      <c r="AC16" s="132"/>
      <c r="AD16" s="127"/>
      <c r="AE16" s="123">
        <v>31.388302400000001</v>
      </c>
      <c r="AF16" s="127">
        <v>61.411896000000006</v>
      </c>
      <c r="AG16" s="128">
        <v>100.98845120000001</v>
      </c>
      <c r="AH16" s="123"/>
      <c r="AI16" s="127"/>
      <c r="AJ16" s="128"/>
      <c r="AK16" s="123"/>
      <c r="AL16" s="127"/>
      <c r="AM16" s="128"/>
      <c r="AN16" s="132">
        <v>30.385000000000002</v>
      </c>
      <c r="AO16" s="127"/>
      <c r="AP16" s="127"/>
      <c r="AQ16" s="127"/>
      <c r="AR16" s="128"/>
    </row>
    <row r="17" spans="1:44" x14ac:dyDescent="0.3">
      <c r="A17" s="41">
        <v>2029</v>
      </c>
      <c r="B17" s="123">
        <v>33.99</v>
      </c>
      <c r="C17" s="127">
        <v>38.11</v>
      </c>
      <c r="D17" s="128">
        <v>45.32</v>
      </c>
      <c r="E17" s="123"/>
      <c r="F17" s="127"/>
      <c r="G17" s="127"/>
      <c r="H17" s="123"/>
      <c r="I17" s="127"/>
      <c r="J17" s="127"/>
      <c r="K17" s="123"/>
      <c r="L17" s="127"/>
      <c r="M17" s="127"/>
      <c r="N17" s="123"/>
      <c r="O17" s="127"/>
      <c r="P17" s="128"/>
      <c r="Q17" s="127">
        <v>27.562493092960004</v>
      </c>
      <c r="R17" s="127">
        <v>64.855716403856007</v>
      </c>
      <c r="S17" s="127">
        <v>102.148939703216</v>
      </c>
      <c r="T17" s="123"/>
      <c r="U17" s="127"/>
      <c r="V17" s="128"/>
      <c r="W17" s="123"/>
      <c r="X17" s="123"/>
      <c r="Y17" s="123"/>
      <c r="Z17" s="127"/>
      <c r="AA17" s="128"/>
      <c r="AB17" s="132">
        <v>31.160663854758781</v>
      </c>
      <c r="AC17" s="132"/>
      <c r="AD17" s="127"/>
      <c r="AE17" s="123">
        <v>30.023593600000005</v>
      </c>
      <c r="AF17" s="127">
        <v>58.682478400000001</v>
      </c>
      <c r="AG17" s="128">
        <v>96.894324800000035</v>
      </c>
      <c r="AH17" s="123"/>
      <c r="AI17" s="127"/>
      <c r="AJ17" s="128"/>
      <c r="AK17" s="123"/>
      <c r="AL17" s="127"/>
      <c r="AM17" s="128"/>
      <c r="AN17" s="132">
        <v>29.291139999999999</v>
      </c>
      <c r="AO17" s="127"/>
      <c r="AP17" s="127"/>
      <c r="AQ17" s="127"/>
      <c r="AR17" s="128"/>
    </row>
    <row r="18" spans="1:44" x14ac:dyDescent="0.3">
      <c r="A18" s="41">
        <v>2030</v>
      </c>
      <c r="B18" s="123">
        <v>31.93</v>
      </c>
      <c r="C18" s="127">
        <v>37.08</v>
      </c>
      <c r="D18" s="128">
        <v>44.29</v>
      </c>
      <c r="E18" s="123">
        <v>30.900000000000002</v>
      </c>
      <c r="F18" s="127">
        <v>30.900000000000002</v>
      </c>
      <c r="G18" s="127">
        <v>30.900000000000002</v>
      </c>
      <c r="H18" s="123">
        <v>41.2</v>
      </c>
      <c r="I18" s="127">
        <v>41.2</v>
      </c>
      <c r="J18" s="127">
        <v>41.2</v>
      </c>
      <c r="K18" s="123">
        <v>20.6</v>
      </c>
      <c r="L18" s="127">
        <v>25.75</v>
      </c>
      <c r="M18" s="127">
        <v>25.75</v>
      </c>
      <c r="N18" s="123">
        <v>20.541009123726088</v>
      </c>
      <c r="O18" s="127">
        <v>33.565583952040534</v>
      </c>
      <c r="P18" s="128">
        <v>48.593939523172693</v>
      </c>
      <c r="Q18" s="127">
        <v>26.751444438208004</v>
      </c>
      <c r="R18" s="127">
        <v>63.25030242294401</v>
      </c>
      <c r="S18" s="127">
        <v>99.749160396144021</v>
      </c>
      <c r="T18" s="123">
        <v>32.031879689600004</v>
      </c>
      <c r="U18" s="127">
        <v>36.566057192000002</v>
      </c>
      <c r="V18" s="128">
        <v>41.100234694400001</v>
      </c>
      <c r="W18" s="123">
        <v>18.617961175982565</v>
      </c>
      <c r="X18" s="123">
        <v>18.598278786782075</v>
      </c>
      <c r="Y18" s="123"/>
      <c r="Z18" s="127"/>
      <c r="AA18" s="128"/>
      <c r="AB18" s="132">
        <v>30.305006418485192</v>
      </c>
      <c r="AC18" s="132">
        <v>42.664003272000002</v>
      </c>
      <c r="AD18" s="127">
        <v>45.789465759999999</v>
      </c>
      <c r="AE18" s="123">
        <v>28.658884800000003</v>
      </c>
      <c r="AF18" s="127">
        <v>57.317769600000005</v>
      </c>
      <c r="AG18" s="128">
        <v>94.164907200000016</v>
      </c>
      <c r="AH18" s="123">
        <v>98.280333999999996</v>
      </c>
      <c r="AI18" s="127">
        <v>63.854438000000002</v>
      </c>
      <c r="AJ18" s="128">
        <v>37.202158000000004</v>
      </c>
      <c r="AK18" s="123">
        <v>25.944334879156017</v>
      </c>
      <c r="AL18" s="127">
        <v>27.065691627385373</v>
      </c>
      <c r="AM18" s="128">
        <v>28.187048375614726</v>
      </c>
      <c r="AN18" s="132">
        <v>28.197279999999999</v>
      </c>
      <c r="AO18" s="127"/>
      <c r="AP18" s="127"/>
      <c r="AQ18" s="127"/>
      <c r="AR18" s="128"/>
    </row>
    <row r="19" spans="1:44" x14ac:dyDescent="0.3">
      <c r="A19" s="41">
        <v>2031</v>
      </c>
      <c r="B19" s="123">
        <v>29.87</v>
      </c>
      <c r="C19" s="127">
        <v>35.020000000000003</v>
      </c>
      <c r="D19" s="128">
        <v>44.29</v>
      </c>
      <c r="E19" s="123"/>
      <c r="F19" s="127"/>
      <c r="G19" s="127"/>
      <c r="H19" s="123"/>
      <c r="I19" s="127"/>
      <c r="J19" s="127"/>
      <c r="K19" s="123"/>
      <c r="L19" s="127"/>
      <c r="M19" s="127"/>
      <c r="N19" s="123"/>
      <c r="O19" s="127"/>
      <c r="P19" s="128"/>
      <c r="Q19" s="127">
        <v>25.942302453536005</v>
      </c>
      <c r="R19" s="127">
        <v>61.64643761147201</v>
      </c>
      <c r="S19" s="127">
        <v>97.350572769408018</v>
      </c>
      <c r="T19" s="123"/>
      <c r="U19" s="127"/>
      <c r="V19" s="128"/>
      <c r="W19" s="123"/>
      <c r="X19" s="123"/>
      <c r="Y19" s="123"/>
      <c r="Z19" s="127"/>
      <c r="AA19" s="128"/>
      <c r="AB19" s="132">
        <v>29.021520264074763</v>
      </c>
      <c r="AC19" s="132"/>
      <c r="AD19" s="127"/>
      <c r="AE19" s="123">
        <v>27.294176000000004</v>
      </c>
      <c r="AF19" s="127">
        <v>54.588352000000008</v>
      </c>
      <c r="AG19" s="128">
        <v>91.435489600000025</v>
      </c>
      <c r="AH19" s="123"/>
      <c r="AI19" s="127"/>
      <c r="AJ19" s="128"/>
      <c r="AK19" s="123"/>
      <c r="AL19" s="127"/>
      <c r="AM19" s="128"/>
      <c r="AN19" s="132">
        <v>27.589579999999998</v>
      </c>
      <c r="AO19" s="127"/>
      <c r="AP19" s="127"/>
      <c r="AQ19" s="127"/>
      <c r="AR19" s="128"/>
    </row>
    <row r="20" spans="1:44" x14ac:dyDescent="0.3">
      <c r="A20" s="41">
        <v>2032</v>
      </c>
      <c r="B20" s="123">
        <v>27.810000000000002</v>
      </c>
      <c r="C20" s="127">
        <v>33.99</v>
      </c>
      <c r="D20" s="128">
        <v>43.26</v>
      </c>
      <c r="E20" s="123"/>
      <c r="F20" s="127"/>
      <c r="G20" s="127"/>
      <c r="H20" s="123"/>
      <c r="I20" s="127"/>
      <c r="J20" s="127"/>
      <c r="K20" s="123"/>
      <c r="L20" s="127"/>
      <c r="M20" s="127"/>
      <c r="N20" s="123"/>
      <c r="O20" s="127"/>
      <c r="P20" s="128"/>
      <c r="Q20" s="127">
        <v>25.243985505760001</v>
      </c>
      <c r="R20" s="127">
        <v>60.098938653488005</v>
      </c>
      <c r="S20" s="127">
        <v>94.953891812752005</v>
      </c>
      <c r="T20" s="123"/>
      <c r="U20" s="127"/>
      <c r="V20" s="128"/>
      <c r="W20" s="123"/>
      <c r="X20" s="123"/>
      <c r="Y20" s="123"/>
      <c r="Z20" s="127"/>
      <c r="AA20" s="128"/>
      <c r="AB20" s="132">
        <v>28.308472400513384</v>
      </c>
      <c r="AC20" s="132"/>
      <c r="AD20" s="127"/>
      <c r="AE20" s="123">
        <v>25.929467200000001</v>
      </c>
      <c r="AF20" s="127">
        <v>53.223643200000005</v>
      </c>
      <c r="AG20" s="128">
        <v>88.70607200000002</v>
      </c>
      <c r="AH20" s="123"/>
      <c r="AI20" s="127"/>
      <c r="AJ20" s="128"/>
      <c r="AK20" s="123"/>
      <c r="AL20" s="127"/>
      <c r="AM20" s="128"/>
      <c r="AN20" s="132">
        <v>26.98188</v>
      </c>
      <c r="AO20" s="127"/>
      <c r="AP20" s="127"/>
      <c r="AQ20" s="127"/>
      <c r="AR20" s="128"/>
    </row>
    <row r="21" spans="1:44" x14ac:dyDescent="0.3">
      <c r="A21" s="41">
        <v>2033</v>
      </c>
      <c r="B21" s="123">
        <v>25.75</v>
      </c>
      <c r="C21" s="127">
        <v>31.93</v>
      </c>
      <c r="D21" s="128">
        <v>42.230000000000004</v>
      </c>
      <c r="E21" s="123"/>
      <c r="F21" s="127"/>
      <c r="G21" s="127"/>
      <c r="H21" s="123"/>
      <c r="I21" s="127"/>
      <c r="J21" s="127"/>
      <c r="K21" s="123"/>
      <c r="L21" s="127"/>
      <c r="M21" s="127"/>
      <c r="N21" s="123"/>
      <c r="O21" s="127"/>
      <c r="P21" s="128"/>
      <c r="Q21" s="127">
        <v>24.678420277728002</v>
      </c>
      <c r="R21" s="127">
        <v>58.67692224710401</v>
      </c>
      <c r="S21" s="127">
        <v>92.675424228015999</v>
      </c>
      <c r="T21" s="123"/>
      <c r="U21" s="127"/>
      <c r="V21" s="128"/>
      <c r="W21" s="123"/>
      <c r="X21" s="123"/>
      <c r="Y21" s="123"/>
      <c r="Z21" s="127"/>
      <c r="AA21" s="128"/>
      <c r="AB21" s="132">
        <v>27.738034109664326</v>
      </c>
      <c r="AC21" s="132"/>
      <c r="AD21" s="127"/>
      <c r="AE21" s="123">
        <v>25.929467200000001</v>
      </c>
      <c r="AF21" s="127">
        <v>50.494225600000007</v>
      </c>
      <c r="AG21" s="128">
        <v>85.976654400000001</v>
      </c>
      <c r="AH21" s="123"/>
      <c r="AI21" s="127"/>
      <c r="AJ21" s="128"/>
      <c r="AK21" s="123"/>
      <c r="AL21" s="127"/>
      <c r="AM21" s="128"/>
      <c r="AN21" s="132">
        <v>26.495720000000002</v>
      </c>
      <c r="AO21" s="127"/>
      <c r="AP21" s="127"/>
      <c r="AQ21" s="127"/>
      <c r="AR21" s="128"/>
    </row>
    <row r="22" spans="1:44" x14ac:dyDescent="0.3">
      <c r="A22" s="41">
        <v>2034</v>
      </c>
      <c r="B22" s="123">
        <v>23.69</v>
      </c>
      <c r="C22" s="127">
        <v>30.900000000000002</v>
      </c>
      <c r="D22" s="128">
        <v>42.230000000000004</v>
      </c>
      <c r="E22" s="123"/>
      <c r="F22" s="127"/>
      <c r="G22" s="127"/>
      <c r="H22" s="123"/>
      <c r="I22" s="127"/>
      <c r="J22" s="127"/>
      <c r="K22" s="123"/>
      <c r="L22" s="127"/>
      <c r="M22" s="127"/>
      <c r="N22" s="123"/>
      <c r="O22" s="127"/>
      <c r="P22" s="128"/>
      <c r="Q22" s="127">
        <v>24.113331717216006</v>
      </c>
      <c r="R22" s="127">
        <v>57.292681695536004</v>
      </c>
      <c r="S22" s="127">
        <v>90.472031673856009</v>
      </c>
      <c r="T22" s="123"/>
      <c r="U22" s="127"/>
      <c r="V22" s="128"/>
      <c r="W22" s="123"/>
      <c r="X22" s="123"/>
      <c r="Y22" s="123"/>
      <c r="Z22" s="127"/>
      <c r="AA22" s="128"/>
      <c r="AB22" s="132">
        <v>27.167595818815272</v>
      </c>
      <c r="AC22" s="132"/>
      <c r="AD22" s="127"/>
      <c r="AE22" s="123">
        <v>24.564758400000006</v>
      </c>
      <c r="AF22" s="127">
        <v>49.129516800000012</v>
      </c>
      <c r="AG22" s="128">
        <v>83.24723680000001</v>
      </c>
      <c r="AH22" s="123"/>
      <c r="AI22" s="127"/>
      <c r="AJ22" s="128"/>
      <c r="AK22" s="123"/>
      <c r="AL22" s="127"/>
      <c r="AM22" s="128"/>
      <c r="AN22" s="132">
        <v>25.888020000000001</v>
      </c>
      <c r="AO22" s="127"/>
      <c r="AP22" s="127"/>
      <c r="AQ22" s="127"/>
      <c r="AR22" s="128"/>
    </row>
    <row r="23" spans="1:44" x14ac:dyDescent="0.3">
      <c r="A23" s="41">
        <v>2035</v>
      </c>
      <c r="B23" s="123">
        <v>21.63</v>
      </c>
      <c r="C23" s="127">
        <v>28.84</v>
      </c>
      <c r="D23" s="128">
        <v>41.2</v>
      </c>
      <c r="E23" s="123"/>
      <c r="F23" s="127"/>
      <c r="G23" s="127"/>
      <c r="H23" s="123"/>
      <c r="I23" s="127"/>
      <c r="J23" s="127"/>
      <c r="K23" s="123"/>
      <c r="L23" s="127"/>
      <c r="M23" s="127"/>
      <c r="N23" s="123"/>
      <c r="O23" s="127"/>
      <c r="P23" s="128"/>
      <c r="Q23" s="127">
        <v>23.555869825488003</v>
      </c>
      <c r="R23" s="127">
        <v>55.919761974496012</v>
      </c>
      <c r="S23" s="127">
        <v>88.28365413504001</v>
      </c>
      <c r="T23" s="123">
        <v>25.742487097600002</v>
      </c>
      <c r="U23" s="127">
        <v>34.664612920000003</v>
      </c>
      <c r="V23" s="128">
        <v>43.586738742400009</v>
      </c>
      <c r="W23" s="123"/>
      <c r="X23" s="123"/>
      <c r="Y23" s="123"/>
      <c r="Z23" s="127"/>
      <c r="AA23" s="128"/>
      <c r="AB23" s="132">
        <v>26.632857142857084</v>
      </c>
      <c r="AC23" s="132">
        <v>37.815882676000001</v>
      </c>
      <c r="AD23" s="127">
        <v>39.0058322</v>
      </c>
      <c r="AE23" s="123">
        <v>23.200049600000003</v>
      </c>
      <c r="AF23" s="127">
        <v>46.400099200000007</v>
      </c>
      <c r="AG23" s="128">
        <v>80.517819200000005</v>
      </c>
      <c r="AH23" s="123">
        <v>86.064740000000015</v>
      </c>
      <c r="AI23" s="127">
        <v>56.636094999999997</v>
      </c>
      <c r="AJ23" s="128">
        <v>27.762826</v>
      </c>
      <c r="AK23" s="123">
        <v>22.730627326786404</v>
      </c>
      <c r="AL23" s="127">
        <v>23.644090004511902</v>
      </c>
      <c r="AM23" s="128">
        <v>24.557552682237407</v>
      </c>
      <c r="AN23" s="132">
        <v>25.401859999999996</v>
      </c>
      <c r="AO23" s="127"/>
      <c r="AP23" s="127"/>
      <c r="AQ23" s="127"/>
      <c r="AR23" s="128"/>
    </row>
    <row r="24" spans="1:44" x14ac:dyDescent="0.3">
      <c r="A24" s="41">
        <v>2036</v>
      </c>
      <c r="B24" s="123">
        <v>20.6</v>
      </c>
      <c r="C24" s="127">
        <v>28.84</v>
      </c>
      <c r="D24" s="128">
        <v>40.17</v>
      </c>
      <c r="E24" s="123"/>
      <c r="F24" s="127"/>
      <c r="G24" s="127"/>
      <c r="H24" s="123"/>
      <c r="I24" s="127"/>
      <c r="J24" s="127"/>
      <c r="K24" s="123"/>
      <c r="L24" s="127"/>
      <c r="M24" s="127"/>
      <c r="N24" s="123"/>
      <c r="O24" s="127"/>
      <c r="P24" s="128"/>
      <c r="Q24" s="127">
        <v>23.084684639520002</v>
      </c>
      <c r="R24" s="127">
        <v>54.844520715936007</v>
      </c>
      <c r="S24" s="127">
        <v>86.604356792352021</v>
      </c>
      <c r="T24" s="123"/>
      <c r="U24" s="127"/>
      <c r="V24" s="128"/>
      <c r="W24" s="123"/>
      <c r="X24" s="123"/>
      <c r="Y24" s="123"/>
      <c r="Z24" s="127"/>
      <c r="AA24" s="128"/>
      <c r="AB24" s="132">
        <v>26.191428571428542</v>
      </c>
      <c r="AC24" s="132"/>
      <c r="AD24" s="127"/>
      <c r="AE24" s="123"/>
      <c r="AF24" s="127"/>
      <c r="AG24" s="128"/>
      <c r="AH24" s="123"/>
      <c r="AI24" s="127"/>
      <c r="AJ24" s="128"/>
      <c r="AK24" s="123"/>
      <c r="AL24" s="127"/>
      <c r="AM24" s="128"/>
      <c r="AN24" s="132">
        <v>25.037240000000001</v>
      </c>
      <c r="AO24" s="127"/>
      <c r="AP24" s="127"/>
      <c r="AQ24" s="127"/>
      <c r="AR24" s="128"/>
    </row>
    <row r="25" spans="1:44" x14ac:dyDescent="0.3">
      <c r="A25" s="41">
        <v>2037</v>
      </c>
      <c r="B25" s="123">
        <v>20.6</v>
      </c>
      <c r="C25" s="127">
        <v>27.810000000000002</v>
      </c>
      <c r="D25" s="128">
        <v>39.14</v>
      </c>
      <c r="E25" s="123"/>
      <c r="F25" s="127"/>
      <c r="G25" s="127"/>
      <c r="H25" s="123"/>
      <c r="I25" s="127"/>
      <c r="J25" s="127"/>
      <c r="K25" s="123"/>
      <c r="L25" s="127"/>
      <c r="M25" s="127"/>
      <c r="N25" s="123"/>
      <c r="O25" s="127"/>
      <c r="P25" s="128"/>
      <c r="Q25" s="127">
        <v>22.636379459904003</v>
      </c>
      <c r="R25" s="127">
        <v>53.895238664960004</v>
      </c>
      <c r="S25" s="127">
        <v>85.154097881552019</v>
      </c>
      <c r="T25" s="123"/>
      <c r="U25" s="127"/>
      <c r="V25" s="128"/>
      <c r="W25" s="123"/>
      <c r="X25" s="123"/>
      <c r="Y25" s="123"/>
      <c r="Z25" s="127"/>
      <c r="AA25" s="128"/>
      <c r="AB25" s="132">
        <v>25.602857142857086</v>
      </c>
      <c r="AC25" s="132"/>
      <c r="AD25" s="127"/>
      <c r="AE25" s="123"/>
      <c r="AF25" s="127"/>
      <c r="AG25" s="128"/>
      <c r="AH25" s="123"/>
      <c r="AI25" s="127"/>
      <c r="AJ25" s="128"/>
      <c r="AK25" s="123"/>
      <c r="AL25" s="127"/>
      <c r="AM25" s="128"/>
      <c r="AN25" s="132">
        <v>24.672620000000002</v>
      </c>
      <c r="AO25" s="127"/>
      <c r="AP25" s="127"/>
      <c r="AQ25" s="127"/>
      <c r="AR25" s="128"/>
    </row>
    <row r="26" spans="1:44" x14ac:dyDescent="0.3">
      <c r="A26" s="41">
        <v>2038</v>
      </c>
      <c r="B26" s="123">
        <v>20.6</v>
      </c>
      <c r="C26" s="127">
        <v>27.810000000000002</v>
      </c>
      <c r="D26" s="128">
        <v>38.11</v>
      </c>
      <c r="E26" s="123"/>
      <c r="F26" s="127"/>
      <c r="G26" s="127"/>
      <c r="H26" s="123"/>
      <c r="I26" s="127"/>
      <c r="J26" s="127"/>
      <c r="K26" s="123"/>
      <c r="L26" s="127"/>
      <c r="M26" s="127"/>
      <c r="N26" s="123"/>
      <c r="O26" s="127"/>
      <c r="P26" s="128"/>
      <c r="Q26" s="127">
        <v>22.192840943952003</v>
      </c>
      <c r="R26" s="127">
        <v>52.95560911972801</v>
      </c>
      <c r="S26" s="127">
        <v>83.718377307040001</v>
      </c>
      <c r="T26" s="123"/>
      <c r="U26" s="127"/>
      <c r="V26" s="128"/>
      <c r="W26" s="123"/>
      <c r="X26" s="123"/>
      <c r="Y26" s="123"/>
      <c r="Z26" s="127"/>
      <c r="AA26" s="128"/>
      <c r="AB26" s="132">
        <v>25.028452228131254</v>
      </c>
      <c r="AC26" s="132"/>
      <c r="AD26" s="127"/>
      <c r="AE26" s="123"/>
      <c r="AF26" s="127"/>
      <c r="AG26" s="128"/>
      <c r="AH26" s="123"/>
      <c r="AI26" s="127"/>
      <c r="AJ26" s="128"/>
      <c r="AK26" s="123"/>
      <c r="AL26" s="127"/>
      <c r="AM26" s="128"/>
      <c r="AN26" s="132">
        <v>24.186459999999997</v>
      </c>
      <c r="AO26" s="127"/>
      <c r="AP26" s="127"/>
      <c r="AQ26" s="127"/>
      <c r="AR26" s="128"/>
    </row>
    <row r="27" spans="1:44" x14ac:dyDescent="0.3">
      <c r="A27" s="41">
        <v>2039</v>
      </c>
      <c r="B27" s="123">
        <v>20.6</v>
      </c>
      <c r="C27" s="127">
        <v>26.78</v>
      </c>
      <c r="D27" s="128">
        <v>38.11</v>
      </c>
      <c r="E27" s="123"/>
      <c r="F27" s="127"/>
      <c r="G27" s="127"/>
      <c r="H27" s="123"/>
      <c r="I27" s="127"/>
      <c r="J27" s="127"/>
      <c r="K27" s="123"/>
      <c r="L27" s="127"/>
      <c r="M27" s="127"/>
      <c r="N27" s="123"/>
      <c r="O27" s="127"/>
      <c r="P27" s="128"/>
      <c r="Q27" s="127">
        <v>22.040545878960007</v>
      </c>
      <c r="R27" s="127">
        <v>52.247758833088007</v>
      </c>
      <c r="S27" s="127">
        <v>82.454971798752013</v>
      </c>
      <c r="T27" s="123"/>
      <c r="U27" s="127"/>
      <c r="V27" s="128"/>
      <c r="W27" s="123"/>
      <c r="X27" s="123"/>
      <c r="Y27" s="123"/>
      <c r="Z27" s="127"/>
      <c r="AA27" s="128"/>
      <c r="AB27" s="132">
        <v>24.572857142857085</v>
      </c>
      <c r="AC27" s="132"/>
      <c r="AD27" s="127"/>
      <c r="AE27" s="123"/>
      <c r="AF27" s="127"/>
      <c r="AG27" s="128"/>
      <c r="AH27" s="123"/>
      <c r="AI27" s="127"/>
      <c r="AJ27" s="128"/>
      <c r="AK27" s="123"/>
      <c r="AL27" s="127"/>
      <c r="AM27" s="128"/>
      <c r="AN27" s="132">
        <v>23.821840000000002</v>
      </c>
      <c r="AO27" s="127"/>
      <c r="AP27" s="127"/>
      <c r="AQ27" s="127"/>
      <c r="AR27" s="128"/>
    </row>
    <row r="28" spans="1:44" x14ac:dyDescent="0.3">
      <c r="A28" s="41">
        <v>2040</v>
      </c>
      <c r="B28" s="123">
        <v>19.57</v>
      </c>
      <c r="C28" s="127">
        <v>26.78</v>
      </c>
      <c r="D28" s="128">
        <v>37.08</v>
      </c>
      <c r="E28" s="123"/>
      <c r="F28" s="127"/>
      <c r="G28" s="127"/>
      <c r="H28" s="123"/>
      <c r="I28" s="127"/>
      <c r="J28" s="127"/>
      <c r="K28" s="123"/>
      <c r="L28" s="127"/>
      <c r="M28" s="127"/>
      <c r="N28" s="123"/>
      <c r="O28" s="127"/>
      <c r="P28" s="128"/>
      <c r="Q28" s="127">
        <v>22.040545878960007</v>
      </c>
      <c r="R28" s="127">
        <v>51.93636132104001</v>
      </c>
      <c r="S28" s="127">
        <v>81.832176751584015</v>
      </c>
      <c r="T28" s="123">
        <v>21.793333609600001</v>
      </c>
      <c r="U28" s="127">
        <v>33.567625839999998</v>
      </c>
      <c r="V28" s="128">
        <v>45.341918070399998</v>
      </c>
      <c r="W28" s="123">
        <v>15.525325063734176</v>
      </c>
      <c r="X28" s="123">
        <v>15.964289227272342</v>
      </c>
      <c r="Y28" s="123"/>
      <c r="Z28" s="127"/>
      <c r="AA28" s="128"/>
      <c r="AB28" s="132">
        <v>24.315404364569879</v>
      </c>
      <c r="AC28" s="132">
        <v>32.967657844000001</v>
      </c>
      <c r="AD28" s="127">
        <v>33.918167799999999</v>
      </c>
      <c r="AE28" s="123"/>
      <c r="AF28" s="127"/>
      <c r="AG28" s="128"/>
      <c r="AH28" s="123">
        <v>86.064740000000015</v>
      </c>
      <c r="AI28" s="127">
        <v>53.859833000000002</v>
      </c>
      <c r="AJ28" s="128">
        <v>28.318099000000004</v>
      </c>
      <c r="AK28" s="123">
        <v>19.903316400566627</v>
      </c>
      <c r="AL28" s="127">
        <v>20.744886086324268</v>
      </c>
      <c r="AM28" s="128">
        <v>21.586455772081909</v>
      </c>
      <c r="AN28" s="132">
        <v>23.578759999999996</v>
      </c>
      <c r="AO28" s="127"/>
      <c r="AP28" s="127"/>
      <c r="AQ28" s="127"/>
      <c r="AR28" s="128"/>
    </row>
    <row r="29" spans="1:44" x14ac:dyDescent="0.3">
      <c r="A29" s="41">
        <v>2041</v>
      </c>
      <c r="B29" s="123">
        <v>19.57</v>
      </c>
      <c r="C29" s="127">
        <v>25.75</v>
      </c>
      <c r="D29" s="128">
        <v>36.050000000000004</v>
      </c>
      <c r="E29" s="123"/>
      <c r="F29" s="127"/>
      <c r="G29" s="127"/>
      <c r="H29" s="123"/>
      <c r="I29" s="127"/>
      <c r="J29" s="127"/>
      <c r="K29" s="123"/>
      <c r="L29" s="127"/>
      <c r="M29" s="127"/>
      <c r="N29" s="123"/>
      <c r="O29" s="127"/>
      <c r="P29" s="128"/>
      <c r="Q29" s="127"/>
      <c r="R29" s="127"/>
      <c r="S29" s="127"/>
      <c r="T29" s="123"/>
      <c r="U29" s="127"/>
      <c r="V29" s="128"/>
      <c r="W29" s="123"/>
      <c r="X29" s="123"/>
      <c r="Y29" s="123"/>
      <c r="Z29" s="127"/>
      <c r="AA29" s="128"/>
      <c r="AB29" s="132">
        <v>24.13142857142854</v>
      </c>
      <c r="AC29" s="132"/>
      <c r="AD29" s="127"/>
      <c r="AE29" s="123"/>
      <c r="AF29" s="127"/>
      <c r="AG29" s="128"/>
      <c r="AH29" s="123"/>
      <c r="AI29" s="127"/>
      <c r="AJ29" s="128"/>
      <c r="AK29" s="123"/>
      <c r="AL29" s="127"/>
      <c r="AM29" s="128"/>
      <c r="AN29" s="132">
        <v>23.21414</v>
      </c>
      <c r="AO29" s="127"/>
      <c r="AP29" s="127"/>
      <c r="AQ29" s="127"/>
      <c r="AR29" s="128"/>
    </row>
    <row r="30" spans="1:44" x14ac:dyDescent="0.3">
      <c r="A30" s="41">
        <v>2042</v>
      </c>
      <c r="B30" s="123">
        <v>19.57</v>
      </c>
      <c r="C30" s="127">
        <v>25.75</v>
      </c>
      <c r="D30" s="128">
        <v>35.020000000000003</v>
      </c>
      <c r="E30" s="123"/>
      <c r="F30" s="127"/>
      <c r="G30" s="127"/>
      <c r="H30" s="123"/>
      <c r="I30" s="127"/>
      <c r="J30" s="127"/>
      <c r="K30" s="123"/>
      <c r="L30" s="127"/>
      <c r="M30" s="127"/>
      <c r="N30" s="123"/>
      <c r="O30" s="127"/>
      <c r="P30" s="128"/>
      <c r="Q30" s="127"/>
      <c r="R30" s="127"/>
      <c r="S30" s="127"/>
      <c r="T30" s="123"/>
      <c r="U30" s="127"/>
      <c r="V30" s="128"/>
      <c r="W30" s="123"/>
      <c r="X30" s="123"/>
      <c r="Y30" s="123"/>
      <c r="Z30" s="127"/>
      <c r="AA30" s="128"/>
      <c r="AB30" s="132">
        <v>24.030185219145348</v>
      </c>
      <c r="AC30" s="132"/>
      <c r="AD30" s="127"/>
      <c r="AE30" s="123"/>
      <c r="AF30" s="127"/>
      <c r="AG30" s="128"/>
      <c r="AH30" s="123"/>
      <c r="AI30" s="127"/>
      <c r="AJ30" s="128"/>
      <c r="AK30" s="123"/>
      <c r="AL30" s="127"/>
      <c r="AM30" s="128"/>
      <c r="AN30" s="132">
        <v>22.971059999999998</v>
      </c>
      <c r="AO30" s="127"/>
      <c r="AP30" s="127"/>
      <c r="AQ30" s="127"/>
      <c r="AR30" s="128"/>
    </row>
    <row r="31" spans="1:44" x14ac:dyDescent="0.3">
      <c r="A31" s="41">
        <v>2043</v>
      </c>
      <c r="B31" s="123">
        <v>19.57</v>
      </c>
      <c r="C31" s="127">
        <v>24.72</v>
      </c>
      <c r="D31" s="128">
        <v>33.99</v>
      </c>
      <c r="E31" s="123"/>
      <c r="F31" s="127"/>
      <c r="G31" s="127"/>
      <c r="H31" s="123"/>
      <c r="I31" s="127"/>
      <c r="J31" s="127"/>
      <c r="K31" s="123"/>
      <c r="L31" s="127"/>
      <c r="M31" s="127"/>
      <c r="N31" s="123"/>
      <c r="O31" s="127"/>
      <c r="P31" s="128"/>
      <c r="Q31" s="127"/>
      <c r="R31" s="127"/>
      <c r="S31" s="127"/>
      <c r="T31" s="123"/>
      <c r="U31" s="127"/>
      <c r="V31" s="128"/>
      <c r="W31" s="123"/>
      <c r="X31" s="123"/>
      <c r="Y31" s="123"/>
      <c r="Z31" s="127"/>
      <c r="AA31" s="128"/>
      <c r="AB31" s="132">
        <v>24.315404364569879</v>
      </c>
      <c r="AC31" s="132"/>
      <c r="AD31" s="127"/>
      <c r="AE31" s="123"/>
      <c r="AF31" s="127"/>
      <c r="AG31" s="128"/>
      <c r="AH31" s="123"/>
      <c r="AI31" s="127"/>
      <c r="AJ31" s="128"/>
      <c r="AK31" s="123"/>
      <c r="AL31" s="127"/>
      <c r="AM31" s="128"/>
      <c r="AN31" s="132">
        <v>22.606440000000003</v>
      </c>
      <c r="AO31" s="127"/>
      <c r="AP31" s="127"/>
      <c r="AQ31" s="127"/>
      <c r="AR31" s="128"/>
    </row>
    <row r="32" spans="1:44" x14ac:dyDescent="0.3">
      <c r="A32" s="41">
        <v>2044</v>
      </c>
      <c r="B32" s="123">
        <v>18.54</v>
      </c>
      <c r="C32" s="127">
        <v>24.72</v>
      </c>
      <c r="D32" s="128">
        <v>33.99</v>
      </c>
      <c r="E32" s="123"/>
      <c r="F32" s="127"/>
      <c r="G32" s="127"/>
      <c r="H32" s="123"/>
      <c r="I32" s="127"/>
      <c r="J32" s="127"/>
      <c r="K32" s="123"/>
      <c r="L32" s="127"/>
      <c r="M32" s="127"/>
      <c r="N32" s="123"/>
      <c r="O32" s="127"/>
      <c r="P32" s="128"/>
      <c r="Q32" s="127"/>
      <c r="R32" s="127"/>
      <c r="S32" s="127"/>
      <c r="T32" s="123"/>
      <c r="U32" s="127"/>
      <c r="V32" s="128"/>
      <c r="W32" s="123"/>
      <c r="X32" s="123"/>
      <c r="Y32" s="123"/>
      <c r="Z32" s="127"/>
      <c r="AA32" s="128"/>
      <c r="AB32" s="132">
        <v>24.172794791857665</v>
      </c>
      <c r="AC32" s="132"/>
      <c r="AD32" s="127"/>
      <c r="AE32" s="123"/>
      <c r="AF32" s="127"/>
      <c r="AG32" s="128"/>
      <c r="AH32" s="123"/>
      <c r="AI32" s="127"/>
      <c r="AJ32" s="128"/>
      <c r="AK32" s="123"/>
      <c r="AL32" s="127"/>
      <c r="AM32" s="128"/>
      <c r="AN32" s="132">
        <v>22.363359999999997</v>
      </c>
      <c r="AO32" s="127"/>
      <c r="AP32" s="127"/>
      <c r="AQ32" s="127"/>
      <c r="AR32" s="128"/>
    </row>
    <row r="33" spans="1:44" x14ac:dyDescent="0.3">
      <c r="A33" s="41">
        <v>2045</v>
      </c>
      <c r="B33" s="123">
        <v>18.54</v>
      </c>
      <c r="C33" s="127">
        <v>23.69</v>
      </c>
      <c r="D33" s="128">
        <v>32.96</v>
      </c>
      <c r="E33" s="123"/>
      <c r="F33" s="127"/>
      <c r="G33" s="127"/>
      <c r="H33" s="123"/>
      <c r="I33" s="127"/>
      <c r="J33" s="127"/>
      <c r="K33" s="123"/>
      <c r="L33" s="127"/>
      <c r="M33" s="127"/>
      <c r="N33" s="123"/>
      <c r="O33" s="127"/>
      <c r="P33" s="128"/>
      <c r="Q33" s="127"/>
      <c r="R33" s="127"/>
      <c r="S33" s="127"/>
      <c r="T33" s="123">
        <v>19.306901084800003</v>
      </c>
      <c r="U33" s="127">
        <v>31.373687441600005</v>
      </c>
      <c r="V33" s="128">
        <v>43.440473798400006</v>
      </c>
      <c r="W33" s="123"/>
      <c r="X33" s="123"/>
      <c r="Y33" s="123"/>
      <c r="Z33" s="127"/>
      <c r="AA33" s="128"/>
      <c r="AB33" s="132">
        <v>23.887575646433135</v>
      </c>
      <c r="AC33" s="132"/>
      <c r="AD33" s="127"/>
      <c r="AE33" s="123"/>
      <c r="AF33" s="127"/>
      <c r="AG33" s="128"/>
      <c r="AH33" s="123">
        <v>77.180577999999997</v>
      </c>
      <c r="AI33" s="127">
        <v>50.528298000000007</v>
      </c>
      <c r="AJ33" s="128">
        <v>22.765471999999999</v>
      </c>
      <c r="AK33" s="123">
        <v>17.926131372474561</v>
      </c>
      <c r="AL33" s="127">
        <v>18.70154415980776</v>
      </c>
      <c r="AM33" s="128">
        <v>19.476956947140962</v>
      </c>
      <c r="AN33" s="132">
        <v>22.120280000000001</v>
      </c>
      <c r="AO33" s="127"/>
      <c r="AP33" s="127"/>
      <c r="AQ33" s="127"/>
      <c r="AR33" s="128"/>
    </row>
    <row r="34" spans="1:44" x14ac:dyDescent="0.3">
      <c r="A34" s="41">
        <v>2046</v>
      </c>
      <c r="B34" s="123">
        <v>18.54</v>
      </c>
      <c r="C34" s="127">
        <v>23.69</v>
      </c>
      <c r="D34" s="128">
        <v>31.93</v>
      </c>
      <c r="E34" s="123"/>
      <c r="F34" s="127"/>
      <c r="G34" s="127"/>
      <c r="H34" s="123"/>
      <c r="I34" s="127"/>
      <c r="J34" s="127"/>
      <c r="K34" s="123"/>
      <c r="L34" s="127"/>
      <c r="M34" s="127"/>
      <c r="N34" s="123"/>
      <c r="O34" s="127"/>
      <c r="P34" s="128"/>
      <c r="Q34" s="127"/>
      <c r="R34" s="127"/>
      <c r="S34" s="127"/>
      <c r="T34" s="123"/>
      <c r="U34" s="127"/>
      <c r="V34" s="128"/>
      <c r="W34" s="123"/>
      <c r="X34" s="123"/>
      <c r="Y34" s="123"/>
      <c r="Z34" s="127"/>
      <c r="AA34" s="128"/>
      <c r="AB34" s="132">
        <v>23.602356501008501</v>
      </c>
      <c r="AC34" s="132"/>
      <c r="AD34" s="127"/>
      <c r="AE34" s="123"/>
      <c r="AF34" s="127"/>
      <c r="AG34" s="128"/>
      <c r="AH34" s="123"/>
      <c r="AI34" s="127"/>
      <c r="AJ34" s="128"/>
      <c r="AK34" s="123"/>
      <c r="AL34" s="127"/>
      <c r="AM34" s="128"/>
      <c r="AN34" s="132">
        <v>21.634120000000003</v>
      </c>
      <c r="AO34" s="127"/>
      <c r="AP34" s="127"/>
      <c r="AQ34" s="127"/>
      <c r="AR34" s="128"/>
    </row>
    <row r="35" spans="1:44" x14ac:dyDescent="0.3">
      <c r="A35" s="41">
        <v>2047</v>
      </c>
      <c r="B35" s="123">
        <v>18.54</v>
      </c>
      <c r="C35" s="127">
        <v>22.66</v>
      </c>
      <c r="D35" s="128">
        <v>30.900000000000002</v>
      </c>
      <c r="E35" s="123"/>
      <c r="F35" s="127"/>
      <c r="G35" s="127"/>
      <c r="H35" s="123"/>
      <c r="I35" s="127"/>
      <c r="J35" s="127"/>
      <c r="K35" s="123"/>
      <c r="L35" s="127"/>
      <c r="M35" s="127"/>
      <c r="N35" s="123"/>
      <c r="O35" s="127"/>
      <c r="P35" s="128"/>
      <c r="Q35" s="127"/>
      <c r="R35" s="127"/>
      <c r="S35" s="127"/>
      <c r="T35" s="123"/>
      <c r="U35" s="127"/>
      <c r="V35" s="128"/>
      <c r="W35" s="123"/>
      <c r="X35" s="123"/>
      <c r="Y35" s="123"/>
      <c r="Z35" s="127"/>
      <c r="AA35" s="128"/>
      <c r="AB35" s="132">
        <v>23.17452778287176</v>
      </c>
      <c r="AC35" s="132"/>
      <c r="AD35" s="127"/>
      <c r="AE35" s="123"/>
      <c r="AF35" s="127"/>
      <c r="AG35" s="128"/>
      <c r="AH35" s="123"/>
      <c r="AI35" s="127"/>
      <c r="AJ35" s="128"/>
      <c r="AK35" s="123"/>
      <c r="AL35" s="127"/>
      <c r="AM35" s="128"/>
      <c r="AN35" s="132">
        <v>21.269500000000001</v>
      </c>
      <c r="AO35" s="127"/>
      <c r="AP35" s="127"/>
      <c r="AQ35" s="127"/>
      <c r="AR35" s="128"/>
    </row>
    <row r="36" spans="1:44" x14ac:dyDescent="0.3">
      <c r="A36" s="41">
        <v>2048</v>
      </c>
      <c r="B36" s="123">
        <v>17.510000000000002</v>
      </c>
      <c r="C36" s="127">
        <v>22.66</v>
      </c>
      <c r="D36" s="128">
        <v>30.900000000000002</v>
      </c>
      <c r="E36" s="123"/>
      <c r="F36" s="127"/>
      <c r="G36" s="127"/>
      <c r="H36" s="123"/>
      <c r="I36" s="127"/>
      <c r="J36" s="127"/>
      <c r="K36" s="123"/>
      <c r="L36" s="127"/>
      <c r="M36" s="127"/>
      <c r="N36" s="123"/>
      <c r="O36" s="127"/>
      <c r="P36" s="128"/>
      <c r="Q36" s="127"/>
      <c r="R36" s="127"/>
      <c r="S36" s="127"/>
      <c r="T36" s="123"/>
      <c r="U36" s="127"/>
      <c r="V36" s="128"/>
      <c r="W36" s="123"/>
      <c r="X36" s="123"/>
      <c r="Y36" s="123"/>
      <c r="Z36" s="127"/>
      <c r="AA36" s="128"/>
      <c r="AB36" s="132">
        <v>22.604089492022705</v>
      </c>
      <c r="AC36" s="132"/>
      <c r="AD36" s="127"/>
      <c r="AE36" s="123"/>
      <c r="AF36" s="127"/>
      <c r="AG36" s="128"/>
      <c r="AH36" s="123"/>
      <c r="AI36" s="127"/>
      <c r="AJ36" s="128"/>
      <c r="AK36" s="123"/>
      <c r="AL36" s="127"/>
      <c r="AM36" s="128"/>
      <c r="AN36" s="132">
        <v>20.904879999999999</v>
      </c>
      <c r="AO36" s="127"/>
      <c r="AP36" s="127"/>
      <c r="AQ36" s="127"/>
      <c r="AR36" s="128"/>
    </row>
    <row r="37" spans="1:44" x14ac:dyDescent="0.3">
      <c r="A37" s="41">
        <v>2049</v>
      </c>
      <c r="B37" s="123">
        <v>17.510000000000002</v>
      </c>
      <c r="C37" s="127">
        <v>21.63</v>
      </c>
      <c r="D37" s="128">
        <v>29.87</v>
      </c>
      <c r="E37" s="123"/>
      <c r="F37" s="127"/>
      <c r="G37" s="127"/>
      <c r="H37" s="123"/>
      <c r="I37" s="127"/>
      <c r="J37" s="127"/>
      <c r="K37" s="123"/>
      <c r="L37" s="127"/>
      <c r="M37" s="127"/>
      <c r="N37" s="123"/>
      <c r="O37" s="127"/>
      <c r="P37" s="128"/>
      <c r="Q37" s="127"/>
      <c r="R37" s="127"/>
      <c r="S37" s="127"/>
      <c r="T37" s="123"/>
      <c r="U37" s="127"/>
      <c r="V37" s="128"/>
      <c r="W37" s="123"/>
      <c r="X37" s="123"/>
      <c r="Y37" s="123"/>
      <c r="Z37" s="127"/>
      <c r="AA37" s="128"/>
      <c r="AB37" s="132">
        <v>22.512857142857087</v>
      </c>
      <c r="AC37" s="132"/>
      <c r="AD37" s="127"/>
      <c r="AE37" s="123"/>
      <c r="AF37" s="127"/>
      <c r="AG37" s="128"/>
      <c r="AH37" s="123"/>
      <c r="AI37" s="127"/>
      <c r="AJ37" s="128"/>
      <c r="AK37" s="123"/>
      <c r="AL37" s="127"/>
      <c r="AM37" s="128"/>
      <c r="AN37" s="132">
        <v>20.661799999999999</v>
      </c>
      <c r="AO37" s="127"/>
      <c r="AP37" s="127"/>
      <c r="AQ37" s="127"/>
      <c r="AR37" s="128"/>
    </row>
    <row r="38" spans="1:44" ht="15" thickBot="1" x14ac:dyDescent="0.35">
      <c r="A38" s="42">
        <v>2050</v>
      </c>
      <c r="B38" s="124">
        <v>17.510000000000002</v>
      </c>
      <c r="C38" s="129">
        <v>21.63</v>
      </c>
      <c r="D38" s="130">
        <v>28.84</v>
      </c>
      <c r="E38" s="124">
        <v>20.6</v>
      </c>
      <c r="F38" s="129">
        <v>25.75</v>
      </c>
      <c r="G38" s="129">
        <v>25.75</v>
      </c>
      <c r="H38" s="124">
        <v>30.900000000000002</v>
      </c>
      <c r="I38" s="129">
        <v>30.900000000000002</v>
      </c>
      <c r="J38" s="129">
        <v>36.050000000000004</v>
      </c>
      <c r="K38" s="124">
        <v>15.450000000000001</v>
      </c>
      <c r="L38" s="129">
        <v>15.450000000000001</v>
      </c>
      <c r="M38" s="129">
        <v>15.450000000000001</v>
      </c>
      <c r="N38" s="124">
        <v>14.360428656859545</v>
      </c>
      <c r="O38" s="129">
        <v>23.711405456674999</v>
      </c>
      <c r="P38" s="130">
        <v>37.236925470693969</v>
      </c>
      <c r="Q38" s="129"/>
      <c r="R38" s="129"/>
      <c r="S38" s="129"/>
      <c r="T38" s="124">
        <v>17.844251644800003</v>
      </c>
      <c r="U38" s="129">
        <v>29.911038001600005</v>
      </c>
      <c r="V38" s="130">
        <v>41.977824358400007</v>
      </c>
      <c r="W38" s="124">
        <v>13.989554055791974</v>
      </c>
      <c r="X38" s="124">
        <v>14.722394428734926</v>
      </c>
      <c r="Y38" s="124">
        <v>61.985399999999998</v>
      </c>
      <c r="Z38" s="129">
        <v>80.216399999999993</v>
      </c>
      <c r="AA38" s="130">
        <v>85.078000000000003</v>
      </c>
      <c r="AB38" s="133">
        <v>22.218571428571355</v>
      </c>
      <c r="AC38" s="133"/>
      <c r="AD38" s="129"/>
      <c r="AE38" s="124"/>
      <c r="AF38" s="129"/>
      <c r="AG38" s="130"/>
      <c r="AH38" s="124">
        <v>78.291124000000011</v>
      </c>
      <c r="AI38" s="129">
        <v>52.194117000000006</v>
      </c>
      <c r="AJ38" s="130">
        <v>28.873269000000001</v>
      </c>
      <c r="AK38" s="124">
        <v>16.342829972315393</v>
      </c>
      <c r="AL38" s="129">
        <v>17.122549966549535</v>
      </c>
      <c r="AM38" s="130">
        <v>17.902269960783673</v>
      </c>
      <c r="AN38" s="133">
        <v>20.297180000000001</v>
      </c>
      <c r="AO38" s="129"/>
      <c r="AP38" s="129"/>
      <c r="AQ38" s="129"/>
      <c r="AR38" s="130"/>
    </row>
    <row r="39" spans="1:44" x14ac:dyDescent="0.3">
      <c r="A39" s="1"/>
      <c r="B39" s="39"/>
      <c r="C39" s="39"/>
      <c r="D39" s="39"/>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spans="1:44" x14ac:dyDescent="0.3">
      <c r="A40" s="36" t="s">
        <v>30</v>
      </c>
      <c r="C40" s="39"/>
      <c r="D40" s="39"/>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spans="1:44" x14ac:dyDescent="0.3">
      <c r="A41" s="36" t="s">
        <v>60</v>
      </c>
      <c r="C41" s="1"/>
      <c r="D41" s="39"/>
      <c r="E41" s="40"/>
      <c r="F41" s="40"/>
      <c r="G41" s="40"/>
      <c r="H41" s="1"/>
      <c r="I41" s="1"/>
      <c r="J41" s="1"/>
      <c r="K41" s="1"/>
      <c r="L41" s="1"/>
      <c r="M41" s="1"/>
      <c r="N41" s="1"/>
      <c r="O41" s="1"/>
      <c r="P41" s="1"/>
      <c r="Q41" s="1"/>
      <c r="R41" s="1"/>
      <c r="S41" s="1"/>
      <c r="T41" s="1"/>
      <c r="U41" s="1"/>
      <c r="V41" s="1"/>
      <c r="W41" s="1"/>
      <c r="X41" s="40"/>
      <c r="Y41" s="1"/>
      <c r="Z41" s="1"/>
      <c r="AA41" s="1"/>
      <c r="AB41" s="1"/>
      <c r="AC41" s="1"/>
      <c r="AD41" s="1"/>
      <c r="AE41" s="1"/>
      <c r="AF41" s="1"/>
      <c r="AG41" s="1"/>
      <c r="AI41" s="1"/>
      <c r="AJ41" s="1"/>
      <c r="AK41" s="1"/>
      <c r="AL41" s="1"/>
      <c r="AM41" s="1"/>
    </row>
    <row r="42" spans="1:44" x14ac:dyDescent="0.3">
      <c r="A42" s="36" t="s">
        <v>308</v>
      </c>
    </row>
  </sheetData>
  <mergeCells count="13">
    <mergeCell ref="Y1:AA1"/>
    <mergeCell ref="AE1:AG1"/>
    <mergeCell ref="AH1:AJ1"/>
    <mergeCell ref="AK1:AM1"/>
    <mergeCell ref="AO1:AR1"/>
    <mergeCell ref="T1:V1"/>
    <mergeCell ref="Q1:S1"/>
    <mergeCell ref="N1:P1"/>
    <mergeCell ref="A1:A2"/>
    <mergeCell ref="B1:D1"/>
    <mergeCell ref="E1:G1"/>
    <mergeCell ref="H1:J1"/>
    <mergeCell ref="K1:M1"/>
  </mergeCells>
  <pageMargins left="0.25" right="0.25" top="0.75" bottom="0.75" header="0.3" footer="0.3"/>
  <pageSetup paperSize="9" scale="33" orientation="landscape" r:id="rId1"/>
  <headerFooter>
    <oddFooter>&amp;C_x000D_&amp;1#&amp;"Calibri"&amp;7&amp;K000000 Classification: In-Confidence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36B3-7C01-41F3-8236-BCCF5B303CC2}">
  <sheetPr>
    <tabColor rgb="FFFFC000"/>
    <pageSetUpPr fitToPage="1"/>
  </sheetPr>
  <dimension ref="A1:AM42"/>
  <sheetViews>
    <sheetView zoomScale="70" zoomScaleNormal="70" workbookViewId="0">
      <selection activeCell="O39" sqref="O39"/>
    </sheetView>
  </sheetViews>
  <sheetFormatPr defaultRowHeight="14.4" x14ac:dyDescent="0.3"/>
  <cols>
    <col min="2" max="2" width="8.5546875" bestFit="1" customWidth="1"/>
    <col min="3" max="4" width="9" bestFit="1" customWidth="1"/>
    <col min="5" max="6" width="7.88671875" bestFit="1" customWidth="1"/>
    <col min="7" max="7" width="8.33203125" bestFit="1" customWidth="1"/>
    <col min="8" max="8" width="15.88671875" customWidth="1"/>
    <col min="9" max="9" width="18.6640625" customWidth="1"/>
    <col min="10" max="12" width="8.5546875" bestFit="1" customWidth="1"/>
    <col min="13" max="13" width="12.77734375" customWidth="1"/>
    <col min="14" max="14" width="11.5546875" customWidth="1"/>
    <col min="15" max="15" width="11.88671875" customWidth="1"/>
    <col min="16" max="16" width="12" customWidth="1"/>
    <col min="17" max="17" width="12.77734375" customWidth="1"/>
    <col min="18" max="18" width="12.21875" customWidth="1"/>
    <col min="19" max="19" width="8.5546875" bestFit="1" customWidth="1"/>
    <col min="20" max="20" width="9" bestFit="1" customWidth="1"/>
    <col min="21" max="23" width="8.5546875" bestFit="1" customWidth="1"/>
    <col min="24" max="24" width="9" bestFit="1" customWidth="1"/>
    <col min="25" max="26" width="7.88671875" bestFit="1" customWidth="1"/>
    <col min="27" max="27" width="8.33203125" bestFit="1" customWidth="1"/>
    <col min="28" max="28" width="8.5546875" bestFit="1" customWidth="1"/>
    <col min="29" max="29" width="8.33203125" bestFit="1" customWidth="1"/>
    <col min="30" max="32" width="8.5546875" bestFit="1" customWidth="1"/>
    <col min="33" max="33" width="9" bestFit="1" customWidth="1"/>
  </cols>
  <sheetData>
    <row r="1" spans="1:39" s="50" customFormat="1" ht="35.4" customHeight="1" thickBot="1" x14ac:dyDescent="0.35">
      <c r="A1" s="296" t="s">
        <v>0</v>
      </c>
      <c r="B1" s="291" t="s">
        <v>312</v>
      </c>
      <c r="C1" s="292"/>
      <c r="D1" s="292"/>
      <c r="E1" s="291" t="s">
        <v>284</v>
      </c>
      <c r="F1" s="292"/>
      <c r="G1" s="293"/>
      <c r="H1" s="27" t="s">
        <v>33</v>
      </c>
      <c r="I1" s="27" t="s">
        <v>35</v>
      </c>
      <c r="J1" s="291" t="s">
        <v>15</v>
      </c>
      <c r="K1" s="292"/>
      <c r="L1" s="293"/>
      <c r="M1" s="291" t="s">
        <v>313</v>
      </c>
      <c r="N1" s="292"/>
      <c r="O1" s="293"/>
      <c r="P1" s="291" t="s">
        <v>314</v>
      </c>
      <c r="Q1" s="292"/>
      <c r="R1" s="293"/>
      <c r="S1" s="291" t="s">
        <v>8</v>
      </c>
      <c r="T1" s="292"/>
      <c r="U1" s="293"/>
      <c r="V1" s="291" t="s">
        <v>9</v>
      </c>
      <c r="W1" s="292"/>
      <c r="X1" s="293"/>
      <c r="Y1" s="291" t="s">
        <v>10</v>
      </c>
      <c r="Z1" s="292"/>
      <c r="AA1" s="293"/>
      <c r="AB1" s="291" t="s">
        <v>12</v>
      </c>
      <c r="AC1" s="292"/>
      <c r="AD1" s="293"/>
      <c r="AE1" s="291" t="s">
        <v>331</v>
      </c>
      <c r="AF1" s="292"/>
      <c r="AG1" s="293"/>
      <c r="AH1" s="291" t="s">
        <v>285</v>
      </c>
      <c r="AI1" s="292"/>
      <c r="AJ1" s="293"/>
      <c r="AK1" s="294" t="s">
        <v>17</v>
      </c>
      <c r="AL1" s="294"/>
      <c r="AM1" s="295"/>
    </row>
    <row r="2" spans="1:39" ht="15" thickBot="1" x14ac:dyDescent="0.35">
      <c r="A2" s="297"/>
      <c r="B2" s="53" t="s">
        <v>18</v>
      </c>
      <c r="C2" s="54" t="s">
        <v>19</v>
      </c>
      <c r="D2" s="55" t="s">
        <v>20</v>
      </c>
      <c r="E2" s="53" t="s">
        <v>18</v>
      </c>
      <c r="F2" s="54" t="s">
        <v>19</v>
      </c>
      <c r="G2" s="55" t="s">
        <v>20</v>
      </c>
      <c r="H2" s="55" t="s">
        <v>19</v>
      </c>
      <c r="I2" s="55" t="s">
        <v>19</v>
      </c>
      <c r="J2" s="53" t="s">
        <v>18</v>
      </c>
      <c r="K2" s="54" t="s">
        <v>19</v>
      </c>
      <c r="L2" s="54" t="s">
        <v>20</v>
      </c>
      <c r="M2" s="29" t="s">
        <v>18</v>
      </c>
      <c r="N2" s="30" t="s">
        <v>19</v>
      </c>
      <c r="O2" s="31" t="s">
        <v>20</v>
      </c>
      <c r="P2" s="29" t="s">
        <v>18</v>
      </c>
      <c r="Q2" s="30" t="s">
        <v>19</v>
      </c>
      <c r="R2" s="31" t="s">
        <v>20</v>
      </c>
      <c r="S2" s="53" t="s">
        <v>18</v>
      </c>
      <c r="T2" s="54" t="s">
        <v>19</v>
      </c>
      <c r="U2" s="54" t="s">
        <v>20</v>
      </c>
      <c r="V2" s="53" t="s">
        <v>18</v>
      </c>
      <c r="W2" s="54" t="s">
        <v>19</v>
      </c>
      <c r="X2" s="54" t="s">
        <v>20</v>
      </c>
      <c r="Y2" s="53" t="s">
        <v>18</v>
      </c>
      <c r="Z2" s="54" t="s">
        <v>19</v>
      </c>
      <c r="AA2" s="54" t="s">
        <v>20</v>
      </c>
      <c r="AB2" s="53" t="s">
        <v>18</v>
      </c>
      <c r="AC2" s="54" t="s">
        <v>19</v>
      </c>
      <c r="AD2" s="55" t="s">
        <v>20</v>
      </c>
      <c r="AE2" s="53" t="s">
        <v>18</v>
      </c>
      <c r="AF2" s="54" t="s">
        <v>19</v>
      </c>
      <c r="AG2" s="55" t="s">
        <v>20</v>
      </c>
      <c r="AH2" s="53" t="s">
        <v>18</v>
      </c>
      <c r="AI2" s="54" t="s">
        <v>19</v>
      </c>
      <c r="AJ2" s="55" t="s">
        <v>20</v>
      </c>
      <c r="AK2" s="48" t="s">
        <v>21</v>
      </c>
      <c r="AL2" s="48" t="s">
        <v>19</v>
      </c>
      <c r="AM2" s="49" t="s">
        <v>22</v>
      </c>
    </row>
    <row r="3" spans="1:39" x14ac:dyDescent="0.3">
      <c r="A3" s="52">
        <v>2015</v>
      </c>
      <c r="B3" s="122"/>
      <c r="C3" s="125"/>
      <c r="D3" s="125"/>
      <c r="E3" s="122"/>
      <c r="F3" s="125"/>
      <c r="G3" s="126"/>
      <c r="H3" s="126"/>
      <c r="I3" s="126"/>
      <c r="J3" s="122">
        <v>2005.8055200000003</v>
      </c>
      <c r="K3" s="125">
        <v>2005.8055200000003</v>
      </c>
      <c r="L3" s="126">
        <v>2005.8055200000003</v>
      </c>
      <c r="M3" s="122"/>
      <c r="N3" s="125">
        <v>1803.6000000000001</v>
      </c>
      <c r="O3" s="126"/>
      <c r="P3" s="122"/>
      <c r="Q3" s="125">
        <v>1544.4</v>
      </c>
      <c r="R3" s="126"/>
      <c r="S3" s="122"/>
      <c r="T3" s="125"/>
      <c r="U3" s="126"/>
      <c r="V3" s="122">
        <v>2005.8055200000003</v>
      </c>
      <c r="W3" s="125">
        <v>2005.8055200000003</v>
      </c>
      <c r="X3" s="126">
        <v>2005.8055200000003</v>
      </c>
      <c r="Y3" s="122"/>
      <c r="Z3" s="125"/>
      <c r="AA3" s="126"/>
      <c r="AB3" s="122"/>
      <c r="AC3" s="125"/>
      <c r="AD3" s="126"/>
      <c r="AE3" s="122"/>
      <c r="AF3" s="125"/>
      <c r="AG3" s="126"/>
      <c r="AH3" s="122"/>
      <c r="AI3" s="125"/>
      <c r="AJ3" s="126"/>
      <c r="AK3" s="127">
        <v>1477.7861157024795</v>
      </c>
      <c r="AL3" s="127">
        <v>1943.6100000000001</v>
      </c>
      <c r="AM3" s="128">
        <v>2409.4338842975212</v>
      </c>
    </row>
    <row r="4" spans="1:39" x14ac:dyDescent="0.3">
      <c r="A4" s="24">
        <v>2016</v>
      </c>
      <c r="B4" s="123"/>
      <c r="C4" s="127"/>
      <c r="D4" s="127"/>
      <c r="E4" s="123"/>
      <c r="F4" s="127"/>
      <c r="G4" s="128"/>
      <c r="H4" s="128"/>
      <c r="I4" s="128"/>
      <c r="J4" s="123"/>
      <c r="K4" s="127"/>
      <c r="L4" s="128"/>
      <c r="M4" s="123"/>
      <c r="N4" s="127"/>
      <c r="O4" s="128"/>
      <c r="P4" s="123"/>
      <c r="Q4" s="127"/>
      <c r="R4" s="128"/>
      <c r="S4" s="123"/>
      <c r="T4" s="127"/>
      <c r="U4" s="128"/>
      <c r="V4" s="123"/>
      <c r="W4" s="127"/>
      <c r="X4" s="128"/>
      <c r="Y4" s="123"/>
      <c r="Z4" s="127"/>
      <c r="AA4" s="128"/>
      <c r="AB4" s="123"/>
      <c r="AC4" s="127"/>
      <c r="AD4" s="128"/>
      <c r="AE4" s="123"/>
      <c r="AF4" s="127"/>
      <c r="AG4" s="128"/>
      <c r="AH4" s="123"/>
      <c r="AI4" s="127"/>
      <c r="AJ4" s="128"/>
      <c r="AK4" s="127">
        <v>1355.8576666666668</v>
      </c>
      <c r="AL4" s="127">
        <v>1768.51</v>
      </c>
      <c r="AM4" s="128">
        <v>2181.1623333333332</v>
      </c>
    </row>
    <row r="5" spans="1:39" x14ac:dyDescent="0.3">
      <c r="A5" s="24">
        <v>2017</v>
      </c>
      <c r="B5" s="123"/>
      <c r="C5" s="127"/>
      <c r="D5" s="127"/>
      <c r="E5" s="123"/>
      <c r="F5" s="127"/>
      <c r="G5" s="128"/>
      <c r="H5" s="128"/>
      <c r="I5" s="128"/>
      <c r="J5" s="123"/>
      <c r="K5" s="127"/>
      <c r="L5" s="128"/>
      <c r="M5" s="123"/>
      <c r="N5" s="127"/>
      <c r="O5" s="128"/>
      <c r="P5" s="123"/>
      <c r="Q5" s="127"/>
      <c r="R5" s="128"/>
      <c r="S5" s="123"/>
      <c r="T5" s="127"/>
      <c r="U5" s="128"/>
      <c r="V5" s="123"/>
      <c r="W5" s="127"/>
      <c r="X5" s="128"/>
      <c r="Y5" s="123"/>
      <c r="Z5" s="127"/>
      <c r="AA5" s="128"/>
      <c r="AB5" s="123"/>
      <c r="AC5" s="127"/>
      <c r="AD5" s="128"/>
      <c r="AE5" s="123"/>
      <c r="AF5" s="127"/>
      <c r="AG5" s="128"/>
      <c r="AH5" s="123"/>
      <c r="AI5" s="127"/>
      <c r="AJ5" s="128"/>
      <c r="AK5" s="127">
        <v>1129.0143478260868</v>
      </c>
      <c r="AL5" s="127">
        <v>1527.49</v>
      </c>
      <c r="AM5" s="128">
        <v>1925.9656521739132</v>
      </c>
    </row>
    <row r="6" spans="1:39" x14ac:dyDescent="0.3">
      <c r="A6" s="24">
        <v>2018</v>
      </c>
      <c r="B6" s="123"/>
      <c r="C6" s="127"/>
      <c r="D6" s="127"/>
      <c r="E6" s="123">
        <v>862.43568600000003</v>
      </c>
      <c r="F6" s="127">
        <v>941.09880479999993</v>
      </c>
      <c r="G6" s="128">
        <v>1206.2443917999999</v>
      </c>
      <c r="H6" s="128"/>
      <c r="I6" s="128"/>
      <c r="J6" s="123"/>
      <c r="K6" s="127"/>
      <c r="L6" s="128"/>
      <c r="M6" s="123"/>
      <c r="N6" s="127"/>
      <c r="O6" s="128"/>
      <c r="P6" s="123"/>
      <c r="Q6" s="127"/>
      <c r="R6" s="128"/>
      <c r="S6" s="123"/>
      <c r="T6" s="127"/>
      <c r="U6" s="128"/>
      <c r="V6" s="123"/>
      <c r="W6" s="127"/>
      <c r="X6" s="128"/>
      <c r="Y6" s="123"/>
      <c r="Z6" s="127"/>
      <c r="AA6" s="128"/>
      <c r="AB6" s="123"/>
      <c r="AC6" s="127"/>
      <c r="AD6" s="128"/>
      <c r="AE6" s="123"/>
      <c r="AF6" s="127"/>
      <c r="AG6" s="128"/>
      <c r="AH6" s="123"/>
      <c r="AI6" s="127"/>
      <c r="AJ6" s="128"/>
      <c r="AK6" s="127">
        <v>977.99344262295085</v>
      </c>
      <c r="AL6" s="127">
        <v>1305.01</v>
      </c>
      <c r="AM6" s="128">
        <v>1632.0265573770494</v>
      </c>
    </row>
    <row r="7" spans="1:39" x14ac:dyDescent="0.3">
      <c r="A7" s="24">
        <v>2019</v>
      </c>
      <c r="B7" s="123"/>
      <c r="C7" s="127"/>
      <c r="D7" s="127"/>
      <c r="E7" s="123">
        <v>821.6433373399999</v>
      </c>
      <c r="F7" s="127">
        <v>900.31241159999979</v>
      </c>
      <c r="G7" s="128">
        <v>1150.8841371999999</v>
      </c>
      <c r="H7" s="128"/>
      <c r="I7" s="128"/>
      <c r="J7" s="123"/>
      <c r="K7" s="127"/>
      <c r="L7" s="128"/>
      <c r="M7" s="123"/>
      <c r="N7" s="127"/>
      <c r="O7" s="128"/>
      <c r="P7" s="123"/>
      <c r="Q7" s="127"/>
      <c r="R7" s="128"/>
      <c r="S7" s="123"/>
      <c r="T7" s="127"/>
      <c r="U7" s="128"/>
      <c r="V7" s="123"/>
      <c r="W7" s="127"/>
      <c r="X7" s="128"/>
      <c r="Y7" s="123"/>
      <c r="Z7" s="127"/>
      <c r="AA7" s="128"/>
      <c r="AB7" s="123"/>
      <c r="AC7" s="127"/>
      <c r="AD7" s="128"/>
      <c r="AE7" s="123"/>
      <c r="AF7" s="127"/>
      <c r="AG7" s="128"/>
      <c r="AH7" s="123"/>
      <c r="AI7" s="127"/>
      <c r="AJ7" s="128"/>
      <c r="AK7" s="127">
        <v>827.910330788804</v>
      </c>
      <c r="AL7" s="127">
        <v>1077.3800000000001</v>
      </c>
      <c r="AM7" s="128">
        <v>1326.8496692111958</v>
      </c>
    </row>
    <row r="8" spans="1:39" x14ac:dyDescent="0.3">
      <c r="A8" s="24">
        <v>2020</v>
      </c>
      <c r="B8" s="123"/>
      <c r="C8" s="127"/>
      <c r="D8" s="127"/>
      <c r="E8" s="123">
        <v>786.68053323999993</v>
      </c>
      <c r="F8" s="127">
        <v>868.26352899999995</v>
      </c>
      <c r="G8" s="128">
        <v>1115.9170791999998</v>
      </c>
      <c r="H8" s="128"/>
      <c r="I8" s="128"/>
      <c r="J8" s="123">
        <v>1005.8524740000003</v>
      </c>
      <c r="K8" s="127">
        <v>1337.6952990000002</v>
      </c>
      <c r="L8" s="128">
        <v>1724.1078330000003</v>
      </c>
      <c r="M8" s="123">
        <v>1280.3225806451612</v>
      </c>
      <c r="N8" s="127">
        <v>1341.2903225806438</v>
      </c>
      <c r="O8" s="128">
        <v>1402.2580645161288</v>
      </c>
      <c r="P8" s="123">
        <v>928.80000000000007</v>
      </c>
      <c r="Q8" s="127">
        <v>939.6</v>
      </c>
      <c r="R8" s="128">
        <v>993.6</v>
      </c>
      <c r="S8" s="123">
        <v>780.0680279999998</v>
      </c>
      <c r="T8" s="127">
        <v>1050.2514479999998</v>
      </c>
      <c r="U8" s="128">
        <v>1593.3894</v>
      </c>
      <c r="V8" s="123">
        <v>755.12678400000016</v>
      </c>
      <c r="W8" s="127">
        <v>1016.1764730000002</v>
      </c>
      <c r="X8" s="128">
        <v>1541.2255650000002</v>
      </c>
      <c r="Y8" s="123">
        <v>1905.1394999999998</v>
      </c>
      <c r="Z8" s="127">
        <v>2158.6962479999997</v>
      </c>
      <c r="AA8" s="128">
        <v>2609.0019480000001</v>
      </c>
      <c r="AB8" s="123">
        <v>1580.02</v>
      </c>
      <c r="AC8" s="127">
        <v>2847.0744999999997</v>
      </c>
      <c r="AD8" s="128">
        <v>3433.5050000000001</v>
      </c>
      <c r="AE8" s="123">
        <v>606.72767999999996</v>
      </c>
      <c r="AF8" s="127">
        <v>805.08096</v>
      </c>
      <c r="AG8" s="128">
        <v>1225.1231999999998</v>
      </c>
      <c r="AH8" s="123">
        <v>1657.8962400000003</v>
      </c>
      <c r="AI8" s="127">
        <v>1657.8962400000003</v>
      </c>
      <c r="AJ8" s="128">
        <v>1657.8962400000003</v>
      </c>
      <c r="AK8" s="192">
        <v>750.77984084880632</v>
      </c>
      <c r="AL8" s="192">
        <v>943.48</v>
      </c>
      <c r="AM8" s="193">
        <v>1136.1801591511937</v>
      </c>
    </row>
    <row r="9" spans="1:39" x14ac:dyDescent="0.3">
      <c r="A9" s="24">
        <v>2021</v>
      </c>
      <c r="B9" s="123">
        <v>1806.6200000000001</v>
      </c>
      <c r="C9" s="127">
        <v>2376.21</v>
      </c>
      <c r="D9" s="127">
        <v>2944.77</v>
      </c>
      <c r="E9" s="123">
        <v>757.54387057999998</v>
      </c>
      <c r="F9" s="127">
        <v>830.38425105999988</v>
      </c>
      <c r="G9" s="128">
        <v>1069.3028430000002</v>
      </c>
      <c r="H9" s="128">
        <v>677.58396466691079</v>
      </c>
      <c r="I9" s="128"/>
      <c r="J9" s="123"/>
      <c r="K9" s="127"/>
      <c r="L9" s="128"/>
      <c r="M9" s="123"/>
      <c r="N9" s="127"/>
      <c r="O9" s="128"/>
      <c r="P9" s="123"/>
      <c r="Q9" s="127"/>
      <c r="R9" s="128"/>
      <c r="S9" s="123"/>
      <c r="T9" s="127"/>
      <c r="U9" s="128"/>
      <c r="V9" s="123"/>
      <c r="W9" s="127"/>
      <c r="X9" s="128"/>
      <c r="Y9" s="123"/>
      <c r="Z9" s="127"/>
      <c r="AA9" s="128"/>
      <c r="AB9" s="123"/>
      <c r="AC9" s="127"/>
      <c r="AD9" s="128"/>
      <c r="AE9" s="123"/>
      <c r="AF9" s="127"/>
      <c r="AG9" s="128"/>
      <c r="AH9" s="123"/>
      <c r="AI9" s="127"/>
      <c r="AJ9" s="128"/>
      <c r="AK9" s="192">
        <v>726.60342391304357</v>
      </c>
      <c r="AL9" s="192">
        <v>909.49</v>
      </c>
      <c r="AM9" s="193">
        <v>1092.3765760869564</v>
      </c>
    </row>
    <row r="10" spans="1:39" x14ac:dyDescent="0.3">
      <c r="A10" s="24">
        <v>2022</v>
      </c>
      <c r="B10" s="123">
        <v>1963.18</v>
      </c>
      <c r="C10" s="127">
        <v>2499.81</v>
      </c>
      <c r="D10" s="127">
        <v>3035.41</v>
      </c>
      <c r="E10" s="123">
        <v>722.58021570000005</v>
      </c>
      <c r="F10" s="127">
        <v>801.24843917999999</v>
      </c>
      <c r="G10" s="128">
        <v>1028.507942</v>
      </c>
      <c r="H10" s="128">
        <v>566.89016415163758</v>
      </c>
      <c r="I10" s="128"/>
      <c r="J10" s="123"/>
      <c r="K10" s="127"/>
      <c r="L10" s="128"/>
      <c r="M10" s="123"/>
      <c r="N10" s="127"/>
      <c r="O10" s="128"/>
      <c r="P10" s="123"/>
      <c r="Q10" s="127"/>
      <c r="R10" s="128"/>
      <c r="S10" s="123"/>
      <c r="T10" s="127"/>
      <c r="U10" s="128"/>
      <c r="V10" s="123"/>
      <c r="W10" s="127"/>
      <c r="X10" s="128"/>
      <c r="Y10" s="123"/>
      <c r="Z10" s="127"/>
      <c r="AA10" s="128"/>
      <c r="AB10" s="123"/>
      <c r="AC10" s="127"/>
      <c r="AD10" s="128"/>
      <c r="AE10" s="123"/>
      <c r="AF10" s="127"/>
      <c r="AG10" s="128"/>
      <c r="AH10" s="123"/>
      <c r="AI10" s="127"/>
      <c r="AJ10" s="128"/>
      <c r="AK10" s="192"/>
      <c r="AL10" s="192"/>
      <c r="AM10" s="193"/>
    </row>
    <row r="11" spans="1:39" x14ac:dyDescent="0.3">
      <c r="A11" s="24">
        <v>2023</v>
      </c>
      <c r="B11" s="123">
        <v>1880.78</v>
      </c>
      <c r="C11" s="127">
        <v>2415.35</v>
      </c>
      <c r="D11" s="127">
        <v>2978.76</v>
      </c>
      <c r="E11" s="123">
        <v>702.18446675999996</v>
      </c>
      <c r="F11" s="127">
        <v>772.11177651999981</v>
      </c>
      <c r="G11" s="128">
        <v>999.37723480000011</v>
      </c>
      <c r="H11" s="128">
        <v>483.57224978530161</v>
      </c>
      <c r="I11" s="128"/>
      <c r="J11" s="123"/>
      <c r="K11" s="127"/>
      <c r="L11" s="128"/>
      <c r="M11" s="123"/>
      <c r="N11" s="127"/>
      <c r="O11" s="128"/>
      <c r="P11" s="123"/>
      <c r="Q11" s="127"/>
      <c r="R11" s="128"/>
      <c r="S11" s="123"/>
      <c r="T11" s="127"/>
      <c r="U11" s="128"/>
      <c r="V11" s="123"/>
      <c r="W11" s="127"/>
      <c r="X11" s="128"/>
      <c r="Y11" s="123"/>
      <c r="Z11" s="127"/>
      <c r="AA11" s="128"/>
      <c r="AB11" s="123"/>
      <c r="AC11" s="127"/>
      <c r="AD11" s="128"/>
      <c r="AE11" s="123"/>
      <c r="AF11" s="127"/>
      <c r="AG11" s="128"/>
      <c r="AH11" s="123"/>
      <c r="AI11" s="127"/>
      <c r="AJ11" s="128"/>
      <c r="AK11" s="127"/>
      <c r="AL11" s="127"/>
      <c r="AM11" s="128"/>
    </row>
    <row r="12" spans="1:39" x14ac:dyDescent="0.3">
      <c r="A12" s="24">
        <v>2024</v>
      </c>
      <c r="B12" s="123">
        <v>1797.3500000000001</v>
      </c>
      <c r="C12" s="127">
        <v>2330.89</v>
      </c>
      <c r="D12" s="127">
        <v>2922.11</v>
      </c>
      <c r="E12" s="123">
        <v>681.78956860000005</v>
      </c>
      <c r="F12" s="127">
        <v>751.7168783599999</v>
      </c>
      <c r="G12" s="128">
        <v>976.06586279999999</v>
      </c>
      <c r="H12" s="128">
        <v>419.89355809103125</v>
      </c>
      <c r="I12" s="128"/>
      <c r="J12" s="123"/>
      <c r="K12" s="127"/>
      <c r="L12" s="128"/>
      <c r="M12" s="123"/>
      <c r="N12" s="127"/>
      <c r="O12" s="128"/>
      <c r="P12" s="123"/>
      <c r="Q12" s="127"/>
      <c r="R12" s="128"/>
      <c r="S12" s="123"/>
      <c r="T12" s="127"/>
      <c r="U12" s="128"/>
      <c r="V12" s="123"/>
      <c r="W12" s="127"/>
      <c r="X12" s="128"/>
      <c r="Y12" s="123"/>
      <c r="Z12" s="127"/>
      <c r="AA12" s="128"/>
      <c r="AB12" s="123"/>
      <c r="AC12" s="127"/>
      <c r="AD12" s="128"/>
      <c r="AE12" s="123"/>
      <c r="AF12" s="127"/>
      <c r="AG12" s="128"/>
      <c r="AH12" s="123"/>
      <c r="AI12" s="127"/>
      <c r="AJ12" s="128"/>
      <c r="AK12" s="127"/>
      <c r="AL12" s="127"/>
      <c r="AM12" s="128"/>
    </row>
    <row r="13" spans="1:39" x14ac:dyDescent="0.3">
      <c r="A13" s="24">
        <v>2025</v>
      </c>
      <c r="B13" s="123">
        <v>1714.95</v>
      </c>
      <c r="C13" s="127">
        <v>2246.4299999999998</v>
      </c>
      <c r="D13" s="127">
        <v>2864.4300000000003</v>
      </c>
      <c r="E13" s="123">
        <v>661.39381965999996</v>
      </c>
      <c r="F13" s="127">
        <v>728.40720792000002</v>
      </c>
      <c r="G13" s="128">
        <v>949.84482320000006</v>
      </c>
      <c r="H13" s="128">
        <v>369.30768151147032</v>
      </c>
      <c r="I13" s="128"/>
      <c r="J13" s="123">
        <v>808.2216360000001</v>
      </c>
      <c r="K13" s="127">
        <v>1086.9696090000002</v>
      </c>
      <c r="L13" s="128">
        <v>1424.7118620000001</v>
      </c>
      <c r="M13" s="123"/>
      <c r="N13" s="127"/>
      <c r="O13" s="128"/>
      <c r="P13" s="123"/>
      <c r="Q13" s="127"/>
      <c r="R13" s="128"/>
      <c r="S13" s="123">
        <v>605.4879719999999</v>
      </c>
      <c r="T13" s="127">
        <v>828.5624879999998</v>
      </c>
      <c r="U13" s="128">
        <v>1283.0248559999998</v>
      </c>
      <c r="V13" s="123">
        <v>585.51822900000002</v>
      </c>
      <c r="W13" s="127">
        <v>802.32220800000005</v>
      </c>
      <c r="X13" s="128">
        <v>1241.8295940000003</v>
      </c>
      <c r="Y13" s="123">
        <v>1360.6159919999998</v>
      </c>
      <c r="Z13" s="127">
        <v>1542.123828</v>
      </c>
      <c r="AA13" s="128">
        <v>1731.9449999999995</v>
      </c>
      <c r="AB13" s="123"/>
      <c r="AC13" s="127"/>
      <c r="AD13" s="128"/>
      <c r="AE13" s="123">
        <v>478.38144</v>
      </c>
      <c r="AF13" s="127">
        <v>653.3990399999999</v>
      </c>
      <c r="AG13" s="128">
        <v>1003.43424</v>
      </c>
      <c r="AH13" s="123">
        <v>1450.1213440000001</v>
      </c>
      <c r="AI13" s="127">
        <v>1242.3349120000003</v>
      </c>
      <c r="AJ13" s="128">
        <v>1073.5193952000002</v>
      </c>
      <c r="AK13" s="127"/>
      <c r="AL13" s="127"/>
      <c r="AM13" s="128"/>
    </row>
    <row r="14" spans="1:39" x14ac:dyDescent="0.3">
      <c r="A14" s="24">
        <v>2026</v>
      </c>
      <c r="B14" s="123">
        <v>1632.55</v>
      </c>
      <c r="C14" s="127">
        <v>2161.9700000000003</v>
      </c>
      <c r="D14" s="127">
        <v>2807.78</v>
      </c>
      <c r="E14" s="123">
        <v>638.08500000000004</v>
      </c>
      <c r="F14" s="127">
        <v>708.01230975999999</v>
      </c>
      <c r="G14" s="128">
        <v>920.70560819999992</v>
      </c>
      <c r="H14" s="128">
        <v>325.26821248926507</v>
      </c>
      <c r="I14" s="128"/>
      <c r="J14" s="123"/>
      <c r="K14" s="127"/>
      <c r="L14" s="128"/>
      <c r="M14" s="123"/>
      <c r="N14" s="127"/>
      <c r="O14" s="128"/>
      <c r="P14" s="123"/>
      <c r="Q14" s="127"/>
      <c r="R14" s="128"/>
      <c r="S14" s="123"/>
      <c r="T14" s="127"/>
      <c r="U14" s="128"/>
      <c r="V14" s="123"/>
      <c r="W14" s="127"/>
      <c r="X14" s="128"/>
      <c r="Y14" s="123"/>
      <c r="Z14" s="127"/>
      <c r="AA14" s="128"/>
      <c r="AB14" s="123"/>
      <c r="AC14" s="127"/>
      <c r="AD14" s="128"/>
      <c r="AE14" s="123"/>
      <c r="AF14" s="127"/>
      <c r="AG14" s="128"/>
      <c r="AH14" s="123"/>
      <c r="AI14" s="127"/>
      <c r="AJ14" s="128"/>
      <c r="AK14" s="127"/>
      <c r="AL14" s="127"/>
      <c r="AM14" s="128"/>
    </row>
    <row r="15" spans="1:39" x14ac:dyDescent="0.3">
      <c r="A15" s="24">
        <v>2027</v>
      </c>
      <c r="B15" s="123">
        <v>1549.1200000000001</v>
      </c>
      <c r="C15" s="127">
        <v>2078.0250000000001</v>
      </c>
      <c r="D15" s="127">
        <v>2751.13</v>
      </c>
      <c r="E15" s="123">
        <v>620.60317255999996</v>
      </c>
      <c r="F15" s="127">
        <v>687.61656082000002</v>
      </c>
      <c r="G15" s="128">
        <v>894.48456859999988</v>
      </c>
      <c r="H15" s="128">
        <v>290.75079082321099</v>
      </c>
      <c r="I15" s="128"/>
      <c r="J15" s="123"/>
      <c r="K15" s="127"/>
      <c r="L15" s="128"/>
      <c r="M15" s="123"/>
      <c r="N15" s="127"/>
      <c r="O15" s="128"/>
      <c r="P15" s="123"/>
      <c r="Q15" s="127"/>
      <c r="R15" s="128"/>
      <c r="S15" s="123"/>
      <c r="T15" s="127"/>
      <c r="U15" s="128"/>
      <c r="V15" s="123"/>
      <c r="W15" s="127"/>
      <c r="X15" s="128"/>
      <c r="Y15" s="123"/>
      <c r="Z15" s="127"/>
      <c r="AA15" s="128"/>
      <c r="AB15" s="123"/>
      <c r="AC15" s="127"/>
      <c r="AD15" s="128"/>
      <c r="AE15" s="123"/>
      <c r="AF15" s="127"/>
      <c r="AG15" s="128"/>
      <c r="AH15" s="123"/>
      <c r="AI15" s="127"/>
      <c r="AJ15" s="128"/>
      <c r="AK15" s="127"/>
      <c r="AL15" s="127"/>
      <c r="AM15" s="128"/>
    </row>
    <row r="16" spans="1:39" x14ac:dyDescent="0.3">
      <c r="A16" s="24">
        <v>2028</v>
      </c>
      <c r="B16" s="123">
        <v>1466.72</v>
      </c>
      <c r="C16" s="127">
        <v>1993.5650000000001</v>
      </c>
      <c r="D16" s="127">
        <v>2693.4500000000003</v>
      </c>
      <c r="E16" s="123">
        <v>597.29435290000004</v>
      </c>
      <c r="F16" s="127">
        <v>667.22166265999999</v>
      </c>
      <c r="G16" s="128">
        <v>862.43568600000003</v>
      </c>
      <c r="H16" s="128">
        <v>262.18464875475325</v>
      </c>
      <c r="I16" s="128"/>
      <c r="J16" s="123"/>
      <c r="K16" s="127"/>
      <c r="L16" s="128"/>
      <c r="M16" s="123"/>
      <c r="N16" s="127"/>
      <c r="O16" s="128"/>
      <c r="P16" s="123"/>
      <c r="Q16" s="127"/>
      <c r="R16" s="128"/>
      <c r="S16" s="123"/>
      <c r="T16" s="127"/>
      <c r="U16" s="128"/>
      <c r="V16" s="123"/>
      <c r="W16" s="127"/>
      <c r="X16" s="128"/>
      <c r="Y16" s="123"/>
      <c r="Z16" s="127"/>
      <c r="AA16" s="128"/>
      <c r="AB16" s="123"/>
      <c r="AC16" s="127"/>
      <c r="AD16" s="128"/>
      <c r="AE16" s="123"/>
      <c r="AF16" s="127"/>
      <c r="AG16" s="128"/>
      <c r="AH16" s="123"/>
      <c r="AI16" s="127"/>
      <c r="AJ16" s="128"/>
      <c r="AK16" s="127"/>
      <c r="AL16" s="127"/>
      <c r="AM16" s="128"/>
    </row>
    <row r="17" spans="1:39" x14ac:dyDescent="0.3">
      <c r="A17" s="24">
        <v>2029</v>
      </c>
      <c r="B17" s="123">
        <v>1383.29</v>
      </c>
      <c r="C17" s="127">
        <v>1909.105</v>
      </c>
      <c r="D17" s="127">
        <v>2636.8</v>
      </c>
      <c r="E17" s="123">
        <v>579.81252545999996</v>
      </c>
      <c r="F17" s="127">
        <v>652.65290593999987</v>
      </c>
      <c r="G17" s="128">
        <v>839.12516477999998</v>
      </c>
      <c r="H17" s="128">
        <v>238.3795303643721</v>
      </c>
      <c r="I17" s="128"/>
      <c r="J17" s="123"/>
      <c r="K17" s="127"/>
      <c r="L17" s="128"/>
      <c r="M17" s="123"/>
      <c r="N17" s="127"/>
      <c r="O17" s="128"/>
      <c r="P17" s="123"/>
      <c r="Q17" s="127"/>
      <c r="R17" s="128"/>
      <c r="S17" s="123"/>
      <c r="T17" s="127"/>
      <c r="U17" s="128"/>
      <c r="V17" s="123"/>
      <c r="W17" s="127"/>
      <c r="X17" s="128"/>
      <c r="Y17" s="123"/>
      <c r="Z17" s="127"/>
      <c r="AA17" s="128"/>
      <c r="AB17" s="123"/>
      <c r="AC17" s="127"/>
      <c r="AD17" s="128"/>
      <c r="AE17" s="123"/>
      <c r="AF17" s="127"/>
      <c r="AG17" s="128"/>
      <c r="AH17" s="123"/>
      <c r="AI17" s="127"/>
      <c r="AJ17" s="128"/>
      <c r="AK17" s="127"/>
      <c r="AL17" s="127"/>
      <c r="AM17" s="128"/>
    </row>
    <row r="18" spans="1:39" x14ac:dyDescent="0.3">
      <c r="A18" s="24">
        <v>2030</v>
      </c>
      <c r="B18" s="123">
        <v>1300.8900000000001</v>
      </c>
      <c r="C18" s="127">
        <v>1825.16</v>
      </c>
      <c r="D18" s="127">
        <v>2580.15</v>
      </c>
      <c r="E18" s="123">
        <v>556.50370580000003</v>
      </c>
      <c r="F18" s="127">
        <v>632.25800777999996</v>
      </c>
      <c r="G18" s="128">
        <v>818.73026661999995</v>
      </c>
      <c r="H18" s="128">
        <v>216.95492381302844</v>
      </c>
      <c r="I18" s="128">
        <v>936.29384243999993</v>
      </c>
      <c r="J18" s="123">
        <v>676.95936300000005</v>
      </c>
      <c r="K18" s="127">
        <v>918.83591100000012</v>
      </c>
      <c r="L18" s="128">
        <v>1218.2318820000003</v>
      </c>
      <c r="M18" s="123"/>
      <c r="N18" s="127">
        <v>907.24982769500537</v>
      </c>
      <c r="O18" s="128"/>
      <c r="P18" s="123"/>
      <c r="Q18" s="127">
        <v>615.6</v>
      </c>
      <c r="R18" s="128"/>
      <c r="S18" s="123">
        <v>501.57127199999991</v>
      </c>
      <c r="T18" s="127">
        <v>695.54911200000004</v>
      </c>
      <c r="U18" s="128">
        <v>1090.4325719999999</v>
      </c>
      <c r="V18" s="123">
        <v>485.22795300000007</v>
      </c>
      <c r="W18" s="127">
        <v>672.53479200000004</v>
      </c>
      <c r="X18" s="128">
        <v>1054.5227550000002</v>
      </c>
      <c r="Y18" s="123">
        <v>814.70692799999995</v>
      </c>
      <c r="Z18" s="127">
        <v>924.16585199999986</v>
      </c>
      <c r="AA18" s="128">
        <v>1247.0003999999999</v>
      </c>
      <c r="AB18" s="123"/>
      <c r="AC18" s="127"/>
      <c r="AD18" s="128"/>
      <c r="AE18" s="123">
        <v>408.37439999999998</v>
      </c>
      <c r="AF18" s="127">
        <v>548.38847999999996</v>
      </c>
      <c r="AG18" s="128">
        <v>851.75231999999983</v>
      </c>
      <c r="AH18" s="123">
        <v>1307.271056</v>
      </c>
      <c r="AI18" s="127">
        <v>1043.2177840000002</v>
      </c>
      <c r="AJ18" s="128">
        <v>939.32918240000004</v>
      </c>
      <c r="AK18" s="127"/>
      <c r="AL18" s="127"/>
      <c r="AM18" s="128"/>
    </row>
    <row r="19" spans="1:39" x14ac:dyDescent="0.3">
      <c r="A19" s="24">
        <v>2031</v>
      </c>
      <c r="B19" s="123">
        <v>1217.46</v>
      </c>
      <c r="C19" s="127">
        <v>1740.1849999999999</v>
      </c>
      <c r="D19" s="127">
        <v>2522.4700000000003</v>
      </c>
      <c r="E19" s="123">
        <v>547.76279207999994</v>
      </c>
      <c r="F19" s="127">
        <v>614.77618033999988</v>
      </c>
      <c r="G19" s="128">
        <v>801.24843917999999</v>
      </c>
      <c r="H19" s="128">
        <v>402.69846438473638</v>
      </c>
      <c r="I19" s="128"/>
      <c r="J19" s="123"/>
      <c r="K19" s="127"/>
      <c r="L19" s="128"/>
      <c r="M19" s="123"/>
      <c r="N19" s="127"/>
      <c r="O19" s="128"/>
      <c r="P19" s="123"/>
      <c r="Q19" s="127"/>
      <c r="R19" s="128"/>
      <c r="S19" s="123"/>
      <c r="T19" s="127"/>
      <c r="U19" s="128"/>
      <c r="V19" s="123"/>
      <c r="W19" s="127"/>
      <c r="X19" s="128"/>
      <c r="Y19" s="123"/>
      <c r="Z19" s="127"/>
      <c r="AA19" s="128"/>
      <c r="AB19" s="123"/>
      <c r="AC19" s="127"/>
      <c r="AD19" s="128"/>
      <c r="AE19" s="123"/>
      <c r="AF19" s="127"/>
      <c r="AG19" s="128"/>
      <c r="AH19" s="123"/>
      <c r="AI19" s="127"/>
      <c r="AJ19" s="128"/>
      <c r="AK19" s="127"/>
      <c r="AL19" s="127"/>
      <c r="AM19" s="128"/>
    </row>
    <row r="20" spans="1:39" x14ac:dyDescent="0.3">
      <c r="A20" s="24">
        <v>2032</v>
      </c>
      <c r="B20" s="123">
        <v>1135.06</v>
      </c>
      <c r="C20" s="127">
        <v>1656.24</v>
      </c>
      <c r="D20" s="127">
        <v>2465.8200000000002</v>
      </c>
      <c r="E20" s="123">
        <v>533.19403536000004</v>
      </c>
      <c r="F20" s="127">
        <v>600.20742361999999</v>
      </c>
      <c r="G20" s="128">
        <v>786.68053323999993</v>
      </c>
      <c r="H20" s="128">
        <v>188.21845201815628</v>
      </c>
      <c r="I20" s="128"/>
      <c r="J20" s="123"/>
      <c r="K20" s="127"/>
      <c r="L20" s="128"/>
      <c r="M20" s="123"/>
      <c r="N20" s="127"/>
      <c r="O20" s="128"/>
      <c r="P20" s="123"/>
      <c r="Q20" s="127"/>
      <c r="R20" s="128"/>
      <c r="S20" s="123"/>
      <c r="T20" s="127"/>
      <c r="U20" s="128"/>
      <c r="V20" s="123"/>
      <c r="W20" s="127"/>
      <c r="X20" s="128"/>
      <c r="Y20" s="123"/>
      <c r="Z20" s="127"/>
      <c r="AA20" s="128"/>
      <c r="AB20" s="123"/>
      <c r="AC20" s="127"/>
      <c r="AD20" s="128"/>
      <c r="AE20" s="123"/>
      <c r="AF20" s="127"/>
      <c r="AG20" s="128"/>
      <c r="AH20" s="123"/>
      <c r="AI20" s="127"/>
      <c r="AJ20" s="128"/>
      <c r="AK20" s="127"/>
      <c r="AL20" s="127"/>
      <c r="AM20" s="128"/>
    </row>
    <row r="21" spans="1:39" x14ac:dyDescent="0.3">
      <c r="A21" s="24">
        <v>2033</v>
      </c>
      <c r="B21" s="123">
        <v>1051.6300000000001</v>
      </c>
      <c r="C21" s="127">
        <v>1572.2950000000001</v>
      </c>
      <c r="D21" s="127">
        <v>2409.17</v>
      </c>
      <c r="E21" s="123">
        <v>515.71220792000008</v>
      </c>
      <c r="F21" s="127">
        <v>588.55343917999994</v>
      </c>
      <c r="G21" s="128">
        <v>766.28478429999984</v>
      </c>
      <c r="H21" s="128">
        <v>174.4648396515756</v>
      </c>
      <c r="I21" s="128"/>
      <c r="J21" s="123"/>
      <c r="K21" s="127"/>
      <c r="L21" s="128"/>
      <c r="M21" s="123"/>
      <c r="N21" s="127"/>
      <c r="O21" s="128"/>
      <c r="P21" s="123"/>
      <c r="Q21" s="127"/>
      <c r="R21" s="128"/>
      <c r="S21" s="123"/>
      <c r="T21" s="127"/>
      <c r="U21" s="128"/>
      <c r="V21" s="123"/>
      <c r="W21" s="127"/>
      <c r="X21" s="128"/>
      <c r="Y21" s="123"/>
      <c r="Z21" s="127"/>
      <c r="AA21" s="128"/>
      <c r="AB21" s="123"/>
      <c r="AC21" s="127"/>
      <c r="AD21" s="128"/>
      <c r="AE21" s="123"/>
      <c r="AF21" s="127"/>
      <c r="AG21" s="128"/>
      <c r="AH21" s="123"/>
      <c r="AI21" s="127"/>
      <c r="AJ21" s="128"/>
      <c r="AK21" s="127"/>
      <c r="AL21" s="127"/>
      <c r="AM21" s="128"/>
    </row>
    <row r="22" spans="1:39" x14ac:dyDescent="0.3">
      <c r="A22" s="24">
        <v>2034</v>
      </c>
      <c r="B22" s="123">
        <v>969.23</v>
      </c>
      <c r="C22" s="127">
        <v>1487.32</v>
      </c>
      <c r="D22" s="127">
        <v>2351.4900000000002</v>
      </c>
      <c r="E22" s="123">
        <v>509.88521570000006</v>
      </c>
      <c r="F22" s="127">
        <v>573.98553324</v>
      </c>
      <c r="G22" s="128">
        <v>754.62994908000007</v>
      </c>
      <c r="H22" s="128">
        <v>162.49661116427421</v>
      </c>
      <c r="I22" s="128"/>
      <c r="J22" s="123"/>
      <c r="K22" s="127"/>
      <c r="L22" s="128"/>
      <c r="M22" s="123"/>
      <c r="N22" s="127"/>
      <c r="O22" s="128"/>
      <c r="P22" s="123"/>
      <c r="Q22" s="127"/>
      <c r="R22" s="128"/>
      <c r="S22" s="123"/>
      <c r="T22" s="127"/>
      <c r="U22" s="128"/>
      <c r="V22" s="123"/>
      <c r="W22" s="127"/>
      <c r="X22" s="128"/>
      <c r="Y22" s="123"/>
      <c r="Z22" s="127"/>
      <c r="AA22" s="128"/>
      <c r="AB22" s="123"/>
      <c r="AC22" s="127"/>
      <c r="AD22" s="128"/>
      <c r="AE22" s="123"/>
      <c r="AF22" s="127"/>
      <c r="AG22" s="128"/>
      <c r="AH22" s="123"/>
      <c r="AI22" s="127"/>
      <c r="AJ22" s="128"/>
      <c r="AK22" s="127"/>
      <c r="AL22" s="127"/>
      <c r="AM22" s="128"/>
    </row>
    <row r="23" spans="1:39" x14ac:dyDescent="0.3">
      <c r="A23" s="24">
        <v>2035</v>
      </c>
      <c r="B23" s="123">
        <v>886.83</v>
      </c>
      <c r="C23" s="127">
        <v>1403.375</v>
      </c>
      <c r="D23" s="127">
        <v>2294.84</v>
      </c>
      <c r="E23" s="123">
        <v>506.97129420000005</v>
      </c>
      <c r="F23" s="127">
        <v>573.98553324</v>
      </c>
      <c r="G23" s="128">
        <v>751.7168783599999</v>
      </c>
      <c r="H23" s="128">
        <v>150.52838267697163</v>
      </c>
      <c r="I23" s="128"/>
      <c r="J23" s="123">
        <v>585.51822900000002</v>
      </c>
      <c r="K23" s="127">
        <v>799.37249400000007</v>
      </c>
      <c r="L23" s="128">
        <v>1069.2713250000004</v>
      </c>
      <c r="M23" s="123"/>
      <c r="N23" s="127"/>
      <c r="O23" s="128"/>
      <c r="P23" s="123"/>
      <c r="Q23" s="127"/>
      <c r="R23" s="128"/>
      <c r="S23" s="123">
        <v>389.34123599999992</v>
      </c>
      <c r="T23" s="127">
        <v>544.52350799999999</v>
      </c>
      <c r="U23" s="128">
        <v>861.81583199999989</v>
      </c>
      <c r="V23" s="123">
        <v>414.43481700000007</v>
      </c>
      <c r="W23" s="127">
        <v>579.61880100000008</v>
      </c>
      <c r="X23" s="128">
        <v>917.36105400000008</v>
      </c>
      <c r="Y23" s="123">
        <v>806.3935919999999</v>
      </c>
      <c r="Z23" s="127">
        <v>895.06917599999986</v>
      </c>
      <c r="AA23" s="128">
        <v>861.81583199999989</v>
      </c>
      <c r="AB23" s="123"/>
      <c r="AC23" s="127"/>
      <c r="AD23" s="128"/>
      <c r="AE23" s="123"/>
      <c r="AF23" s="127"/>
      <c r="AG23" s="128"/>
      <c r="AH23" s="123">
        <v>1263.9764480000001</v>
      </c>
      <c r="AI23" s="127">
        <v>943.65748960000008</v>
      </c>
      <c r="AJ23" s="128">
        <v>848.42665600000009</v>
      </c>
      <c r="AK23" s="127"/>
      <c r="AL23" s="127"/>
      <c r="AM23" s="128"/>
    </row>
    <row r="24" spans="1:39" x14ac:dyDescent="0.3">
      <c r="A24" s="24">
        <v>2036</v>
      </c>
      <c r="B24" s="123">
        <v>876.53</v>
      </c>
      <c r="C24" s="127">
        <v>1377.625</v>
      </c>
      <c r="D24" s="127">
        <v>2250.5500000000002</v>
      </c>
      <c r="E24" s="123">
        <v>506.97129420000005</v>
      </c>
      <c r="F24" s="127">
        <v>573.98553324</v>
      </c>
      <c r="G24" s="128">
        <v>754.62994908000007</v>
      </c>
      <c r="H24" s="128">
        <v>141.86619261440308</v>
      </c>
      <c r="I24" s="128"/>
      <c r="J24" s="123"/>
      <c r="K24" s="127"/>
      <c r="L24" s="128"/>
      <c r="M24" s="123"/>
      <c r="N24" s="127"/>
      <c r="O24" s="128"/>
      <c r="P24" s="123"/>
      <c r="Q24" s="127"/>
      <c r="R24" s="128"/>
      <c r="S24" s="123"/>
      <c r="T24" s="127"/>
      <c r="U24" s="128"/>
      <c r="V24" s="123"/>
      <c r="W24" s="127"/>
      <c r="X24" s="128"/>
      <c r="Y24" s="123"/>
      <c r="Z24" s="127"/>
      <c r="AA24" s="128"/>
      <c r="AB24" s="123"/>
      <c r="AC24" s="127"/>
      <c r="AD24" s="128"/>
      <c r="AE24" s="123"/>
      <c r="AF24" s="127"/>
      <c r="AG24" s="128"/>
      <c r="AH24" s="123"/>
      <c r="AI24" s="127"/>
      <c r="AJ24" s="128"/>
      <c r="AK24" s="127"/>
      <c r="AL24" s="127"/>
      <c r="AM24" s="128"/>
    </row>
    <row r="25" spans="1:39" x14ac:dyDescent="0.3">
      <c r="A25" s="24">
        <v>2037</v>
      </c>
      <c r="B25" s="123">
        <v>866.23</v>
      </c>
      <c r="C25" s="127">
        <v>1352.39</v>
      </c>
      <c r="D25" s="127">
        <v>2205.23</v>
      </c>
      <c r="E25" s="123">
        <v>506.97129420000005</v>
      </c>
      <c r="F25" s="127">
        <v>573.98553324</v>
      </c>
      <c r="G25" s="128">
        <v>751.7168783599999</v>
      </c>
      <c r="H25" s="128">
        <v>134.82418711814501</v>
      </c>
      <c r="I25" s="128"/>
      <c r="J25" s="123"/>
      <c r="K25" s="127"/>
      <c r="L25" s="128"/>
      <c r="M25" s="123"/>
      <c r="N25" s="127"/>
      <c r="O25" s="128"/>
      <c r="P25" s="123"/>
      <c r="Q25" s="127"/>
      <c r="R25" s="128"/>
      <c r="S25" s="123"/>
      <c r="T25" s="127"/>
      <c r="U25" s="128"/>
      <c r="V25" s="123"/>
      <c r="W25" s="127"/>
      <c r="X25" s="128"/>
      <c r="Y25" s="123"/>
      <c r="Z25" s="127"/>
      <c r="AA25" s="128"/>
      <c r="AB25" s="123"/>
      <c r="AC25" s="127"/>
      <c r="AD25" s="128"/>
      <c r="AE25" s="123"/>
      <c r="AF25" s="127"/>
      <c r="AG25" s="128"/>
      <c r="AH25" s="123"/>
      <c r="AI25" s="127"/>
      <c r="AJ25" s="128"/>
      <c r="AK25" s="127"/>
      <c r="AL25" s="127"/>
      <c r="AM25" s="128"/>
    </row>
    <row r="26" spans="1:39" x14ac:dyDescent="0.3">
      <c r="A26" s="24">
        <v>2038</v>
      </c>
      <c r="B26" s="123">
        <v>856.96</v>
      </c>
      <c r="C26" s="127">
        <v>1326.125</v>
      </c>
      <c r="D26" s="127">
        <v>2160.94</v>
      </c>
      <c r="E26" s="123">
        <v>506.97129420000005</v>
      </c>
      <c r="F26" s="127">
        <v>573.98553324</v>
      </c>
      <c r="G26" s="128">
        <v>751.7168783599999</v>
      </c>
      <c r="H26" s="128">
        <v>127.35225297509506</v>
      </c>
      <c r="I26" s="128"/>
      <c r="J26" s="123"/>
      <c r="K26" s="127"/>
      <c r="L26" s="128"/>
      <c r="M26" s="123"/>
      <c r="N26" s="127"/>
      <c r="O26" s="128"/>
      <c r="P26" s="123"/>
      <c r="Q26" s="127"/>
      <c r="R26" s="128"/>
      <c r="S26" s="123"/>
      <c r="T26" s="127"/>
      <c r="U26" s="128"/>
      <c r="V26" s="123"/>
      <c r="W26" s="127"/>
      <c r="X26" s="128"/>
      <c r="Y26" s="123"/>
      <c r="Z26" s="127"/>
      <c r="AA26" s="128"/>
      <c r="AB26" s="123"/>
      <c r="AC26" s="127"/>
      <c r="AD26" s="128"/>
      <c r="AE26" s="123"/>
      <c r="AF26" s="127"/>
      <c r="AG26" s="128"/>
      <c r="AH26" s="123"/>
      <c r="AI26" s="127"/>
      <c r="AJ26" s="128"/>
      <c r="AK26" s="127"/>
      <c r="AL26" s="127"/>
      <c r="AM26" s="128"/>
    </row>
    <row r="27" spans="1:39" x14ac:dyDescent="0.3">
      <c r="A27" s="24">
        <v>2039</v>
      </c>
      <c r="B27" s="123">
        <v>846.66</v>
      </c>
      <c r="C27" s="127">
        <v>1300.8900000000001</v>
      </c>
      <c r="D27" s="127">
        <v>2115.62</v>
      </c>
      <c r="E27" s="123">
        <v>506.97129420000005</v>
      </c>
      <c r="F27" s="127">
        <v>573.98553324</v>
      </c>
      <c r="G27" s="128">
        <v>748.80295685999988</v>
      </c>
      <c r="H27" s="128">
        <v>119.11999155931775</v>
      </c>
      <c r="I27" s="128"/>
      <c r="J27" s="123"/>
      <c r="K27" s="127"/>
      <c r="L27" s="128"/>
      <c r="M27" s="123"/>
      <c r="N27" s="127"/>
      <c r="O27" s="128"/>
      <c r="P27" s="123"/>
      <c r="Q27" s="127"/>
      <c r="R27" s="128"/>
      <c r="S27" s="123"/>
      <c r="T27" s="127"/>
      <c r="U27" s="128"/>
      <c r="V27" s="123"/>
      <c r="W27" s="127"/>
      <c r="X27" s="128"/>
      <c r="Y27" s="123"/>
      <c r="Z27" s="127"/>
      <c r="AA27" s="128"/>
      <c r="AB27" s="123"/>
      <c r="AC27" s="127"/>
      <c r="AD27" s="128"/>
      <c r="AE27" s="123"/>
      <c r="AF27" s="127"/>
      <c r="AG27" s="128"/>
      <c r="AH27" s="123"/>
      <c r="AI27" s="127"/>
      <c r="AJ27" s="128"/>
      <c r="AK27" s="127"/>
      <c r="AL27" s="127"/>
      <c r="AM27" s="128"/>
    </row>
    <row r="28" spans="1:39" x14ac:dyDescent="0.3">
      <c r="A28" s="24">
        <v>2040</v>
      </c>
      <c r="B28" s="123">
        <v>837.39</v>
      </c>
      <c r="C28" s="127">
        <v>1275.1400000000001</v>
      </c>
      <c r="D28" s="127">
        <v>2071.33</v>
      </c>
      <c r="E28" s="123">
        <v>506.97129420000005</v>
      </c>
      <c r="F28" s="127">
        <v>573.98553324</v>
      </c>
      <c r="G28" s="128">
        <v>748.80295685999988</v>
      </c>
      <c r="H28" s="128">
        <v>114.02856925530608</v>
      </c>
      <c r="I28" s="128"/>
      <c r="J28" s="123">
        <v>520.62452100000007</v>
      </c>
      <c r="K28" s="127">
        <v>713.8307880000001</v>
      </c>
      <c r="L28" s="128">
        <v>958.65705000000014</v>
      </c>
      <c r="M28" s="123"/>
      <c r="N28" s="127">
        <v>755.05297839124546</v>
      </c>
      <c r="O28" s="128"/>
      <c r="P28" s="123"/>
      <c r="Q28" s="127">
        <v>496.8</v>
      </c>
      <c r="R28" s="128"/>
      <c r="S28" s="123">
        <v>339.46121999999997</v>
      </c>
      <c r="T28" s="127">
        <v>478.01681999999994</v>
      </c>
      <c r="U28" s="128">
        <v>763.44135600000004</v>
      </c>
      <c r="V28" s="123">
        <v>361.33996500000006</v>
      </c>
      <c r="W28" s="127">
        <v>508.82566500000013</v>
      </c>
      <c r="X28" s="128">
        <v>812.646207</v>
      </c>
      <c r="Y28" s="123">
        <v>796.69470000000001</v>
      </c>
      <c r="Z28" s="127">
        <v>865.97249999999974</v>
      </c>
      <c r="AA28" s="128">
        <v>763.44135600000004</v>
      </c>
      <c r="AB28" s="123"/>
      <c r="AC28" s="127"/>
      <c r="AD28" s="128"/>
      <c r="AE28" s="123">
        <v>303.36383999999998</v>
      </c>
      <c r="AF28" s="127">
        <v>420.04223999999999</v>
      </c>
      <c r="AG28" s="128">
        <v>665.06688000000008</v>
      </c>
      <c r="AH28" s="123">
        <v>1229.3569120000002</v>
      </c>
      <c r="AI28" s="127">
        <v>870.06934560000013</v>
      </c>
      <c r="AJ28" s="128">
        <v>705.57867520000002</v>
      </c>
      <c r="AK28" s="127"/>
      <c r="AL28" s="127"/>
      <c r="AM28" s="128"/>
    </row>
    <row r="29" spans="1:39" x14ac:dyDescent="0.3">
      <c r="A29" s="24">
        <v>2041</v>
      </c>
      <c r="B29" s="123">
        <v>827.09</v>
      </c>
      <c r="C29" s="127">
        <v>1249.3900000000001</v>
      </c>
      <c r="D29" s="127">
        <v>2027.04</v>
      </c>
      <c r="E29" s="123">
        <v>506.97129420000005</v>
      </c>
      <c r="F29" s="127">
        <v>573.98553324</v>
      </c>
      <c r="G29" s="128">
        <v>748.80295685999988</v>
      </c>
      <c r="H29" s="128">
        <v>107.96647272727252</v>
      </c>
      <c r="I29" s="128"/>
      <c r="J29" s="123"/>
      <c r="K29" s="127"/>
      <c r="L29" s="128"/>
      <c r="M29" s="123"/>
      <c r="N29" s="127"/>
      <c r="O29" s="128"/>
      <c r="P29" s="123"/>
      <c r="Q29" s="127"/>
      <c r="R29" s="128"/>
      <c r="S29" s="123"/>
      <c r="T29" s="127"/>
      <c r="U29" s="128"/>
      <c r="V29" s="123"/>
      <c r="W29" s="127"/>
      <c r="X29" s="128"/>
      <c r="Y29" s="123"/>
      <c r="Z29" s="127"/>
      <c r="AA29" s="128"/>
      <c r="AB29" s="123"/>
      <c r="AC29" s="127"/>
      <c r="AD29" s="128"/>
      <c r="AE29" s="123"/>
      <c r="AF29" s="127"/>
      <c r="AG29" s="128"/>
      <c r="AH29" s="123"/>
      <c r="AI29" s="127"/>
      <c r="AJ29" s="128"/>
      <c r="AK29" s="127"/>
      <c r="AL29" s="127"/>
      <c r="AM29" s="128"/>
    </row>
    <row r="30" spans="1:39" x14ac:dyDescent="0.3">
      <c r="A30" s="24">
        <v>2042</v>
      </c>
      <c r="B30" s="123">
        <v>816.79000000000008</v>
      </c>
      <c r="C30" s="127">
        <v>1224.155</v>
      </c>
      <c r="D30" s="127">
        <v>1981.72</v>
      </c>
      <c r="E30" s="123">
        <v>506.97129420000005</v>
      </c>
      <c r="F30" s="127">
        <v>573.98553324</v>
      </c>
      <c r="G30" s="128">
        <v>748.80295685999988</v>
      </c>
      <c r="H30" s="128">
        <v>102.82066804073109</v>
      </c>
      <c r="I30" s="128"/>
      <c r="J30" s="123"/>
      <c r="K30" s="127"/>
      <c r="L30" s="128"/>
      <c r="M30" s="123"/>
      <c r="N30" s="127"/>
      <c r="O30" s="128"/>
      <c r="P30" s="123"/>
      <c r="Q30" s="127"/>
      <c r="R30" s="128"/>
      <c r="S30" s="123"/>
      <c r="T30" s="127"/>
      <c r="U30" s="128"/>
      <c r="V30" s="123"/>
      <c r="W30" s="127"/>
      <c r="X30" s="128"/>
      <c r="Y30" s="123"/>
      <c r="Z30" s="127"/>
      <c r="AA30" s="128"/>
      <c r="AB30" s="123"/>
      <c r="AC30" s="127"/>
      <c r="AD30" s="128"/>
      <c r="AE30" s="123"/>
      <c r="AF30" s="127"/>
      <c r="AG30" s="128"/>
      <c r="AH30" s="123"/>
      <c r="AI30" s="127"/>
      <c r="AJ30" s="128"/>
      <c r="AK30" s="127"/>
      <c r="AL30" s="127"/>
      <c r="AM30" s="128"/>
    </row>
    <row r="31" spans="1:39" x14ac:dyDescent="0.3">
      <c r="A31" s="24">
        <v>2043</v>
      </c>
      <c r="B31" s="123">
        <v>807.52</v>
      </c>
      <c r="C31" s="127">
        <v>1198.405</v>
      </c>
      <c r="D31" s="127">
        <v>1937.43</v>
      </c>
      <c r="E31" s="123">
        <v>506.97129420000005</v>
      </c>
      <c r="F31" s="127">
        <v>573.98553324</v>
      </c>
      <c r="G31" s="128">
        <v>748.80295685999988</v>
      </c>
      <c r="H31" s="128">
        <v>97.134117776959854</v>
      </c>
      <c r="I31" s="128"/>
      <c r="J31" s="123"/>
      <c r="K31" s="127"/>
      <c r="L31" s="128"/>
      <c r="M31" s="123"/>
      <c r="N31" s="127"/>
      <c r="O31" s="128"/>
      <c r="P31" s="123"/>
      <c r="Q31" s="127"/>
      <c r="R31" s="128"/>
      <c r="S31" s="123"/>
      <c r="T31" s="127"/>
      <c r="U31" s="128"/>
      <c r="V31" s="123"/>
      <c r="W31" s="127"/>
      <c r="X31" s="128"/>
      <c r="Y31" s="123"/>
      <c r="Z31" s="127"/>
      <c r="AA31" s="128"/>
      <c r="AB31" s="123"/>
      <c r="AC31" s="127"/>
      <c r="AD31" s="128"/>
      <c r="AE31" s="123"/>
      <c r="AF31" s="127"/>
      <c r="AG31" s="128"/>
      <c r="AH31" s="123"/>
      <c r="AI31" s="127"/>
      <c r="AJ31" s="128"/>
      <c r="AK31" s="127"/>
      <c r="AL31" s="127"/>
      <c r="AM31" s="128"/>
    </row>
    <row r="32" spans="1:39" x14ac:dyDescent="0.3">
      <c r="A32" s="24">
        <v>2044</v>
      </c>
      <c r="B32" s="123">
        <v>797.22</v>
      </c>
      <c r="C32" s="127">
        <v>1172.655</v>
      </c>
      <c r="D32" s="127">
        <v>1892.1100000000001</v>
      </c>
      <c r="E32" s="123">
        <v>506.97129420000005</v>
      </c>
      <c r="F32" s="127">
        <v>573.98553324</v>
      </c>
      <c r="G32" s="128">
        <v>748.80295685999988</v>
      </c>
      <c r="H32" s="128">
        <v>95.80123636363632</v>
      </c>
      <c r="I32" s="128"/>
      <c r="J32" s="123"/>
      <c r="K32" s="127"/>
      <c r="L32" s="128"/>
      <c r="M32" s="123"/>
      <c r="N32" s="127"/>
      <c r="O32" s="128"/>
      <c r="P32" s="123"/>
      <c r="Q32" s="127"/>
      <c r="R32" s="128"/>
      <c r="S32" s="123"/>
      <c r="T32" s="127"/>
      <c r="U32" s="128"/>
      <c r="V32" s="123"/>
      <c r="W32" s="127"/>
      <c r="X32" s="128"/>
      <c r="Y32" s="123"/>
      <c r="Z32" s="127"/>
      <c r="AA32" s="128"/>
      <c r="AB32" s="123"/>
      <c r="AC32" s="127"/>
      <c r="AD32" s="128"/>
      <c r="AE32" s="123"/>
      <c r="AF32" s="127"/>
      <c r="AG32" s="128"/>
      <c r="AH32" s="123"/>
      <c r="AI32" s="127"/>
      <c r="AJ32" s="128"/>
      <c r="AK32" s="127"/>
      <c r="AL32" s="127"/>
      <c r="AM32" s="128"/>
    </row>
    <row r="33" spans="1:39" x14ac:dyDescent="0.3">
      <c r="A33" s="24">
        <v>2045</v>
      </c>
      <c r="B33" s="123">
        <v>787.95</v>
      </c>
      <c r="C33" s="127">
        <v>1146.905</v>
      </c>
      <c r="D33" s="127">
        <v>1847.82</v>
      </c>
      <c r="E33" s="123">
        <v>506.97129420000005</v>
      </c>
      <c r="F33" s="127">
        <v>573.98553324</v>
      </c>
      <c r="G33" s="128">
        <v>748.80295685999988</v>
      </c>
      <c r="H33" s="128">
        <v>92.207894785915769</v>
      </c>
      <c r="I33" s="128"/>
      <c r="J33" s="123">
        <v>469.00452600000006</v>
      </c>
      <c r="K33" s="127">
        <v>644.51250900000002</v>
      </c>
      <c r="L33" s="128">
        <v>868.69077300000015</v>
      </c>
      <c r="M33" s="123"/>
      <c r="N33" s="127"/>
      <c r="O33" s="128"/>
      <c r="P33" s="123"/>
      <c r="Q33" s="127"/>
      <c r="R33" s="128"/>
      <c r="S33" s="123">
        <v>300.66565199999997</v>
      </c>
      <c r="T33" s="127">
        <v>426.75124799999992</v>
      </c>
      <c r="U33" s="128">
        <v>687.23577599999987</v>
      </c>
      <c r="V33" s="123">
        <v>320.04396900000006</v>
      </c>
      <c r="W33" s="127">
        <v>454.25595600000014</v>
      </c>
      <c r="X33" s="128">
        <v>731.52907200000016</v>
      </c>
      <c r="Y33" s="123">
        <v>681.69355199999995</v>
      </c>
      <c r="Z33" s="127">
        <v>727.41690000000006</v>
      </c>
      <c r="AA33" s="128">
        <v>687.23577599999987</v>
      </c>
      <c r="AB33" s="123"/>
      <c r="AC33" s="127"/>
      <c r="AD33" s="128"/>
      <c r="AE33" s="123"/>
      <c r="AF33" s="127"/>
      <c r="AG33" s="128"/>
      <c r="AH33" s="123">
        <v>1112.4776208000001</v>
      </c>
      <c r="AI33" s="127">
        <v>753.19466880000004</v>
      </c>
      <c r="AJ33" s="128">
        <v>679.60652480000022</v>
      </c>
      <c r="AK33" s="127"/>
      <c r="AL33" s="127"/>
      <c r="AM33" s="128"/>
    </row>
    <row r="34" spans="1:39" x14ac:dyDescent="0.3">
      <c r="A34" s="24">
        <v>2046</v>
      </c>
      <c r="B34" s="123">
        <v>777.65</v>
      </c>
      <c r="C34" s="127">
        <v>1121.67</v>
      </c>
      <c r="D34" s="127">
        <v>1802.5</v>
      </c>
      <c r="E34" s="123">
        <v>506.97129420000005</v>
      </c>
      <c r="F34" s="127">
        <v>573.98553324</v>
      </c>
      <c r="G34" s="128">
        <v>748.80295685999988</v>
      </c>
      <c r="H34" s="128">
        <v>89.232254987117969</v>
      </c>
      <c r="I34" s="128"/>
      <c r="J34" s="123"/>
      <c r="K34" s="127"/>
      <c r="L34" s="128"/>
      <c r="M34" s="123"/>
      <c r="N34" s="127"/>
      <c r="O34" s="128"/>
      <c r="P34" s="123"/>
      <c r="Q34" s="127"/>
      <c r="R34" s="128"/>
      <c r="S34" s="123"/>
      <c r="T34" s="127"/>
      <c r="U34" s="128"/>
      <c r="V34" s="123"/>
      <c r="W34" s="127"/>
      <c r="X34" s="128"/>
      <c r="Y34" s="123"/>
      <c r="Z34" s="127"/>
      <c r="AA34" s="128"/>
      <c r="AB34" s="123"/>
      <c r="AC34" s="127"/>
      <c r="AD34" s="128"/>
      <c r="AE34" s="123"/>
      <c r="AF34" s="127"/>
      <c r="AG34" s="128"/>
      <c r="AH34" s="123"/>
      <c r="AI34" s="127"/>
      <c r="AJ34" s="128"/>
      <c r="AK34" s="127"/>
      <c r="AL34" s="127"/>
      <c r="AM34" s="128"/>
    </row>
    <row r="35" spans="1:39" x14ac:dyDescent="0.3">
      <c r="A35" s="24">
        <v>2047</v>
      </c>
      <c r="B35" s="123">
        <v>768.38</v>
      </c>
      <c r="C35" s="127">
        <v>1095.92</v>
      </c>
      <c r="D35" s="127">
        <v>1758.21</v>
      </c>
      <c r="E35" s="123">
        <v>506.97129420000005</v>
      </c>
      <c r="F35" s="127">
        <v>573.98553324</v>
      </c>
      <c r="G35" s="128">
        <v>748.80295685999988</v>
      </c>
      <c r="H35" s="128">
        <v>87.116472481903855</v>
      </c>
      <c r="I35" s="128"/>
      <c r="J35" s="123"/>
      <c r="K35" s="127"/>
      <c r="L35" s="128"/>
      <c r="M35" s="123"/>
      <c r="N35" s="127"/>
      <c r="O35" s="128"/>
      <c r="P35" s="123"/>
      <c r="Q35" s="127"/>
      <c r="R35" s="128"/>
      <c r="S35" s="123"/>
      <c r="T35" s="127"/>
      <c r="U35" s="128"/>
      <c r="V35" s="123"/>
      <c r="W35" s="127"/>
      <c r="X35" s="128"/>
      <c r="Y35" s="123"/>
      <c r="Z35" s="127"/>
      <c r="AA35" s="128"/>
      <c r="AB35" s="123"/>
      <c r="AC35" s="127"/>
      <c r="AD35" s="128"/>
      <c r="AE35" s="123"/>
      <c r="AF35" s="127"/>
      <c r="AG35" s="128"/>
      <c r="AH35" s="123"/>
      <c r="AI35" s="127"/>
      <c r="AJ35" s="128"/>
      <c r="AK35" s="127"/>
      <c r="AL35" s="127"/>
      <c r="AM35" s="128"/>
    </row>
    <row r="36" spans="1:39" x14ac:dyDescent="0.3">
      <c r="A36" s="24">
        <v>2048</v>
      </c>
      <c r="B36" s="123">
        <v>758.08</v>
      </c>
      <c r="C36" s="127">
        <v>1070.6849999999999</v>
      </c>
      <c r="D36" s="127">
        <v>1713.92</v>
      </c>
      <c r="E36" s="123">
        <v>506.97129420000005</v>
      </c>
      <c r="F36" s="127">
        <v>573.98553324</v>
      </c>
      <c r="G36" s="128">
        <v>748.80295685999988</v>
      </c>
      <c r="H36" s="128">
        <v>85.331088602625286</v>
      </c>
      <c r="I36" s="128"/>
      <c r="J36" s="123"/>
      <c r="K36" s="127"/>
      <c r="L36" s="128"/>
      <c r="M36" s="123"/>
      <c r="N36" s="127"/>
      <c r="O36" s="128"/>
      <c r="P36" s="123"/>
      <c r="Q36" s="127"/>
      <c r="R36" s="128"/>
      <c r="S36" s="123"/>
      <c r="T36" s="127"/>
      <c r="U36" s="128"/>
      <c r="V36" s="123"/>
      <c r="W36" s="127"/>
      <c r="X36" s="128"/>
      <c r="Y36" s="123"/>
      <c r="Z36" s="127"/>
      <c r="AA36" s="128"/>
      <c r="AB36" s="123"/>
      <c r="AC36" s="127"/>
      <c r="AD36" s="128"/>
      <c r="AE36" s="123"/>
      <c r="AF36" s="127"/>
      <c r="AG36" s="128"/>
      <c r="AH36" s="123"/>
      <c r="AI36" s="127"/>
      <c r="AJ36" s="128"/>
      <c r="AK36" s="127"/>
      <c r="AL36" s="127"/>
      <c r="AM36" s="128"/>
    </row>
    <row r="37" spans="1:39" x14ac:dyDescent="0.3">
      <c r="A37" s="24">
        <v>2049</v>
      </c>
      <c r="B37" s="123">
        <v>747.78</v>
      </c>
      <c r="C37" s="127">
        <v>1044.9349999999999</v>
      </c>
      <c r="D37" s="127">
        <v>1668.6000000000001</v>
      </c>
      <c r="E37" s="123">
        <v>506.97129420000005</v>
      </c>
      <c r="F37" s="127">
        <v>573.98553324</v>
      </c>
      <c r="G37" s="128">
        <v>748.80295685999988</v>
      </c>
      <c r="H37" s="128">
        <v>82.025050177892084</v>
      </c>
      <c r="I37" s="128"/>
      <c r="J37" s="123"/>
      <c r="K37" s="127"/>
      <c r="L37" s="128"/>
      <c r="M37" s="123"/>
      <c r="N37" s="127"/>
      <c r="O37" s="128"/>
      <c r="P37" s="123"/>
      <c r="Q37" s="127"/>
      <c r="R37" s="128"/>
      <c r="S37" s="123"/>
      <c r="T37" s="127"/>
      <c r="U37" s="128"/>
      <c r="V37" s="123"/>
      <c r="W37" s="127"/>
      <c r="X37" s="128"/>
      <c r="Y37" s="123"/>
      <c r="Z37" s="127"/>
      <c r="AA37" s="128"/>
      <c r="AB37" s="123"/>
      <c r="AC37" s="127"/>
      <c r="AD37" s="128"/>
      <c r="AE37" s="123"/>
      <c r="AF37" s="127"/>
      <c r="AG37" s="128"/>
      <c r="AH37" s="123"/>
      <c r="AI37" s="127"/>
      <c r="AJ37" s="128"/>
      <c r="AK37" s="127"/>
      <c r="AL37" s="127"/>
      <c r="AM37" s="128"/>
    </row>
    <row r="38" spans="1:39" ht="15" thickBot="1" x14ac:dyDescent="0.35">
      <c r="A38" s="25">
        <v>2050</v>
      </c>
      <c r="B38" s="124">
        <v>738.51</v>
      </c>
      <c r="C38" s="129">
        <v>1019.7</v>
      </c>
      <c r="D38" s="129">
        <v>1624.31</v>
      </c>
      <c r="E38" s="124">
        <v>506.97129420000005</v>
      </c>
      <c r="F38" s="129">
        <v>573.98553324</v>
      </c>
      <c r="G38" s="130">
        <v>748.80295685999988</v>
      </c>
      <c r="H38" s="130">
        <v>80.2396662986135</v>
      </c>
      <c r="I38" s="130">
        <v>699.10999091999986</v>
      </c>
      <c r="J38" s="124">
        <v>426.23367300000007</v>
      </c>
      <c r="K38" s="129">
        <v>585.51822900000002</v>
      </c>
      <c r="L38" s="130">
        <v>791.99820900000009</v>
      </c>
      <c r="M38" s="124">
        <v>584.96386447469786</v>
      </c>
      <c r="N38" s="129">
        <v>686.67909568131438</v>
      </c>
      <c r="O38" s="130">
        <v>914.16994256405474</v>
      </c>
      <c r="P38" s="124">
        <v>388.8</v>
      </c>
      <c r="Q38" s="129">
        <v>442.8</v>
      </c>
      <c r="R38" s="130">
        <v>637.20000000000005</v>
      </c>
      <c r="S38" s="124">
        <v>272.95453199999997</v>
      </c>
      <c r="T38" s="129">
        <v>387.95567999999997</v>
      </c>
      <c r="U38" s="130">
        <v>627.65686800000003</v>
      </c>
      <c r="V38" s="124">
        <v>290.54682900000006</v>
      </c>
      <c r="W38" s="129">
        <v>412.95996000000002</v>
      </c>
      <c r="X38" s="130">
        <v>668.11022100000002</v>
      </c>
      <c r="Y38" s="124">
        <v>599.94574799999987</v>
      </c>
      <c r="Z38" s="129">
        <v>647.05465200000003</v>
      </c>
      <c r="AA38" s="130">
        <v>627.65686800000003</v>
      </c>
      <c r="AB38" s="124">
        <v>695.20879999999988</v>
      </c>
      <c r="AC38" s="129">
        <v>1304.7319</v>
      </c>
      <c r="AD38" s="130">
        <v>1672.3903999999998</v>
      </c>
      <c r="AE38" s="124">
        <v>245.02463999999998</v>
      </c>
      <c r="AF38" s="129">
        <v>338.36735999999996</v>
      </c>
      <c r="AG38" s="130">
        <v>548.38847999999996</v>
      </c>
      <c r="AH38" s="124">
        <v>1069.1899344000001</v>
      </c>
      <c r="AI38" s="129">
        <v>705.57867520000002</v>
      </c>
      <c r="AJ38" s="130">
        <v>662.2921424000001</v>
      </c>
      <c r="AK38" s="129"/>
      <c r="AL38" s="129"/>
      <c r="AM38" s="130"/>
    </row>
    <row r="40" spans="1:39" x14ac:dyDescent="0.3">
      <c r="A40" s="36" t="s">
        <v>24</v>
      </c>
    </row>
    <row r="41" spans="1:39" x14ac:dyDescent="0.3">
      <c r="A41" s="36" t="s">
        <v>60</v>
      </c>
    </row>
    <row r="42" spans="1:39" x14ac:dyDescent="0.3">
      <c r="A42" s="36" t="s">
        <v>308</v>
      </c>
    </row>
  </sheetData>
  <mergeCells count="13">
    <mergeCell ref="AB1:AD1"/>
    <mergeCell ref="AE1:AG1"/>
    <mergeCell ref="AH1:AJ1"/>
    <mergeCell ref="AK1:AM1"/>
    <mergeCell ref="A1:A2"/>
    <mergeCell ref="B1:D1"/>
    <mergeCell ref="E1:G1"/>
    <mergeCell ref="J1:L1"/>
    <mergeCell ref="S1:U1"/>
    <mergeCell ref="V1:X1"/>
    <mergeCell ref="Y1:AA1"/>
    <mergeCell ref="M1:O1"/>
    <mergeCell ref="P1:R1"/>
  </mergeCells>
  <pageMargins left="0.25" right="0.25" top="0.75" bottom="0.75" header="0.3" footer="0.3"/>
  <pageSetup paperSize="9" scale="38" orientation="landscape" r:id="rId1"/>
  <headerFooter>
    <oddFooter>&amp;C_x000D_&amp;1#&amp;"Calibri"&amp;7&amp;K000000 Classification: In-Confidence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C24BD-EC6B-4AB3-B912-BDBCFAE74522}">
  <sheetPr>
    <tabColor rgb="FFFFC000"/>
    <pageSetUpPr fitToPage="1"/>
  </sheetPr>
  <dimension ref="A1:AE42"/>
  <sheetViews>
    <sheetView zoomScale="70" zoomScaleNormal="70" workbookViewId="0">
      <selection activeCell="O39" sqref="O39"/>
    </sheetView>
  </sheetViews>
  <sheetFormatPr defaultRowHeight="14.4" x14ac:dyDescent="0.3"/>
  <cols>
    <col min="2" max="2" width="7.44140625" bestFit="1" customWidth="1"/>
    <col min="3" max="3" width="7.77734375" bestFit="1" customWidth="1"/>
    <col min="4" max="4" width="7.44140625" bestFit="1" customWidth="1"/>
    <col min="5" max="6" width="9" bestFit="1" customWidth="1"/>
    <col min="7" max="7" width="7.88671875" bestFit="1" customWidth="1"/>
    <col min="8" max="8" width="7.44140625" bestFit="1" customWidth="1"/>
    <col min="9" max="10" width="7.88671875" bestFit="1" customWidth="1"/>
    <col min="11" max="11" width="6.6640625" bestFit="1" customWidth="1"/>
    <col min="12" max="12" width="8.5546875" bestFit="1" customWidth="1"/>
    <col min="13" max="13" width="7.88671875" bestFit="1" customWidth="1"/>
    <col min="14" max="14" width="6.6640625" bestFit="1" customWidth="1"/>
    <col min="15" max="15" width="7.77734375" bestFit="1" customWidth="1"/>
    <col min="16" max="16" width="7.44140625" bestFit="1" customWidth="1"/>
    <col min="17" max="17" width="15.109375" bestFit="1" customWidth="1"/>
    <col min="18" max="18" width="6.6640625" bestFit="1" customWidth="1"/>
    <col min="19" max="19" width="7.77734375" bestFit="1" customWidth="1"/>
    <col min="20" max="20" width="7.44140625" bestFit="1" customWidth="1"/>
    <col min="21" max="22" width="31.21875" bestFit="1" customWidth="1"/>
    <col min="23" max="23" width="7.44140625" bestFit="1" customWidth="1"/>
    <col min="24" max="24" width="6.6640625" bestFit="1" customWidth="1"/>
    <col min="25" max="25" width="7.77734375" bestFit="1" customWidth="1"/>
    <col min="26" max="26" width="7" bestFit="1" customWidth="1"/>
    <col min="27" max="29" width="9" bestFit="1" customWidth="1"/>
  </cols>
  <sheetData>
    <row r="1" spans="1:31" s="50" customFormat="1" ht="40.200000000000003" customHeight="1" thickBot="1" x14ac:dyDescent="0.35">
      <c r="A1" s="296" t="s">
        <v>0</v>
      </c>
      <c r="B1" s="291" t="s">
        <v>312</v>
      </c>
      <c r="C1" s="292"/>
      <c r="D1" s="292"/>
      <c r="E1" s="291" t="s">
        <v>286</v>
      </c>
      <c r="F1" s="292"/>
      <c r="G1" s="293"/>
      <c r="H1" s="298" t="s">
        <v>36</v>
      </c>
      <c r="I1" s="299"/>
      <c r="J1" s="300"/>
      <c r="K1" s="298" t="s">
        <v>25</v>
      </c>
      <c r="L1" s="299"/>
      <c r="M1" s="300"/>
      <c r="N1" s="298" t="s">
        <v>284</v>
      </c>
      <c r="O1" s="299"/>
      <c r="P1" s="300"/>
      <c r="Q1" s="56" t="s">
        <v>33</v>
      </c>
      <c r="R1" s="291" t="s">
        <v>12</v>
      </c>
      <c r="S1" s="292"/>
      <c r="T1" s="293"/>
      <c r="U1" s="229" t="s">
        <v>313</v>
      </c>
      <c r="V1" s="229" t="s">
        <v>315</v>
      </c>
      <c r="W1" s="298" t="s">
        <v>332</v>
      </c>
      <c r="X1" s="299"/>
      <c r="Y1" s="300"/>
      <c r="Z1" s="291" t="s">
        <v>285</v>
      </c>
      <c r="AA1" s="292"/>
      <c r="AB1" s="293"/>
      <c r="AC1" s="301" t="s">
        <v>27</v>
      </c>
      <c r="AD1" s="302"/>
      <c r="AE1" s="303"/>
    </row>
    <row r="2" spans="1:31" ht="15" thickBot="1" x14ac:dyDescent="0.35">
      <c r="A2" s="297"/>
      <c r="B2" s="29" t="s">
        <v>18</v>
      </c>
      <c r="C2" s="30" t="s">
        <v>19</v>
      </c>
      <c r="D2" s="31" t="s">
        <v>20</v>
      </c>
      <c r="E2" s="29" t="s">
        <v>18</v>
      </c>
      <c r="F2" s="30" t="s">
        <v>19</v>
      </c>
      <c r="G2" s="31" t="s">
        <v>20</v>
      </c>
      <c r="H2" s="29" t="s">
        <v>18</v>
      </c>
      <c r="I2" s="30" t="s">
        <v>19</v>
      </c>
      <c r="J2" s="31" t="s">
        <v>20</v>
      </c>
      <c r="K2" s="29" t="s">
        <v>18</v>
      </c>
      <c r="L2" s="30" t="s">
        <v>28</v>
      </c>
      <c r="M2" s="31" t="s">
        <v>20</v>
      </c>
      <c r="N2" s="29" t="s">
        <v>18</v>
      </c>
      <c r="O2" s="30" t="s">
        <v>19</v>
      </c>
      <c r="P2" s="31" t="s">
        <v>20</v>
      </c>
      <c r="Q2" s="32" t="s">
        <v>18</v>
      </c>
      <c r="R2" s="29" t="s">
        <v>18</v>
      </c>
      <c r="S2" s="30" t="s">
        <v>19</v>
      </c>
      <c r="T2" s="31" t="s">
        <v>20</v>
      </c>
      <c r="U2" s="29" t="s">
        <v>19</v>
      </c>
      <c r="V2" s="29" t="s">
        <v>19</v>
      </c>
      <c r="W2" s="29" t="s">
        <v>18</v>
      </c>
      <c r="X2" s="30" t="s">
        <v>19</v>
      </c>
      <c r="Y2" s="31" t="s">
        <v>20</v>
      </c>
      <c r="Z2" s="29" t="s">
        <v>18</v>
      </c>
      <c r="AA2" s="30" t="s">
        <v>19</v>
      </c>
      <c r="AB2" s="31" t="s">
        <v>20</v>
      </c>
      <c r="AC2" s="58" t="s">
        <v>18</v>
      </c>
      <c r="AD2" s="48" t="s">
        <v>19</v>
      </c>
      <c r="AE2" s="49" t="s">
        <v>20</v>
      </c>
    </row>
    <row r="3" spans="1:31" x14ac:dyDescent="0.3">
      <c r="A3" s="52">
        <v>2015</v>
      </c>
      <c r="B3" s="123"/>
      <c r="C3" s="127"/>
      <c r="D3" s="128"/>
      <c r="E3" s="122"/>
      <c r="F3" s="125"/>
      <c r="G3" s="126"/>
      <c r="H3" s="122"/>
      <c r="I3" s="125"/>
      <c r="J3" s="126"/>
      <c r="K3" s="122"/>
      <c r="L3" s="125"/>
      <c r="M3" s="126"/>
      <c r="N3" s="122"/>
      <c r="O3" s="125"/>
      <c r="P3" s="126"/>
      <c r="Q3" s="132"/>
      <c r="R3" s="122"/>
      <c r="S3" s="125"/>
      <c r="T3" s="126"/>
      <c r="U3" s="122"/>
      <c r="V3" s="122"/>
      <c r="W3" s="122"/>
      <c r="X3" s="125"/>
      <c r="Y3" s="126"/>
      <c r="Z3" s="122"/>
      <c r="AA3" s="125"/>
      <c r="AB3" s="126"/>
      <c r="AC3" s="127">
        <v>103.63860000000001</v>
      </c>
      <c r="AD3" s="127">
        <v>321.54540000000003</v>
      </c>
      <c r="AE3" s="128">
        <v>398.61</v>
      </c>
    </row>
    <row r="4" spans="1:31" x14ac:dyDescent="0.3">
      <c r="A4" s="24">
        <v>2016</v>
      </c>
      <c r="B4" s="123"/>
      <c r="C4" s="127"/>
      <c r="D4" s="128"/>
      <c r="E4" s="123"/>
      <c r="F4" s="127"/>
      <c r="G4" s="128"/>
      <c r="H4" s="123"/>
      <c r="I4" s="127"/>
      <c r="J4" s="128"/>
      <c r="K4" s="123"/>
      <c r="L4" s="127"/>
      <c r="M4" s="128"/>
      <c r="N4" s="123"/>
      <c r="O4" s="127"/>
      <c r="P4" s="128"/>
      <c r="Q4" s="132"/>
      <c r="R4" s="123"/>
      <c r="S4" s="127"/>
      <c r="T4" s="128"/>
      <c r="U4" s="123"/>
      <c r="V4" s="123"/>
      <c r="W4" s="123"/>
      <c r="X4" s="127"/>
      <c r="Y4" s="128"/>
      <c r="Z4" s="123"/>
      <c r="AA4" s="127"/>
      <c r="AB4" s="128"/>
      <c r="AC4" s="127">
        <v>102.0318</v>
      </c>
      <c r="AD4" s="127">
        <v>235.458</v>
      </c>
      <c r="AE4" s="128">
        <v>290.39820000000003</v>
      </c>
    </row>
    <row r="5" spans="1:31" x14ac:dyDescent="0.3">
      <c r="A5" s="24">
        <v>2017</v>
      </c>
      <c r="B5" s="123"/>
      <c r="C5" s="127"/>
      <c r="D5" s="128"/>
      <c r="E5" s="123"/>
      <c r="F5" s="127"/>
      <c r="G5" s="128"/>
      <c r="H5" s="123"/>
      <c r="I5" s="127"/>
      <c r="J5" s="128"/>
      <c r="K5" s="123"/>
      <c r="L5" s="127"/>
      <c r="M5" s="128"/>
      <c r="N5" s="123"/>
      <c r="O5" s="127"/>
      <c r="P5" s="128"/>
      <c r="Q5" s="132"/>
      <c r="R5" s="123"/>
      <c r="S5" s="127"/>
      <c r="T5" s="128"/>
      <c r="U5" s="123"/>
      <c r="V5" s="123"/>
      <c r="W5" s="123"/>
      <c r="X5" s="127"/>
      <c r="Y5" s="128"/>
      <c r="Z5" s="123"/>
      <c r="AA5" s="127"/>
      <c r="AB5" s="128"/>
      <c r="AC5" s="127">
        <v>97.0672</v>
      </c>
      <c r="AD5" s="127">
        <v>323.13159999999999</v>
      </c>
      <c r="AE5" s="128">
        <v>407.42680000000001</v>
      </c>
    </row>
    <row r="6" spans="1:31" x14ac:dyDescent="0.3">
      <c r="A6" s="24">
        <v>2018</v>
      </c>
      <c r="B6" s="123"/>
      <c r="C6" s="127"/>
      <c r="D6" s="128"/>
      <c r="E6" s="123"/>
      <c r="F6" s="127"/>
      <c r="G6" s="128"/>
      <c r="H6" s="123"/>
      <c r="I6" s="127"/>
      <c r="J6" s="128"/>
      <c r="K6" s="123"/>
      <c r="L6" s="127"/>
      <c r="M6" s="128"/>
      <c r="N6" s="123"/>
      <c r="O6" s="127"/>
      <c r="P6" s="128"/>
      <c r="Q6" s="132"/>
      <c r="R6" s="123"/>
      <c r="S6" s="127"/>
      <c r="T6" s="128"/>
      <c r="U6" s="123"/>
      <c r="V6" s="123"/>
      <c r="W6" s="123"/>
      <c r="X6" s="127"/>
      <c r="Y6" s="128"/>
      <c r="Z6" s="123"/>
      <c r="AA6" s="127"/>
      <c r="AB6" s="128"/>
      <c r="AC6" s="127">
        <v>90.979900000000001</v>
      </c>
      <c r="AD6" s="127">
        <v>266.08504999999997</v>
      </c>
      <c r="AE6" s="128">
        <v>332.76209999999998</v>
      </c>
    </row>
    <row r="7" spans="1:31" x14ac:dyDescent="0.3">
      <c r="A7" s="24">
        <v>2019</v>
      </c>
      <c r="B7" s="123"/>
      <c r="C7" s="127"/>
      <c r="D7" s="128"/>
      <c r="E7" s="123"/>
      <c r="F7" s="127"/>
      <c r="G7" s="128"/>
      <c r="H7" s="123"/>
      <c r="I7" s="127"/>
      <c r="J7" s="128"/>
      <c r="K7" s="123"/>
      <c r="L7" s="127"/>
      <c r="M7" s="128"/>
      <c r="N7" s="123">
        <v>66.244161600000012</v>
      </c>
      <c r="O7" s="127">
        <v>118.0056168</v>
      </c>
      <c r="P7" s="128">
        <v>169.76707199999996</v>
      </c>
      <c r="Q7" s="132"/>
      <c r="R7" s="123"/>
      <c r="S7" s="127"/>
      <c r="T7" s="128"/>
      <c r="U7" s="123"/>
      <c r="V7" s="123"/>
      <c r="W7" s="123"/>
      <c r="X7" s="127"/>
      <c r="Y7" s="128"/>
      <c r="Z7" s="123"/>
      <c r="AA7" s="127"/>
      <c r="AB7" s="128"/>
      <c r="AC7" s="127">
        <v>78.444800000000001</v>
      </c>
      <c r="AD7" s="127">
        <v>240.85004999999998</v>
      </c>
      <c r="AE7" s="128">
        <v>296.61939999999998</v>
      </c>
    </row>
    <row r="8" spans="1:31" x14ac:dyDescent="0.3">
      <c r="A8" s="24">
        <v>2020</v>
      </c>
      <c r="B8" s="123"/>
      <c r="C8" s="127"/>
      <c r="D8" s="128"/>
      <c r="E8" s="123"/>
      <c r="F8" s="127"/>
      <c r="G8" s="128"/>
      <c r="H8" s="123"/>
      <c r="I8" s="127"/>
      <c r="J8" s="128"/>
      <c r="K8" s="123"/>
      <c r="L8" s="127"/>
      <c r="M8" s="128"/>
      <c r="N8" s="123"/>
      <c r="O8" s="127"/>
      <c r="P8" s="128"/>
      <c r="Q8" s="132"/>
      <c r="R8" s="123">
        <v>88.116500000000002</v>
      </c>
      <c r="S8" s="127">
        <v>133.32938000000001</v>
      </c>
      <c r="T8" s="128">
        <v>173.80219999999997</v>
      </c>
      <c r="U8" s="127">
        <v>71.714579720818037</v>
      </c>
      <c r="V8" s="123">
        <v>49.089139482316455</v>
      </c>
      <c r="W8" s="123">
        <v>64.863968447440001</v>
      </c>
      <c r="X8" s="127">
        <v>91.127277845953316</v>
      </c>
      <c r="Y8" s="128">
        <v>112.62607240217329</v>
      </c>
      <c r="Z8" s="123">
        <v>46.306426880000018</v>
      </c>
      <c r="AA8" s="127">
        <v>46.306426880000018</v>
      </c>
      <c r="AB8" s="128">
        <v>46.306426880000018</v>
      </c>
      <c r="AC8" s="192">
        <v>76.570199999999986</v>
      </c>
      <c r="AD8" s="192">
        <v>229.10289999999998</v>
      </c>
      <c r="AE8" s="193">
        <v>275.89580000000001</v>
      </c>
    </row>
    <row r="9" spans="1:31" x14ac:dyDescent="0.3">
      <c r="A9" s="24">
        <v>2021</v>
      </c>
      <c r="B9" s="123">
        <v>97.850000000000009</v>
      </c>
      <c r="C9" s="127">
        <v>130.81</v>
      </c>
      <c r="D9" s="128">
        <v>163.77000000000001</v>
      </c>
      <c r="E9" s="123">
        <v>89.069249999999997</v>
      </c>
      <c r="F9" s="127">
        <v>178.69881999999998</v>
      </c>
      <c r="G9" s="128">
        <v>268.32838999999996</v>
      </c>
      <c r="H9" s="123">
        <v>180.79074999999997</v>
      </c>
      <c r="I9" s="127">
        <v>208.13724999999999</v>
      </c>
      <c r="J9" s="128">
        <v>235.48375000000001</v>
      </c>
      <c r="K9" s="123"/>
      <c r="L9" s="127"/>
      <c r="M9" s="128"/>
      <c r="N9" s="123"/>
      <c r="O9" s="127"/>
      <c r="P9" s="128"/>
      <c r="Q9" s="132">
        <v>62.83</v>
      </c>
      <c r="R9" s="123"/>
      <c r="S9" s="127"/>
      <c r="T9" s="128"/>
      <c r="U9" s="127"/>
      <c r="V9" s="123"/>
      <c r="W9" s="123"/>
      <c r="X9" s="127"/>
      <c r="Y9" s="128"/>
      <c r="Z9" s="123"/>
      <c r="AA9" s="127"/>
      <c r="AB9" s="128"/>
      <c r="AC9" s="192">
        <v>68.062400000000011</v>
      </c>
      <c r="AD9" s="192">
        <v>212.26240000000001</v>
      </c>
      <c r="AE9" s="193">
        <v>254.94560000000001</v>
      </c>
    </row>
    <row r="10" spans="1:31" x14ac:dyDescent="0.3">
      <c r="A10" s="24">
        <v>2022</v>
      </c>
      <c r="B10" s="123">
        <v>105.06</v>
      </c>
      <c r="C10" s="127">
        <v>137.505</v>
      </c>
      <c r="D10" s="128">
        <v>168.92000000000002</v>
      </c>
      <c r="E10" s="123"/>
      <c r="F10" s="127"/>
      <c r="G10" s="128"/>
      <c r="H10" s="123">
        <v>176.233</v>
      </c>
      <c r="I10" s="127">
        <v>202.06025</v>
      </c>
      <c r="J10" s="128">
        <v>227.88750000000002</v>
      </c>
      <c r="K10" s="123">
        <v>58.682478400000001</v>
      </c>
      <c r="L10" s="127">
        <v>161.49054133333337</v>
      </c>
      <c r="M10" s="128">
        <v>331.62423840000002</v>
      </c>
      <c r="N10" s="123"/>
      <c r="O10" s="127"/>
      <c r="P10" s="128"/>
      <c r="Q10" s="132">
        <v>56.65</v>
      </c>
      <c r="R10" s="123"/>
      <c r="S10" s="127"/>
      <c r="T10" s="128"/>
      <c r="U10" s="127"/>
      <c r="V10" s="123"/>
      <c r="W10" s="123"/>
      <c r="X10" s="127"/>
      <c r="Y10" s="128"/>
      <c r="Z10" s="123"/>
      <c r="AA10" s="127"/>
      <c r="AB10" s="128"/>
      <c r="AC10" s="192"/>
      <c r="AD10" s="192"/>
      <c r="AE10" s="193"/>
    </row>
    <row r="11" spans="1:31" x14ac:dyDescent="0.3">
      <c r="A11" s="24">
        <v>2023</v>
      </c>
      <c r="B11" s="222">
        <v>99.91</v>
      </c>
      <c r="C11" s="223">
        <v>132.35499999999999</v>
      </c>
      <c r="D11" s="224">
        <v>165.83</v>
      </c>
      <c r="E11" s="123"/>
      <c r="F11" s="127"/>
      <c r="G11" s="128"/>
      <c r="H11" s="123">
        <v>171.67524999999998</v>
      </c>
      <c r="I11" s="127">
        <v>197.12268750000001</v>
      </c>
      <c r="J11" s="128">
        <v>222.57012499999999</v>
      </c>
      <c r="K11" s="123">
        <v>53.223643200000005</v>
      </c>
      <c r="L11" s="127">
        <v>149.20816213333333</v>
      </c>
      <c r="M11" s="128">
        <v>309.78889760000004</v>
      </c>
      <c r="N11" s="123"/>
      <c r="O11" s="127"/>
      <c r="P11" s="128"/>
      <c r="Q11" s="132">
        <v>51.5</v>
      </c>
      <c r="R11" s="123"/>
      <c r="S11" s="127"/>
      <c r="T11" s="128"/>
      <c r="U11" s="127"/>
      <c r="V11" s="123"/>
      <c r="W11" s="123"/>
      <c r="X11" s="127"/>
      <c r="Y11" s="128"/>
      <c r="Z11" s="123"/>
      <c r="AA11" s="127"/>
      <c r="AB11" s="128"/>
      <c r="AC11" s="127">
        <v>50.47</v>
      </c>
      <c r="AD11" s="127">
        <v>170.465</v>
      </c>
      <c r="AE11" s="128">
        <v>290.45999999999998</v>
      </c>
    </row>
    <row r="12" spans="1:31" x14ac:dyDescent="0.3">
      <c r="A12" s="24">
        <v>2024</v>
      </c>
      <c r="B12" s="222">
        <v>94.76</v>
      </c>
      <c r="C12" s="223">
        <v>127.72</v>
      </c>
      <c r="D12" s="224">
        <v>162.74</v>
      </c>
      <c r="E12" s="123"/>
      <c r="F12" s="127"/>
      <c r="G12" s="128"/>
      <c r="H12" s="123">
        <v>167.11750000000001</v>
      </c>
      <c r="I12" s="127">
        <v>192.18512499999997</v>
      </c>
      <c r="J12" s="128">
        <v>217.25274999999999</v>
      </c>
      <c r="K12" s="123">
        <v>51.858934400000003</v>
      </c>
      <c r="L12" s="127">
        <v>146.47874453333336</v>
      </c>
      <c r="M12" s="128">
        <v>305.69477120000005</v>
      </c>
      <c r="N12" s="123"/>
      <c r="O12" s="127"/>
      <c r="P12" s="128"/>
      <c r="Q12" s="132">
        <v>47.38</v>
      </c>
      <c r="R12" s="123"/>
      <c r="S12" s="127"/>
      <c r="T12" s="128"/>
      <c r="U12" s="127"/>
      <c r="V12" s="123"/>
      <c r="W12" s="123"/>
      <c r="X12" s="127"/>
      <c r="Y12" s="128"/>
      <c r="Z12" s="123"/>
      <c r="AA12" s="127"/>
      <c r="AB12" s="128"/>
      <c r="AC12" s="127">
        <v>53.9514</v>
      </c>
      <c r="AD12" s="127">
        <v>168.84790000000001</v>
      </c>
      <c r="AE12" s="128">
        <v>283.74440000000004</v>
      </c>
    </row>
    <row r="13" spans="1:31" x14ac:dyDescent="0.3">
      <c r="A13" s="24">
        <v>2025</v>
      </c>
      <c r="B13" s="123">
        <v>89.61</v>
      </c>
      <c r="C13" s="127">
        <v>122.57000000000001</v>
      </c>
      <c r="D13" s="128">
        <v>159.65</v>
      </c>
      <c r="E13" s="123"/>
      <c r="F13" s="127"/>
      <c r="G13" s="128"/>
      <c r="H13" s="123">
        <v>163.31937500000001</v>
      </c>
      <c r="I13" s="127">
        <v>187.24756249999999</v>
      </c>
      <c r="J13" s="128">
        <v>211.17574999999999</v>
      </c>
      <c r="K13" s="123">
        <v>49.129516800000012</v>
      </c>
      <c r="L13" s="127">
        <v>139.65520053333336</v>
      </c>
      <c r="M13" s="128">
        <v>293.41239200000001</v>
      </c>
      <c r="N13" s="123"/>
      <c r="O13" s="127"/>
      <c r="P13" s="128"/>
      <c r="Q13" s="132">
        <v>44.29</v>
      </c>
      <c r="R13" s="123"/>
      <c r="S13" s="127"/>
      <c r="T13" s="128"/>
      <c r="U13" s="127">
        <v>56.243228058392489</v>
      </c>
      <c r="V13" s="123">
        <v>40.574944745217046</v>
      </c>
      <c r="W13" s="123">
        <v>51.202127295999986</v>
      </c>
      <c r="X13" s="127">
        <v>71.724941093856657</v>
      </c>
      <c r="Y13" s="128">
        <v>91.037851111106662</v>
      </c>
      <c r="Z13" s="123"/>
      <c r="AA13" s="127"/>
      <c r="AB13" s="128"/>
      <c r="AC13" s="127"/>
      <c r="AD13" s="127"/>
      <c r="AE13" s="128"/>
    </row>
    <row r="14" spans="1:31" x14ac:dyDescent="0.3">
      <c r="A14" s="24">
        <v>2026</v>
      </c>
      <c r="B14" s="123">
        <v>84.460000000000008</v>
      </c>
      <c r="C14" s="127">
        <v>117.935</v>
      </c>
      <c r="D14" s="128">
        <v>156.56</v>
      </c>
      <c r="E14" s="123"/>
      <c r="F14" s="127"/>
      <c r="G14" s="128"/>
      <c r="H14" s="123">
        <v>159.52125000000001</v>
      </c>
      <c r="I14" s="127">
        <v>182.31</v>
      </c>
      <c r="J14" s="128">
        <v>205.09875</v>
      </c>
      <c r="K14" s="123">
        <v>46.400099200000007</v>
      </c>
      <c r="L14" s="127">
        <v>132.37675360000003</v>
      </c>
      <c r="M14" s="128">
        <v>281.13001280000003</v>
      </c>
      <c r="N14" s="123"/>
      <c r="O14" s="127"/>
      <c r="P14" s="128"/>
      <c r="Q14" s="132">
        <v>42.230000000000004</v>
      </c>
      <c r="R14" s="123"/>
      <c r="S14" s="127"/>
      <c r="T14" s="128"/>
      <c r="U14" s="123"/>
      <c r="V14" s="123"/>
      <c r="W14" s="123"/>
      <c r="X14" s="127"/>
      <c r="Y14" s="128"/>
      <c r="Z14" s="123"/>
      <c r="AA14" s="127"/>
      <c r="AB14" s="128"/>
      <c r="AC14" s="127"/>
      <c r="AD14" s="127"/>
      <c r="AE14" s="128"/>
    </row>
    <row r="15" spans="1:31" x14ac:dyDescent="0.3">
      <c r="A15" s="24">
        <v>2027</v>
      </c>
      <c r="B15" s="123">
        <v>80.34</v>
      </c>
      <c r="C15" s="127">
        <v>112.785</v>
      </c>
      <c r="D15" s="128">
        <v>153.47</v>
      </c>
      <c r="E15" s="123"/>
      <c r="F15" s="127"/>
      <c r="G15" s="128"/>
      <c r="H15" s="123">
        <v>155.72312500000001</v>
      </c>
      <c r="I15" s="127">
        <v>177.75225</v>
      </c>
      <c r="J15" s="128">
        <v>199.78137499999997</v>
      </c>
      <c r="K15" s="123">
        <v>43.670681600000009</v>
      </c>
      <c r="L15" s="127">
        <v>127.37282133333335</v>
      </c>
      <c r="M15" s="128">
        <v>271.57705120000003</v>
      </c>
      <c r="N15" s="123"/>
      <c r="O15" s="127"/>
      <c r="P15" s="128"/>
      <c r="Q15" s="132">
        <v>40.17</v>
      </c>
      <c r="R15" s="123"/>
      <c r="S15" s="127"/>
      <c r="T15" s="128"/>
      <c r="U15" s="123"/>
      <c r="V15" s="123"/>
      <c r="W15" s="123"/>
      <c r="X15" s="127"/>
      <c r="Y15" s="128"/>
      <c r="Z15" s="123"/>
      <c r="AA15" s="127"/>
      <c r="AB15" s="128"/>
      <c r="AC15" s="127"/>
      <c r="AD15" s="127"/>
      <c r="AE15" s="128"/>
    </row>
    <row r="16" spans="1:31" x14ac:dyDescent="0.3">
      <c r="A16" s="24">
        <v>2028</v>
      </c>
      <c r="B16" s="123">
        <v>75.19</v>
      </c>
      <c r="C16" s="127">
        <v>108.15</v>
      </c>
      <c r="D16" s="128">
        <v>150.38</v>
      </c>
      <c r="E16" s="123"/>
      <c r="F16" s="127"/>
      <c r="G16" s="128"/>
      <c r="H16" s="123">
        <v>151.16537499999998</v>
      </c>
      <c r="I16" s="127">
        <v>173.19449999999998</v>
      </c>
      <c r="J16" s="128">
        <v>195.223625</v>
      </c>
      <c r="K16" s="123">
        <v>42.305972800000006</v>
      </c>
      <c r="L16" s="127">
        <v>122.3688890666667</v>
      </c>
      <c r="M16" s="128">
        <v>262.02408960000002</v>
      </c>
      <c r="N16" s="123"/>
      <c r="O16" s="127"/>
      <c r="P16" s="128"/>
      <c r="Q16" s="132">
        <v>38.11</v>
      </c>
      <c r="R16" s="123"/>
      <c r="S16" s="127"/>
      <c r="T16" s="128"/>
      <c r="U16" s="123"/>
      <c r="V16" s="123"/>
      <c r="W16" s="123"/>
      <c r="X16" s="127"/>
      <c r="Y16" s="128"/>
      <c r="Z16" s="123"/>
      <c r="AA16" s="127"/>
      <c r="AB16" s="128"/>
      <c r="AC16" s="127"/>
      <c r="AD16" s="127"/>
      <c r="AE16" s="128"/>
    </row>
    <row r="17" spans="1:31" x14ac:dyDescent="0.3">
      <c r="A17" s="24">
        <v>2029</v>
      </c>
      <c r="B17" s="123">
        <v>71.070000000000007</v>
      </c>
      <c r="C17" s="127">
        <v>103.515</v>
      </c>
      <c r="D17" s="128">
        <v>147.29</v>
      </c>
      <c r="E17" s="123"/>
      <c r="F17" s="127"/>
      <c r="G17" s="128"/>
      <c r="H17" s="123">
        <v>147.36724999999998</v>
      </c>
      <c r="I17" s="127">
        <v>168.63675000000001</v>
      </c>
      <c r="J17" s="128">
        <v>189.90625</v>
      </c>
      <c r="K17" s="123">
        <v>39.576555200000008</v>
      </c>
      <c r="L17" s="127">
        <v>117.3649568</v>
      </c>
      <c r="M17" s="128">
        <v>253.83583680000004</v>
      </c>
      <c r="N17" s="123"/>
      <c r="O17" s="127"/>
      <c r="P17" s="128"/>
      <c r="Q17" s="132">
        <v>37.08</v>
      </c>
      <c r="R17" s="123"/>
      <c r="S17" s="127"/>
      <c r="T17" s="128"/>
      <c r="U17" s="123"/>
      <c r="V17" s="123"/>
      <c r="W17" s="123"/>
      <c r="X17" s="127"/>
      <c r="Y17" s="128"/>
      <c r="Z17" s="123"/>
      <c r="AA17" s="127"/>
      <c r="AB17" s="128"/>
      <c r="AC17" s="127"/>
      <c r="AD17" s="127"/>
      <c r="AE17" s="128"/>
    </row>
    <row r="18" spans="1:31" x14ac:dyDescent="0.3">
      <c r="A18" s="24">
        <v>2030</v>
      </c>
      <c r="B18" s="123">
        <v>65.92</v>
      </c>
      <c r="C18" s="127">
        <v>98.365000000000009</v>
      </c>
      <c r="D18" s="128">
        <v>144.20000000000002</v>
      </c>
      <c r="E18" s="123">
        <v>62.740389999999998</v>
      </c>
      <c r="F18" s="127">
        <v>134.86459500000001</v>
      </c>
      <c r="G18" s="128">
        <v>206.98880000000003</v>
      </c>
      <c r="H18" s="123">
        <v>144.32875000000001</v>
      </c>
      <c r="I18" s="127">
        <v>165.21843749999999</v>
      </c>
      <c r="J18" s="128">
        <v>186.108125</v>
      </c>
      <c r="K18" s="123">
        <v>38.211846400000006</v>
      </c>
      <c r="L18" s="127">
        <v>113.27083040000002</v>
      </c>
      <c r="M18" s="128">
        <v>247.01229280000007</v>
      </c>
      <c r="N18" s="123">
        <v>43.754399999999997</v>
      </c>
      <c r="O18" s="127">
        <v>80.289324000000008</v>
      </c>
      <c r="P18" s="128">
        <v>116.824248</v>
      </c>
      <c r="Q18" s="132">
        <v>35.020000000000003</v>
      </c>
      <c r="R18" s="123"/>
      <c r="S18" s="127"/>
      <c r="T18" s="128"/>
      <c r="U18" s="123">
        <v>43.00097496649726</v>
      </c>
      <c r="V18" s="123">
        <v>32.535589091094323</v>
      </c>
      <c r="W18" s="123">
        <v>41.61722682976</v>
      </c>
      <c r="X18" s="127">
        <v>59.411676151116652</v>
      </c>
      <c r="Y18" s="128">
        <v>75.079041582773328</v>
      </c>
      <c r="Z18" s="123">
        <v>30.582397440000008</v>
      </c>
      <c r="AA18" s="127">
        <v>33.205222400000004</v>
      </c>
      <c r="AB18" s="128">
        <v>40.195115520000009</v>
      </c>
      <c r="AC18" s="127"/>
      <c r="AD18" s="127"/>
      <c r="AE18" s="128"/>
    </row>
    <row r="19" spans="1:31" x14ac:dyDescent="0.3">
      <c r="A19" s="24">
        <v>2031</v>
      </c>
      <c r="B19" s="123">
        <v>61.800000000000004</v>
      </c>
      <c r="C19" s="127">
        <v>94.245000000000005</v>
      </c>
      <c r="D19" s="128">
        <v>141.11000000000001</v>
      </c>
      <c r="E19" s="123"/>
      <c r="F19" s="127"/>
      <c r="G19" s="128"/>
      <c r="H19" s="123">
        <v>141.29024999999999</v>
      </c>
      <c r="I19" s="127">
        <v>161.42031249999999</v>
      </c>
      <c r="J19" s="128">
        <v>181.550375</v>
      </c>
      <c r="K19" s="123">
        <v>36.847137600000003</v>
      </c>
      <c r="L19" s="127">
        <v>108.72180106666669</v>
      </c>
      <c r="M19" s="128">
        <v>238.82404000000002</v>
      </c>
      <c r="N19" s="123"/>
      <c r="O19" s="127"/>
      <c r="P19" s="128"/>
      <c r="Q19" s="132">
        <v>33.99</v>
      </c>
      <c r="R19" s="123"/>
      <c r="S19" s="127"/>
      <c r="T19" s="128"/>
      <c r="U19" s="123"/>
      <c r="V19" s="123"/>
      <c r="W19" s="123"/>
      <c r="X19" s="127"/>
      <c r="Y19" s="128"/>
      <c r="Z19" s="123"/>
      <c r="AA19" s="127"/>
      <c r="AB19" s="128"/>
      <c r="AC19" s="127"/>
      <c r="AD19" s="127"/>
      <c r="AE19" s="128"/>
    </row>
    <row r="20" spans="1:31" x14ac:dyDescent="0.3">
      <c r="A20" s="24">
        <v>2032</v>
      </c>
      <c r="B20" s="123">
        <v>56.65</v>
      </c>
      <c r="C20" s="127">
        <v>89.61</v>
      </c>
      <c r="D20" s="128">
        <v>138.02000000000001</v>
      </c>
      <c r="E20" s="123"/>
      <c r="F20" s="127"/>
      <c r="G20" s="128"/>
      <c r="H20" s="123">
        <v>137.49212499999999</v>
      </c>
      <c r="I20" s="127">
        <v>157.6221875</v>
      </c>
      <c r="J20" s="128">
        <v>177.75225</v>
      </c>
      <c r="K20" s="123">
        <v>35.482428800000008</v>
      </c>
      <c r="L20" s="127">
        <v>104.62767466666669</v>
      </c>
      <c r="M20" s="128">
        <v>230.63578720000007</v>
      </c>
      <c r="N20" s="123"/>
      <c r="O20" s="127"/>
      <c r="P20" s="128"/>
      <c r="Q20" s="132">
        <v>33.99</v>
      </c>
      <c r="R20" s="123"/>
      <c r="S20" s="127"/>
      <c r="T20" s="128"/>
      <c r="U20" s="123"/>
      <c r="V20" s="123"/>
      <c r="W20" s="123"/>
      <c r="X20" s="127"/>
      <c r="Y20" s="128"/>
      <c r="Z20" s="123"/>
      <c r="AA20" s="127"/>
      <c r="AB20" s="128"/>
      <c r="AC20" s="127"/>
      <c r="AD20" s="127"/>
      <c r="AE20" s="128"/>
    </row>
    <row r="21" spans="1:31" x14ac:dyDescent="0.3">
      <c r="A21" s="24">
        <v>2033</v>
      </c>
      <c r="B21" s="123">
        <v>52.53</v>
      </c>
      <c r="C21" s="127">
        <v>84.460000000000008</v>
      </c>
      <c r="D21" s="128">
        <v>134.93</v>
      </c>
      <c r="E21" s="123"/>
      <c r="F21" s="127"/>
      <c r="G21" s="128"/>
      <c r="H21" s="123">
        <v>134.45362499999999</v>
      </c>
      <c r="I21" s="127">
        <v>153.8240625</v>
      </c>
      <c r="J21" s="128">
        <v>173.19449999999998</v>
      </c>
      <c r="K21" s="123">
        <v>34.117720000000013</v>
      </c>
      <c r="L21" s="127">
        <v>100.98845120000001</v>
      </c>
      <c r="M21" s="128">
        <v>223.81224320000004</v>
      </c>
      <c r="N21" s="123"/>
      <c r="O21" s="127"/>
      <c r="P21" s="128"/>
      <c r="Q21" s="132">
        <v>32.96</v>
      </c>
      <c r="R21" s="123"/>
      <c r="S21" s="127"/>
      <c r="T21" s="128"/>
      <c r="U21" s="123"/>
      <c r="V21" s="123"/>
      <c r="W21" s="123"/>
      <c r="X21" s="127"/>
      <c r="Y21" s="128"/>
      <c r="Z21" s="123"/>
      <c r="AA21" s="127"/>
      <c r="AB21" s="128"/>
      <c r="AC21" s="127"/>
      <c r="AD21" s="127"/>
      <c r="AE21" s="128"/>
    </row>
    <row r="22" spans="1:31" x14ac:dyDescent="0.3">
      <c r="A22" s="24">
        <v>2034</v>
      </c>
      <c r="B22" s="123">
        <v>48.410000000000004</v>
      </c>
      <c r="C22" s="127">
        <v>79.825000000000003</v>
      </c>
      <c r="D22" s="128">
        <v>131.84</v>
      </c>
      <c r="E22" s="123"/>
      <c r="F22" s="127"/>
      <c r="G22" s="128"/>
      <c r="H22" s="123">
        <v>132.17474999999999</v>
      </c>
      <c r="I22" s="127">
        <v>150.40575000000001</v>
      </c>
      <c r="J22" s="128">
        <v>168.63675000000001</v>
      </c>
      <c r="K22" s="123">
        <v>31.388302400000001</v>
      </c>
      <c r="L22" s="127">
        <v>96.439421866666692</v>
      </c>
      <c r="M22" s="128">
        <v>215.62399040000005</v>
      </c>
      <c r="N22" s="123"/>
      <c r="O22" s="127"/>
      <c r="P22" s="128"/>
      <c r="Q22" s="132">
        <v>31.93</v>
      </c>
      <c r="R22" s="123"/>
      <c r="S22" s="127"/>
      <c r="T22" s="128"/>
      <c r="U22" s="123"/>
      <c r="V22" s="123"/>
      <c r="W22" s="123"/>
      <c r="X22" s="127"/>
      <c r="Y22" s="128"/>
      <c r="Z22" s="123"/>
      <c r="AA22" s="127"/>
      <c r="AB22" s="128"/>
      <c r="AC22" s="127"/>
      <c r="AD22" s="127"/>
      <c r="AE22" s="128"/>
    </row>
    <row r="23" spans="1:31" x14ac:dyDescent="0.3">
      <c r="A23" s="24">
        <v>2035</v>
      </c>
      <c r="B23" s="123">
        <v>44.29</v>
      </c>
      <c r="C23" s="127">
        <v>75.19</v>
      </c>
      <c r="D23" s="128">
        <v>128.75</v>
      </c>
      <c r="E23" s="123"/>
      <c r="F23" s="127"/>
      <c r="G23" s="128"/>
      <c r="H23" s="123">
        <v>128.37662499999999</v>
      </c>
      <c r="I23" s="127">
        <v>146.9874375</v>
      </c>
      <c r="J23" s="128">
        <v>165.59825000000001</v>
      </c>
      <c r="K23" s="123">
        <v>30.023593600000005</v>
      </c>
      <c r="L23" s="127">
        <v>92.800198400000014</v>
      </c>
      <c r="M23" s="128">
        <v>208.80044640000003</v>
      </c>
      <c r="N23" s="123"/>
      <c r="O23" s="127"/>
      <c r="P23" s="128"/>
      <c r="Q23" s="132">
        <v>30.900000000000002</v>
      </c>
      <c r="R23" s="123"/>
      <c r="S23" s="127"/>
      <c r="T23" s="128"/>
      <c r="U23" s="123"/>
      <c r="V23" s="123"/>
      <c r="W23" s="123"/>
      <c r="X23" s="127"/>
      <c r="Y23" s="128"/>
      <c r="Z23" s="123"/>
      <c r="AA23" s="127"/>
      <c r="AB23" s="128"/>
      <c r="AC23" s="127"/>
      <c r="AD23" s="127"/>
      <c r="AE23" s="128"/>
    </row>
    <row r="24" spans="1:31" x14ac:dyDescent="0.3">
      <c r="A24" s="24">
        <v>2036</v>
      </c>
      <c r="B24" s="123">
        <v>43.26</v>
      </c>
      <c r="C24" s="127">
        <v>74.16</v>
      </c>
      <c r="D24" s="128">
        <v>125.66</v>
      </c>
      <c r="E24" s="123"/>
      <c r="F24" s="127"/>
      <c r="G24" s="128"/>
      <c r="H24" s="123">
        <v>125.33812500000001</v>
      </c>
      <c r="I24" s="127">
        <v>143.9489375</v>
      </c>
      <c r="J24" s="128">
        <v>162.55974999999998</v>
      </c>
      <c r="K24" s="123"/>
      <c r="L24" s="127"/>
      <c r="M24" s="128"/>
      <c r="N24" s="123"/>
      <c r="O24" s="127"/>
      <c r="P24" s="128"/>
      <c r="Q24" s="132">
        <v>30.900000000000002</v>
      </c>
      <c r="R24" s="123"/>
      <c r="S24" s="127"/>
      <c r="T24" s="128"/>
      <c r="U24" s="123"/>
      <c r="V24" s="123"/>
      <c r="W24" s="123"/>
      <c r="X24" s="127"/>
      <c r="Y24" s="128"/>
      <c r="Z24" s="123"/>
      <c r="AA24" s="127"/>
      <c r="AB24" s="128"/>
      <c r="AC24" s="127"/>
      <c r="AD24" s="127"/>
      <c r="AE24" s="128"/>
    </row>
    <row r="25" spans="1:31" x14ac:dyDescent="0.3">
      <c r="A25" s="24">
        <v>2037</v>
      </c>
      <c r="B25" s="123">
        <v>43.26</v>
      </c>
      <c r="C25" s="127">
        <v>72.614999999999995</v>
      </c>
      <c r="D25" s="128">
        <v>123.60000000000001</v>
      </c>
      <c r="E25" s="123"/>
      <c r="F25" s="127"/>
      <c r="G25" s="128"/>
      <c r="H25" s="123"/>
      <c r="I25" s="127"/>
      <c r="J25" s="128"/>
      <c r="K25" s="123"/>
      <c r="L25" s="127"/>
      <c r="M25" s="128"/>
      <c r="N25" s="123"/>
      <c r="O25" s="127"/>
      <c r="P25" s="128"/>
      <c r="Q25" s="132">
        <v>29.87</v>
      </c>
      <c r="R25" s="123"/>
      <c r="S25" s="127"/>
      <c r="T25" s="128"/>
      <c r="U25" s="123"/>
      <c r="V25" s="123"/>
      <c r="W25" s="123"/>
      <c r="X25" s="127"/>
      <c r="Y25" s="128"/>
      <c r="Z25" s="123"/>
      <c r="AA25" s="127"/>
      <c r="AB25" s="128"/>
      <c r="AC25" s="127"/>
      <c r="AD25" s="127"/>
      <c r="AE25" s="128"/>
    </row>
    <row r="26" spans="1:31" x14ac:dyDescent="0.3">
      <c r="A26" s="24">
        <v>2038</v>
      </c>
      <c r="B26" s="123">
        <v>42.230000000000004</v>
      </c>
      <c r="C26" s="127">
        <v>71.070000000000007</v>
      </c>
      <c r="D26" s="128">
        <v>120.51</v>
      </c>
      <c r="E26" s="123"/>
      <c r="F26" s="127"/>
      <c r="G26" s="128"/>
      <c r="H26" s="123"/>
      <c r="I26" s="127"/>
      <c r="J26" s="128"/>
      <c r="K26" s="123"/>
      <c r="L26" s="127"/>
      <c r="M26" s="128"/>
      <c r="N26" s="123"/>
      <c r="O26" s="127"/>
      <c r="P26" s="128"/>
      <c r="Q26" s="132">
        <v>29.87</v>
      </c>
      <c r="R26" s="123"/>
      <c r="S26" s="127"/>
      <c r="T26" s="128"/>
      <c r="U26" s="123"/>
      <c r="V26" s="123"/>
      <c r="W26" s="123"/>
      <c r="X26" s="127"/>
      <c r="Y26" s="128"/>
      <c r="Z26" s="123"/>
      <c r="AA26" s="127"/>
      <c r="AB26" s="128"/>
      <c r="AC26" s="127"/>
      <c r="AD26" s="127"/>
      <c r="AE26" s="128"/>
    </row>
    <row r="27" spans="1:31" x14ac:dyDescent="0.3">
      <c r="A27" s="24">
        <v>2039</v>
      </c>
      <c r="B27" s="123">
        <v>42.230000000000004</v>
      </c>
      <c r="C27" s="127">
        <v>69.525000000000006</v>
      </c>
      <c r="D27" s="128">
        <v>118.45</v>
      </c>
      <c r="E27" s="123"/>
      <c r="F27" s="127"/>
      <c r="G27" s="128"/>
      <c r="H27" s="123"/>
      <c r="I27" s="127"/>
      <c r="J27" s="128"/>
      <c r="K27" s="123"/>
      <c r="L27" s="127"/>
      <c r="M27" s="128"/>
      <c r="N27" s="123"/>
      <c r="O27" s="127"/>
      <c r="P27" s="128"/>
      <c r="Q27" s="132">
        <v>28.84</v>
      </c>
      <c r="R27" s="123"/>
      <c r="S27" s="127"/>
      <c r="T27" s="128"/>
      <c r="U27" s="123"/>
      <c r="V27" s="123"/>
      <c r="W27" s="123">
        <v>32.202856617453335</v>
      </c>
      <c r="X27" s="127">
        <v>45.892669035649995</v>
      </c>
      <c r="Y27" s="128">
        <v>58.319433462266659</v>
      </c>
      <c r="Z27" s="123"/>
      <c r="AA27" s="127"/>
      <c r="AB27" s="128"/>
      <c r="AC27" s="127"/>
      <c r="AD27" s="127"/>
      <c r="AE27" s="128"/>
    </row>
    <row r="28" spans="1:31" x14ac:dyDescent="0.3">
      <c r="A28" s="24">
        <v>2040</v>
      </c>
      <c r="B28" s="123">
        <v>41.2</v>
      </c>
      <c r="C28" s="127">
        <v>67.98</v>
      </c>
      <c r="D28" s="128">
        <v>115.36</v>
      </c>
      <c r="E28" s="123">
        <v>46.775389999999994</v>
      </c>
      <c r="F28" s="127">
        <v>105.313895</v>
      </c>
      <c r="G28" s="128">
        <v>163.85240000000002</v>
      </c>
      <c r="H28" s="123"/>
      <c r="I28" s="127"/>
      <c r="J28" s="128"/>
      <c r="K28" s="123"/>
      <c r="L28" s="127"/>
      <c r="M28" s="128"/>
      <c r="N28" s="123"/>
      <c r="O28" s="127"/>
      <c r="P28" s="128"/>
      <c r="Q28" s="132">
        <v>27.810000000000002</v>
      </c>
      <c r="R28" s="123"/>
      <c r="S28" s="127"/>
      <c r="T28" s="128"/>
      <c r="U28" s="123">
        <v>35.956367348207309</v>
      </c>
      <c r="V28" s="123">
        <v>24.007463183527488</v>
      </c>
      <c r="W28" s="123"/>
      <c r="X28" s="127"/>
      <c r="Y28" s="128"/>
      <c r="Z28" s="123">
        <v>24.471086080000006</v>
      </c>
      <c r="AA28" s="127">
        <v>28.838154240000005</v>
      </c>
      <c r="AB28" s="128">
        <v>37.572290560000006</v>
      </c>
      <c r="AC28" s="127"/>
      <c r="AD28" s="127"/>
      <c r="AE28" s="128"/>
    </row>
    <row r="29" spans="1:31" x14ac:dyDescent="0.3">
      <c r="A29" s="24">
        <v>2041</v>
      </c>
      <c r="B29" s="123">
        <v>41.2</v>
      </c>
      <c r="C29" s="127">
        <v>66.435000000000002</v>
      </c>
      <c r="D29" s="128">
        <v>113.3</v>
      </c>
      <c r="E29" s="123"/>
      <c r="F29" s="127"/>
      <c r="G29" s="128"/>
      <c r="H29" s="123"/>
      <c r="I29" s="127"/>
      <c r="J29" s="128"/>
      <c r="K29" s="123"/>
      <c r="L29" s="127"/>
      <c r="M29" s="128"/>
      <c r="N29" s="123"/>
      <c r="O29" s="127"/>
      <c r="P29" s="128"/>
      <c r="Q29" s="132">
        <v>27.810000000000002</v>
      </c>
      <c r="R29" s="123"/>
      <c r="S29" s="127"/>
      <c r="T29" s="128"/>
      <c r="U29" s="123"/>
      <c r="V29" s="123"/>
      <c r="W29" s="123"/>
      <c r="X29" s="127"/>
      <c r="Y29" s="128"/>
      <c r="Z29" s="123"/>
      <c r="AA29" s="127"/>
      <c r="AB29" s="128"/>
      <c r="AC29" s="127"/>
      <c r="AD29" s="127"/>
      <c r="AE29" s="128"/>
    </row>
    <row r="30" spans="1:31" x14ac:dyDescent="0.3">
      <c r="A30" s="24">
        <v>2042</v>
      </c>
      <c r="B30" s="123">
        <v>40.17</v>
      </c>
      <c r="C30" s="127">
        <v>64.89</v>
      </c>
      <c r="D30" s="128">
        <v>110.21000000000001</v>
      </c>
      <c r="E30" s="123"/>
      <c r="F30" s="127"/>
      <c r="G30" s="128"/>
      <c r="H30" s="123"/>
      <c r="I30" s="127"/>
      <c r="J30" s="128"/>
      <c r="K30" s="123"/>
      <c r="L30" s="127"/>
      <c r="M30" s="128"/>
      <c r="N30" s="123"/>
      <c r="O30" s="127"/>
      <c r="P30" s="128"/>
      <c r="Q30" s="132">
        <v>26.78</v>
      </c>
      <c r="R30" s="123"/>
      <c r="S30" s="127"/>
      <c r="T30" s="128"/>
      <c r="U30" s="123"/>
      <c r="V30" s="123"/>
      <c r="W30" s="123"/>
      <c r="X30" s="127"/>
      <c r="Y30" s="128"/>
      <c r="Z30" s="123"/>
      <c r="AA30" s="127"/>
      <c r="AB30" s="128"/>
      <c r="AC30" s="127"/>
      <c r="AD30" s="127"/>
      <c r="AE30" s="128"/>
    </row>
    <row r="31" spans="1:31" x14ac:dyDescent="0.3">
      <c r="A31" s="24">
        <v>2043</v>
      </c>
      <c r="B31" s="123">
        <v>40.17</v>
      </c>
      <c r="C31" s="127">
        <v>63.344999999999999</v>
      </c>
      <c r="D31" s="128">
        <v>108.15</v>
      </c>
      <c r="E31" s="123"/>
      <c r="F31" s="127"/>
      <c r="G31" s="128"/>
      <c r="H31" s="123"/>
      <c r="I31" s="127"/>
      <c r="J31" s="128"/>
      <c r="K31" s="123"/>
      <c r="L31" s="127"/>
      <c r="M31" s="128"/>
      <c r="N31" s="123"/>
      <c r="O31" s="127"/>
      <c r="P31" s="128"/>
      <c r="Q31" s="132">
        <v>26.78</v>
      </c>
      <c r="R31" s="123"/>
      <c r="S31" s="127"/>
      <c r="T31" s="128"/>
      <c r="U31" s="123"/>
      <c r="V31" s="123"/>
      <c r="W31" s="123"/>
      <c r="X31" s="127"/>
      <c r="Y31" s="128"/>
      <c r="Z31" s="123"/>
      <c r="AA31" s="127"/>
      <c r="AB31" s="128"/>
      <c r="AC31" s="127"/>
      <c r="AD31" s="127"/>
      <c r="AE31" s="128"/>
    </row>
    <row r="32" spans="1:31" x14ac:dyDescent="0.3">
      <c r="A32" s="24">
        <v>2044</v>
      </c>
      <c r="B32" s="123">
        <v>39.14</v>
      </c>
      <c r="C32" s="127">
        <v>61.800000000000004</v>
      </c>
      <c r="D32" s="128">
        <v>105.06</v>
      </c>
      <c r="E32" s="123"/>
      <c r="F32" s="127"/>
      <c r="G32" s="128"/>
      <c r="H32" s="123"/>
      <c r="I32" s="127"/>
      <c r="J32" s="128"/>
      <c r="K32" s="123"/>
      <c r="L32" s="127"/>
      <c r="M32" s="128"/>
      <c r="N32" s="123"/>
      <c r="O32" s="127"/>
      <c r="P32" s="128"/>
      <c r="Q32" s="132">
        <v>26.78</v>
      </c>
      <c r="R32" s="123"/>
      <c r="S32" s="127"/>
      <c r="T32" s="128"/>
      <c r="U32" s="123"/>
      <c r="V32" s="123"/>
      <c r="W32" s="123"/>
      <c r="X32" s="127"/>
      <c r="Y32" s="128"/>
      <c r="Z32" s="123"/>
      <c r="AA32" s="127"/>
      <c r="AB32" s="128"/>
      <c r="AC32" s="127"/>
      <c r="AD32" s="127"/>
      <c r="AE32" s="128"/>
    </row>
    <row r="33" spans="1:31" x14ac:dyDescent="0.3">
      <c r="A33" s="24">
        <v>2045</v>
      </c>
      <c r="B33" s="123">
        <v>38.11</v>
      </c>
      <c r="C33" s="127">
        <v>60.77</v>
      </c>
      <c r="D33" s="128">
        <v>103</v>
      </c>
      <c r="E33" s="123"/>
      <c r="F33" s="127"/>
      <c r="G33" s="128"/>
      <c r="H33" s="123"/>
      <c r="I33" s="127"/>
      <c r="J33" s="128"/>
      <c r="K33" s="123"/>
      <c r="L33" s="127"/>
      <c r="M33" s="128"/>
      <c r="N33" s="123"/>
      <c r="O33" s="127"/>
      <c r="P33" s="128"/>
      <c r="Q33" s="132">
        <v>25.75</v>
      </c>
      <c r="R33" s="123"/>
      <c r="S33" s="127"/>
      <c r="T33" s="128"/>
      <c r="U33" s="123"/>
      <c r="V33" s="123"/>
      <c r="W33" s="123"/>
      <c r="X33" s="127"/>
      <c r="Y33" s="128"/>
      <c r="Z33" s="123"/>
      <c r="AA33" s="127"/>
      <c r="AB33" s="128"/>
      <c r="AC33" s="127"/>
      <c r="AD33" s="127"/>
      <c r="AE33" s="128"/>
    </row>
    <row r="34" spans="1:31" x14ac:dyDescent="0.3">
      <c r="A34" s="24">
        <v>2046</v>
      </c>
      <c r="B34" s="123">
        <v>38.11</v>
      </c>
      <c r="C34" s="127">
        <v>59.225000000000001</v>
      </c>
      <c r="D34" s="128">
        <v>99.91</v>
      </c>
      <c r="E34" s="123"/>
      <c r="F34" s="127"/>
      <c r="G34" s="128"/>
      <c r="H34" s="123"/>
      <c r="I34" s="127"/>
      <c r="J34" s="128"/>
      <c r="K34" s="123"/>
      <c r="L34" s="127"/>
      <c r="M34" s="128"/>
      <c r="N34" s="123"/>
      <c r="O34" s="127"/>
      <c r="P34" s="128"/>
      <c r="Q34" s="132">
        <v>25.75</v>
      </c>
      <c r="R34" s="123"/>
      <c r="S34" s="127"/>
      <c r="T34" s="128"/>
      <c r="U34" s="123"/>
      <c r="V34" s="123"/>
      <c r="W34" s="123"/>
      <c r="X34" s="127"/>
      <c r="Y34" s="128"/>
      <c r="Z34" s="123"/>
      <c r="AA34" s="127"/>
      <c r="AB34" s="128"/>
      <c r="AC34" s="127"/>
      <c r="AD34" s="127"/>
      <c r="AE34" s="128"/>
    </row>
    <row r="35" spans="1:31" x14ac:dyDescent="0.3">
      <c r="A35" s="24">
        <v>2047</v>
      </c>
      <c r="B35" s="123">
        <v>37.08</v>
      </c>
      <c r="C35" s="127">
        <v>57.68</v>
      </c>
      <c r="D35" s="128">
        <v>97.850000000000009</v>
      </c>
      <c r="E35" s="123"/>
      <c r="F35" s="127"/>
      <c r="G35" s="128"/>
      <c r="H35" s="123"/>
      <c r="I35" s="127"/>
      <c r="J35" s="128"/>
      <c r="K35" s="123"/>
      <c r="L35" s="127"/>
      <c r="M35" s="128"/>
      <c r="N35" s="123"/>
      <c r="O35" s="127"/>
      <c r="P35" s="128"/>
      <c r="Q35" s="132">
        <v>25.75</v>
      </c>
      <c r="R35" s="123"/>
      <c r="S35" s="127"/>
      <c r="T35" s="128"/>
      <c r="U35" s="123"/>
      <c r="V35" s="123"/>
      <c r="W35" s="123"/>
      <c r="X35" s="127"/>
      <c r="Y35" s="128"/>
      <c r="Z35" s="123"/>
      <c r="AA35" s="127"/>
      <c r="AB35" s="128"/>
      <c r="AC35" s="127"/>
      <c r="AD35" s="127"/>
      <c r="AE35" s="128"/>
    </row>
    <row r="36" spans="1:31" x14ac:dyDescent="0.3">
      <c r="A36" s="24">
        <v>2048</v>
      </c>
      <c r="B36" s="123">
        <v>37.08</v>
      </c>
      <c r="C36" s="127">
        <v>56.65</v>
      </c>
      <c r="D36" s="128">
        <v>94.76</v>
      </c>
      <c r="E36" s="123"/>
      <c r="F36" s="127"/>
      <c r="G36" s="128"/>
      <c r="H36" s="123"/>
      <c r="I36" s="127"/>
      <c r="J36" s="128"/>
      <c r="K36" s="123"/>
      <c r="L36" s="127"/>
      <c r="M36" s="128"/>
      <c r="N36" s="123"/>
      <c r="O36" s="127"/>
      <c r="P36" s="128"/>
      <c r="Q36" s="132">
        <v>25.75</v>
      </c>
      <c r="R36" s="123"/>
      <c r="S36" s="127"/>
      <c r="T36" s="128"/>
      <c r="U36" s="123"/>
      <c r="V36" s="123"/>
      <c r="W36" s="123"/>
      <c r="X36" s="127"/>
      <c r="Y36" s="128"/>
      <c r="Z36" s="123"/>
      <c r="AA36" s="127"/>
      <c r="AB36" s="128"/>
      <c r="AC36" s="127"/>
      <c r="AD36" s="127"/>
      <c r="AE36" s="128"/>
    </row>
    <row r="37" spans="1:31" x14ac:dyDescent="0.3">
      <c r="A37" s="24">
        <v>2049</v>
      </c>
      <c r="B37" s="123">
        <v>36.050000000000004</v>
      </c>
      <c r="C37" s="127">
        <v>55.105000000000004</v>
      </c>
      <c r="D37" s="128">
        <v>92.7</v>
      </c>
      <c r="E37" s="123"/>
      <c r="F37" s="127"/>
      <c r="G37" s="128"/>
      <c r="H37" s="123"/>
      <c r="I37" s="127"/>
      <c r="J37" s="128"/>
      <c r="K37" s="123"/>
      <c r="L37" s="127"/>
      <c r="M37" s="128"/>
      <c r="N37" s="123"/>
      <c r="O37" s="127"/>
      <c r="P37" s="128"/>
      <c r="Q37" s="132">
        <v>25.75</v>
      </c>
      <c r="R37" s="123"/>
      <c r="S37" s="127"/>
      <c r="T37" s="128"/>
      <c r="U37" s="123"/>
      <c r="V37" s="123"/>
      <c r="W37" s="123"/>
      <c r="X37" s="127"/>
      <c r="Y37" s="128"/>
      <c r="Z37" s="123"/>
      <c r="AA37" s="127"/>
      <c r="AB37" s="128"/>
      <c r="AC37" s="127"/>
      <c r="AD37" s="127"/>
      <c r="AE37" s="128"/>
    </row>
    <row r="38" spans="1:31" ht="15" thickBot="1" x14ac:dyDescent="0.35">
      <c r="A38" s="25">
        <v>2050</v>
      </c>
      <c r="B38" s="124">
        <v>36.050000000000004</v>
      </c>
      <c r="C38" s="129">
        <v>53.56</v>
      </c>
      <c r="D38" s="130">
        <v>89.61</v>
      </c>
      <c r="E38" s="124"/>
      <c r="F38" s="129"/>
      <c r="G38" s="130"/>
      <c r="H38" s="124"/>
      <c r="I38" s="129"/>
      <c r="J38" s="130"/>
      <c r="K38" s="124"/>
      <c r="L38" s="129"/>
      <c r="M38" s="130"/>
      <c r="N38" s="124">
        <v>39.291451199999997</v>
      </c>
      <c r="O38" s="129">
        <v>73.2011112</v>
      </c>
      <c r="P38" s="130">
        <v>107.1107712</v>
      </c>
      <c r="Q38" s="133">
        <v>25.75</v>
      </c>
      <c r="R38" s="124">
        <v>61.985399999999998</v>
      </c>
      <c r="S38" s="129">
        <v>88.724199999999996</v>
      </c>
      <c r="T38" s="130">
        <v>113.0322</v>
      </c>
      <c r="U38" s="124">
        <v>32.559831510328422</v>
      </c>
      <c r="V38" s="124">
        <v>21.564599612969843</v>
      </c>
      <c r="W38" s="124">
        <v>25.946190094599991</v>
      </c>
      <c r="X38" s="129">
        <v>37.49858635525667</v>
      </c>
      <c r="Y38" s="130">
        <v>48.100342222773328</v>
      </c>
      <c r="Z38" s="124">
        <v>23.592504320000007</v>
      </c>
      <c r="AA38" s="129">
        <v>24.471086080000006</v>
      </c>
      <c r="AB38" s="130">
        <v>34.083804160000007</v>
      </c>
      <c r="AC38" s="129"/>
      <c r="AD38" s="129"/>
      <c r="AE38" s="130"/>
    </row>
    <row r="40" spans="1:31" x14ac:dyDescent="0.3">
      <c r="A40" s="36" t="s">
        <v>30</v>
      </c>
    </row>
    <row r="41" spans="1:31" x14ac:dyDescent="0.3">
      <c r="A41" s="36" t="s">
        <v>60</v>
      </c>
    </row>
    <row r="42" spans="1:31" x14ac:dyDescent="0.3">
      <c r="A42" s="36" t="s">
        <v>308</v>
      </c>
    </row>
  </sheetData>
  <mergeCells count="10">
    <mergeCell ref="W1:Y1"/>
    <mergeCell ref="Z1:AB1"/>
    <mergeCell ref="AC1:AE1"/>
    <mergeCell ref="A1:A2"/>
    <mergeCell ref="B1:D1"/>
    <mergeCell ref="E1:G1"/>
    <mergeCell ref="H1:J1"/>
    <mergeCell ref="K1:M1"/>
    <mergeCell ref="N1:P1"/>
    <mergeCell ref="R1:T1"/>
  </mergeCells>
  <pageMargins left="0.25" right="0.25" top="0.75" bottom="0.75" header="0.3" footer="0.3"/>
  <pageSetup paperSize="9" scale="47" orientation="landscape" r:id="rId1"/>
  <headerFooter>
    <oddFooter>&amp;C_x000D_&amp;1#&amp;"Calibri"&amp;7&amp;K000000 Classification: In-Confidence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580-0719-4815-A834-985B766C2D83}">
  <sheetPr>
    <tabColor theme="5" tint="-0.499984740745262"/>
    <pageSetUpPr fitToPage="1"/>
  </sheetPr>
  <dimension ref="A1:Y42"/>
  <sheetViews>
    <sheetView zoomScale="70" zoomScaleNormal="70" workbookViewId="0">
      <selection activeCell="O39" sqref="O39"/>
    </sheetView>
  </sheetViews>
  <sheetFormatPr defaultRowHeight="14.4" x14ac:dyDescent="0.3"/>
  <cols>
    <col min="1" max="1" width="7.109375" style="1" bestFit="1" customWidth="1"/>
    <col min="2" max="3" width="9" style="1" bestFit="1" customWidth="1"/>
    <col min="4" max="4" width="8.5546875" style="1" bestFit="1" customWidth="1"/>
    <col min="5" max="7" width="9.6640625" style="1" bestFit="1" customWidth="1"/>
    <col min="8" max="8" width="16.88671875" style="1" customWidth="1"/>
    <col min="9" max="11" width="9" style="1" bestFit="1" customWidth="1"/>
    <col min="12" max="12" width="22.21875" style="1" customWidth="1"/>
    <col min="13" max="14" width="9" style="1" bestFit="1" customWidth="1"/>
    <col min="15" max="15" width="9.44140625" style="1" bestFit="1" customWidth="1"/>
    <col min="16" max="16" width="16.5546875" style="1" customWidth="1"/>
    <col min="17" max="17" width="9.88671875" style="1" customWidth="1"/>
    <col min="18" max="18" width="9.6640625" style="1" bestFit="1" customWidth="1"/>
    <col min="19" max="19" width="9.88671875" style="1" customWidth="1"/>
    <col min="20" max="20" width="14.5546875" style="1" bestFit="1" customWidth="1"/>
    <col min="21" max="23" width="18.6640625" style="1" customWidth="1"/>
    <col min="24" max="25" width="13.33203125" style="1" bestFit="1" customWidth="1"/>
  </cols>
  <sheetData>
    <row r="1" spans="1:25" ht="37.799999999999997" customHeight="1" thickBot="1" x14ac:dyDescent="0.35">
      <c r="A1" s="296" t="s">
        <v>0</v>
      </c>
      <c r="B1" s="291" t="s">
        <v>312</v>
      </c>
      <c r="C1" s="292"/>
      <c r="D1" s="292"/>
      <c r="E1" s="291" t="s">
        <v>287</v>
      </c>
      <c r="F1" s="292"/>
      <c r="G1" s="293"/>
      <c r="H1" s="28" t="s">
        <v>76</v>
      </c>
      <c r="I1" s="291" t="s">
        <v>77</v>
      </c>
      <c r="J1" s="292"/>
      <c r="K1" s="293"/>
      <c r="L1" s="28" t="s">
        <v>333</v>
      </c>
      <c r="M1" s="291" t="s">
        <v>334</v>
      </c>
      <c r="N1" s="292"/>
      <c r="O1" s="293"/>
      <c r="P1" s="28" t="s">
        <v>8</v>
      </c>
      <c r="Q1" s="304" t="s">
        <v>17</v>
      </c>
      <c r="R1" s="305"/>
      <c r="S1" s="306"/>
      <c r="T1"/>
      <c r="U1"/>
      <c r="V1"/>
      <c r="W1"/>
      <c r="X1"/>
      <c r="Y1"/>
    </row>
    <row r="2" spans="1:25" ht="15" thickBot="1" x14ac:dyDescent="0.35">
      <c r="A2" s="297"/>
      <c r="B2" s="29" t="s">
        <v>18</v>
      </c>
      <c r="C2" s="30" t="s">
        <v>19</v>
      </c>
      <c r="D2" s="31" t="s">
        <v>20</v>
      </c>
      <c r="E2" s="29" t="s">
        <v>18</v>
      </c>
      <c r="F2" s="30" t="s">
        <v>19</v>
      </c>
      <c r="G2" s="31" t="s">
        <v>20</v>
      </c>
      <c r="H2" s="32" t="s">
        <v>19</v>
      </c>
      <c r="I2" s="29" t="s">
        <v>18</v>
      </c>
      <c r="J2" s="30" t="s">
        <v>19</v>
      </c>
      <c r="K2" s="31" t="s">
        <v>20</v>
      </c>
      <c r="L2" s="32" t="s">
        <v>19</v>
      </c>
      <c r="M2" s="29" t="s">
        <v>18</v>
      </c>
      <c r="N2" s="30" t="s">
        <v>19</v>
      </c>
      <c r="O2" s="31" t="s">
        <v>20</v>
      </c>
      <c r="P2" s="32" t="s">
        <v>19</v>
      </c>
      <c r="Q2" s="94" t="s">
        <v>18</v>
      </c>
      <c r="R2" s="95" t="s">
        <v>19</v>
      </c>
      <c r="S2" s="96" t="s">
        <v>20</v>
      </c>
      <c r="T2"/>
      <c r="U2"/>
      <c r="V2"/>
      <c r="W2"/>
      <c r="X2"/>
      <c r="Y2"/>
    </row>
    <row r="3" spans="1:25" x14ac:dyDescent="0.3">
      <c r="A3" s="52">
        <v>2015</v>
      </c>
      <c r="B3" s="123"/>
      <c r="C3" s="127"/>
      <c r="D3" s="127"/>
      <c r="E3" s="123"/>
      <c r="F3" s="127"/>
      <c r="G3" s="127"/>
      <c r="H3" s="131">
        <v>4331.665</v>
      </c>
      <c r="I3" s="123"/>
      <c r="J3" s="127"/>
      <c r="K3" s="128"/>
      <c r="L3" s="131"/>
      <c r="M3" s="123">
        <v>7043.7893120000008</v>
      </c>
      <c r="N3" s="127">
        <v>7942.2360640000006</v>
      </c>
      <c r="O3" s="128">
        <v>10278.183776</v>
      </c>
      <c r="P3" s="131"/>
      <c r="Q3" s="127">
        <v>4395.9019224049944</v>
      </c>
      <c r="R3" s="127">
        <v>8819.1010995400065</v>
      </c>
      <c r="S3" s="128">
        <v>10710.894140716202</v>
      </c>
      <c r="T3"/>
      <c r="U3"/>
      <c r="V3"/>
      <c r="W3"/>
      <c r="X3"/>
      <c r="Y3"/>
    </row>
    <row r="4" spans="1:25" x14ac:dyDescent="0.3">
      <c r="A4" s="24">
        <v>2016</v>
      </c>
      <c r="B4" s="123"/>
      <c r="C4" s="127"/>
      <c r="D4" s="127"/>
      <c r="E4" s="123"/>
      <c r="F4" s="127"/>
      <c r="G4" s="127"/>
      <c r="H4" s="132"/>
      <c r="I4" s="123"/>
      <c r="J4" s="127"/>
      <c r="K4" s="128"/>
      <c r="L4" s="132"/>
      <c r="M4" s="123"/>
      <c r="N4" s="127"/>
      <c r="O4" s="128"/>
      <c r="P4" s="132"/>
      <c r="Q4" s="127">
        <v>3241.4355183425073</v>
      </c>
      <c r="R4" s="127">
        <v>9313.4667235524703</v>
      </c>
      <c r="S4" s="128">
        <v>13857.808658670598</v>
      </c>
      <c r="T4"/>
      <c r="U4"/>
      <c r="V4"/>
      <c r="W4"/>
      <c r="X4"/>
      <c r="Y4"/>
    </row>
    <row r="5" spans="1:25" x14ac:dyDescent="0.3">
      <c r="A5" s="24">
        <v>2017</v>
      </c>
      <c r="B5" s="123"/>
      <c r="C5" s="127"/>
      <c r="D5" s="127"/>
      <c r="E5" s="123"/>
      <c r="F5" s="127"/>
      <c r="G5" s="127"/>
      <c r="H5" s="132"/>
      <c r="I5" s="123"/>
      <c r="J5" s="127"/>
      <c r="K5" s="128"/>
      <c r="L5" s="132"/>
      <c r="M5" s="123"/>
      <c r="N5" s="127"/>
      <c r="O5" s="128"/>
      <c r="P5" s="132"/>
      <c r="Q5" s="127">
        <v>4694.9694112551924</v>
      </c>
      <c r="R5" s="127">
        <v>8774.8766387562373</v>
      </c>
      <c r="S5" s="128">
        <v>10649.428608148612</v>
      </c>
      <c r="T5"/>
      <c r="U5"/>
      <c r="V5"/>
      <c r="W5"/>
      <c r="X5"/>
      <c r="Y5"/>
    </row>
    <row r="6" spans="1:25" x14ac:dyDescent="0.3">
      <c r="A6" s="24">
        <v>2018</v>
      </c>
      <c r="B6" s="123"/>
      <c r="C6" s="127"/>
      <c r="D6" s="127"/>
      <c r="E6" s="123"/>
      <c r="F6" s="127"/>
      <c r="G6" s="127"/>
      <c r="H6" s="132"/>
      <c r="I6" s="123"/>
      <c r="J6" s="127"/>
      <c r="K6" s="128"/>
      <c r="L6" s="132"/>
      <c r="M6" s="123"/>
      <c r="N6" s="127"/>
      <c r="O6" s="128"/>
      <c r="P6" s="132"/>
      <c r="Q6" s="127">
        <v>4134.6214609639765</v>
      </c>
      <c r="R6" s="127">
        <v>6293.7898932428234</v>
      </c>
      <c r="S6" s="128">
        <v>8224.5269788531004</v>
      </c>
      <c r="T6"/>
      <c r="X6"/>
      <c r="Y6"/>
    </row>
    <row r="7" spans="1:25" x14ac:dyDescent="0.3">
      <c r="A7" s="24">
        <v>2019</v>
      </c>
      <c r="B7" s="123"/>
      <c r="C7" s="127"/>
      <c r="D7" s="127"/>
      <c r="E7" s="123"/>
      <c r="F7" s="127"/>
      <c r="G7" s="127"/>
      <c r="H7" s="132"/>
      <c r="I7" s="123"/>
      <c r="J7" s="127"/>
      <c r="K7" s="128"/>
      <c r="L7" s="132"/>
      <c r="M7" s="123"/>
      <c r="N7" s="127"/>
      <c r="O7" s="128"/>
      <c r="P7" s="132"/>
      <c r="Q7" s="127">
        <v>4472.7777061855522</v>
      </c>
      <c r="R7" s="127">
        <v>7866.665284954508</v>
      </c>
      <c r="S7" s="128">
        <v>10308.914184754494</v>
      </c>
      <c r="T7"/>
      <c r="X7"/>
      <c r="Y7"/>
    </row>
    <row r="8" spans="1:25" x14ac:dyDescent="0.3">
      <c r="A8" s="24">
        <v>2020</v>
      </c>
      <c r="B8" s="123"/>
      <c r="C8" s="127"/>
      <c r="D8" s="127"/>
      <c r="E8" s="123">
        <v>4912.6467999999995</v>
      </c>
      <c r="F8" s="127">
        <v>5534.9315999999999</v>
      </c>
      <c r="G8" s="127">
        <v>6541.282799999999</v>
      </c>
      <c r="H8" s="132">
        <v>3546.8050000000003</v>
      </c>
      <c r="I8" s="123">
        <v>3949.537504051857</v>
      </c>
      <c r="J8" s="127">
        <v>3949.537504051857</v>
      </c>
      <c r="K8" s="128">
        <v>3949.537504051857</v>
      </c>
      <c r="L8" s="132">
        <v>4865.0542080000005</v>
      </c>
      <c r="M8" s="123">
        <v>5067.211072000001</v>
      </c>
      <c r="N8" s="127">
        <v>5785.9730880000006</v>
      </c>
      <c r="O8" s="128">
        <v>7403.1703200000011</v>
      </c>
      <c r="P8" s="132">
        <v>4062.835</v>
      </c>
      <c r="Q8" s="192">
        <v>5135.1381166033052</v>
      </c>
      <c r="R8" s="192">
        <v>5423.2481758131244</v>
      </c>
      <c r="S8" s="193">
        <v>6050.3112458580272</v>
      </c>
      <c r="T8"/>
      <c r="X8"/>
      <c r="Y8"/>
    </row>
    <row r="9" spans="1:25" x14ac:dyDescent="0.3">
      <c r="A9" s="24">
        <v>2021</v>
      </c>
      <c r="B9" s="217">
        <v>7471.3966540488555</v>
      </c>
      <c r="C9" s="218">
        <v>7471.3966540488555</v>
      </c>
      <c r="D9" s="218">
        <v>7471.3966540488555</v>
      </c>
      <c r="E9" s="123">
        <v>4912.6467999999995</v>
      </c>
      <c r="F9" s="127">
        <v>5534.9315999999999</v>
      </c>
      <c r="G9" s="127">
        <v>6541.282799999999</v>
      </c>
      <c r="H9" s="132"/>
      <c r="I9" s="123">
        <v>3799.9621393841103</v>
      </c>
      <c r="J9" s="127">
        <v>3850.8177633711407</v>
      </c>
      <c r="K9" s="128">
        <v>3886.7158508914049</v>
      </c>
      <c r="L9" s="132"/>
      <c r="M9" s="123"/>
      <c r="N9" s="127"/>
      <c r="O9" s="128"/>
      <c r="P9" s="132"/>
      <c r="Q9" s="192">
        <v>10388.00927788614</v>
      </c>
      <c r="R9" s="192">
        <v>10388.00927788614</v>
      </c>
      <c r="S9" s="193">
        <v>10388.00927788614</v>
      </c>
      <c r="T9"/>
      <c r="X9"/>
      <c r="Y9"/>
    </row>
    <row r="10" spans="1:25" x14ac:dyDescent="0.3">
      <c r="A10" s="24">
        <v>2022</v>
      </c>
      <c r="B10" s="217">
        <v>7106.128373184245</v>
      </c>
      <c r="C10" s="218">
        <v>7222.3500989138938</v>
      </c>
      <c r="D10" s="218">
        <v>7471.3966540488555</v>
      </c>
      <c r="E10" s="123">
        <v>4629.4585999999999</v>
      </c>
      <c r="F10" s="127">
        <v>5215.2813999999998</v>
      </c>
      <c r="G10" s="127">
        <v>6162.0779999999995</v>
      </c>
      <c r="H10" s="132"/>
      <c r="I10" s="123">
        <v>3731.1574716369478</v>
      </c>
      <c r="J10" s="127">
        <v>3793.9791247973994</v>
      </c>
      <c r="K10" s="128">
        <v>3832.8687196110195</v>
      </c>
      <c r="L10" s="132"/>
      <c r="M10" s="123"/>
      <c r="N10" s="127"/>
      <c r="O10" s="128"/>
      <c r="P10" s="132"/>
      <c r="Q10" s="192">
        <v>4563.9962304075689</v>
      </c>
      <c r="R10" s="192">
        <v>4563.9962304075689</v>
      </c>
      <c r="S10" s="193">
        <v>4563.9962304075689</v>
      </c>
      <c r="T10"/>
      <c r="X10"/>
      <c r="Y10"/>
    </row>
    <row r="11" spans="1:25" x14ac:dyDescent="0.3">
      <c r="A11" s="24">
        <v>2023</v>
      </c>
      <c r="B11" s="123">
        <v>6740.8600923196336</v>
      </c>
      <c r="C11" s="127">
        <v>6973.3035437789313</v>
      </c>
      <c r="D11" s="127">
        <v>7471.3966540488555</v>
      </c>
      <c r="E11" s="123">
        <v>4454.4409999999998</v>
      </c>
      <c r="F11" s="127">
        <v>5018.3865999999998</v>
      </c>
      <c r="G11" s="127">
        <v>5929.9365999999991</v>
      </c>
      <c r="H11" s="132"/>
      <c r="I11" s="123">
        <v>3623.4632090761652</v>
      </c>
      <c r="J11" s="127">
        <v>3707.2254132901048</v>
      </c>
      <c r="K11" s="128">
        <v>3767.0555591572124</v>
      </c>
      <c r="L11" s="132"/>
      <c r="M11" s="123"/>
      <c r="N11" s="127"/>
      <c r="O11" s="128"/>
      <c r="P11" s="132"/>
      <c r="Q11" s="127">
        <v>6146.6280000000006</v>
      </c>
      <c r="R11" s="127">
        <v>6786.3266666666668</v>
      </c>
      <c r="S11" s="128">
        <v>8178.6120000000001</v>
      </c>
      <c r="T11"/>
      <c r="X11"/>
      <c r="Y11"/>
    </row>
    <row r="12" spans="1:25" x14ac:dyDescent="0.3">
      <c r="A12" s="24">
        <v>2024</v>
      </c>
      <c r="B12" s="123">
        <v>6375.5918114550232</v>
      </c>
      <c r="C12" s="127">
        <v>6724.2569886439696</v>
      </c>
      <c r="D12" s="127">
        <v>7471.3966540488555</v>
      </c>
      <c r="E12" s="123">
        <v>4251.4691999999995</v>
      </c>
      <c r="F12" s="127">
        <v>4789.8914000000004</v>
      </c>
      <c r="G12" s="127">
        <v>5660.1177999999991</v>
      </c>
      <c r="H12" s="132"/>
      <c r="I12" s="123">
        <v>3551.6670340356472</v>
      </c>
      <c r="J12" s="127">
        <v>3641.4122528362982</v>
      </c>
      <c r="K12" s="128">
        <v>3716.1999351701711</v>
      </c>
      <c r="L12" s="132"/>
      <c r="M12" s="123"/>
      <c r="N12" s="127"/>
      <c r="O12" s="128"/>
      <c r="P12" s="132"/>
      <c r="Q12" s="127"/>
      <c r="R12" s="127"/>
      <c r="S12" s="128"/>
      <c r="T12"/>
      <c r="X12"/>
      <c r="Y12"/>
    </row>
    <row r="13" spans="1:25" x14ac:dyDescent="0.3">
      <c r="A13" s="24">
        <v>2025</v>
      </c>
      <c r="B13" s="123">
        <v>6010.3235305904127</v>
      </c>
      <c r="C13" s="127">
        <v>6475.210433509008</v>
      </c>
      <c r="D13" s="127">
        <v>7471.3966540488555</v>
      </c>
      <c r="E13" s="123">
        <v>4044.8512000000001</v>
      </c>
      <c r="F13" s="127">
        <v>4556.5346</v>
      </c>
      <c r="G13" s="127">
        <v>5385.4373999999998</v>
      </c>
      <c r="H13" s="132">
        <v>3133.26</v>
      </c>
      <c r="I13" s="123">
        <v>3464.9133225283526</v>
      </c>
      <c r="J13" s="127">
        <v>3563.6330632090694</v>
      </c>
      <c r="K13" s="128">
        <v>3653.378282009719</v>
      </c>
      <c r="L13" s="132"/>
      <c r="M13" s="123"/>
      <c r="N13" s="127"/>
      <c r="O13" s="128"/>
      <c r="P13" s="132">
        <v>3548.3500000000004</v>
      </c>
      <c r="Q13" s="127"/>
      <c r="R13" s="127"/>
      <c r="S13" s="128"/>
      <c r="T13"/>
      <c r="X13"/>
      <c r="Y13"/>
    </row>
    <row r="14" spans="1:25" x14ac:dyDescent="0.3">
      <c r="A14" s="24">
        <v>2026</v>
      </c>
      <c r="B14" s="123">
        <v>5645.0552497258022</v>
      </c>
      <c r="C14" s="127">
        <v>6226.1638783740464</v>
      </c>
      <c r="D14" s="127">
        <v>7471.3966540488555</v>
      </c>
      <c r="E14" s="123">
        <v>3834.5869999999995</v>
      </c>
      <c r="F14" s="127">
        <v>4320.7469999999994</v>
      </c>
      <c r="G14" s="127">
        <v>5104.68</v>
      </c>
      <c r="H14" s="132"/>
      <c r="I14" s="123">
        <v>3387.1341329011234</v>
      </c>
      <c r="J14" s="127">
        <v>3500.8114100486168</v>
      </c>
      <c r="K14" s="128">
        <v>3605.5141653160445</v>
      </c>
      <c r="L14" s="132"/>
      <c r="M14" s="123"/>
      <c r="N14" s="127"/>
      <c r="O14" s="128"/>
      <c r="P14" s="132"/>
      <c r="Q14" s="127"/>
      <c r="R14" s="127"/>
      <c r="S14" s="128"/>
      <c r="T14"/>
      <c r="X14"/>
      <c r="Y14"/>
    </row>
    <row r="15" spans="1:25" x14ac:dyDescent="0.3">
      <c r="A15" s="24">
        <v>2027</v>
      </c>
      <c r="B15" s="123">
        <v>5279.7869688611918</v>
      </c>
      <c r="C15" s="127">
        <v>5977.1173232390838</v>
      </c>
      <c r="D15" s="127">
        <v>7471.3966540488555</v>
      </c>
      <c r="E15" s="123">
        <v>3620.6765999999998</v>
      </c>
      <c r="F15" s="127">
        <v>4078.8824</v>
      </c>
      <c r="G15" s="127">
        <v>4819.0609999999997</v>
      </c>
      <c r="H15" s="132"/>
      <c r="I15" s="123">
        <v>3300.3804213938406</v>
      </c>
      <c r="J15" s="127">
        <v>3426.0237277147439</v>
      </c>
      <c r="K15" s="128">
        <v>3548.6755267422918</v>
      </c>
      <c r="L15" s="132"/>
      <c r="M15" s="123"/>
      <c r="N15" s="127"/>
      <c r="O15" s="128"/>
      <c r="P15" s="132"/>
      <c r="Q15" s="127"/>
      <c r="R15" s="127"/>
      <c r="S15" s="128"/>
      <c r="T15"/>
      <c r="U15"/>
      <c r="V15"/>
      <c r="W15"/>
      <c r="X15"/>
      <c r="Y15"/>
    </row>
    <row r="16" spans="1:25" x14ac:dyDescent="0.3">
      <c r="A16" s="24">
        <v>2028</v>
      </c>
      <c r="B16" s="123">
        <v>4914.5186879965804</v>
      </c>
      <c r="C16" s="127">
        <v>5728.0707681041222</v>
      </c>
      <c r="D16" s="127">
        <v>7471.3966540488555</v>
      </c>
      <c r="E16" s="123">
        <v>3401.9045999999998</v>
      </c>
      <c r="F16" s="127">
        <v>3832.1561999999999</v>
      </c>
      <c r="G16" s="127">
        <v>4528.5803999999998</v>
      </c>
      <c r="H16" s="132"/>
      <c r="I16" s="123">
        <v>3246.5332901134434</v>
      </c>
      <c r="J16" s="127">
        <v>3360.2105672609364</v>
      </c>
      <c r="K16" s="128">
        <v>3500.8114100486168</v>
      </c>
      <c r="L16" s="132"/>
      <c r="M16" s="123"/>
      <c r="N16" s="127"/>
      <c r="O16" s="128"/>
      <c r="P16" s="132"/>
      <c r="Q16" s="127"/>
      <c r="R16" s="127"/>
      <c r="S16" s="128"/>
      <c r="T16"/>
      <c r="U16"/>
      <c r="V16"/>
      <c r="W16"/>
      <c r="X16"/>
      <c r="Y16"/>
    </row>
    <row r="17" spans="1:25" x14ac:dyDescent="0.3">
      <c r="A17" s="24">
        <v>2029</v>
      </c>
      <c r="B17" s="123">
        <v>4549.25040713197</v>
      </c>
      <c r="C17" s="127">
        <v>5479.0242129691605</v>
      </c>
      <c r="D17" s="127">
        <v>7471.3966540488555</v>
      </c>
      <c r="E17" s="123">
        <v>3177.0556000000001</v>
      </c>
      <c r="F17" s="127">
        <v>3580.5683999999997</v>
      </c>
      <c r="G17" s="127">
        <v>4230.8073999999997</v>
      </c>
      <c r="H17" s="132"/>
      <c r="I17" s="123">
        <v>3174.7371150729259</v>
      </c>
      <c r="J17" s="127">
        <v>3306.3634359805519</v>
      </c>
      <c r="K17" s="128">
        <v>3455.9388006482982</v>
      </c>
      <c r="L17" s="132"/>
      <c r="M17" s="123"/>
      <c r="N17" s="127"/>
      <c r="O17" s="128"/>
      <c r="P17" s="132"/>
      <c r="Q17" s="127"/>
      <c r="R17" s="127"/>
      <c r="S17" s="128"/>
      <c r="T17"/>
      <c r="U17"/>
      <c r="V17"/>
      <c r="W17"/>
      <c r="X17"/>
      <c r="Y17"/>
    </row>
    <row r="18" spans="1:25" x14ac:dyDescent="0.3">
      <c r="A18" s="24">
        <v>2030</v>
      </c>
      <c r="B18" s="123">
        <v>4183.9821262673595</v>
      </c>
      <c r="C18" s="127">
        <v>5229.9776578341989</v>
      </c>
      <c r="D18" s="127">
        <v>7471.3966540488555</v>
      </c>
      <c r="E18" s="123">
        <v>2948.5603999999998</v>
      </c>
      <c r="F18" s="127">
        <v>3321.6882000000001</v>
      </c>
      <c r="G18" s="127">
        <v>3924.5265999999997</v>
      </c>
      <c r="H18" s="132">
        <v>2855.6750000000002</v>
      </c>
      <c r="I18" s="123">
        <v>3117.8984764991847</v>
      </c>
      <c r="J18" s="127">
        <v>3261.4908265802201</v>
      </c>
      <c r="K18" s="128">
        <v>3426.0237277147439</v>
      </c>
      <c r="L18" s="132">
        <v>3705.5477760000003</v>
      </c>
      <c r="M18" s="123">
        <v>3809.3948480000004</v>
      </c>
      <c r="N18" s="127">
        <v>4348.4605920000004</v>
      </c>
      <c r="O18" s="128">
        <v>5570.342176000001</v>
      </c>
      <c r="P18" s="132">
        <v>3193.5149999999999</v>
      </c>
      <c r="Q18" s="127"/>
      <c r="R18" s="127"/>
      <c r="S18" s="128"/>
      <c r="T18"/>
      <c r="U18"/>
      <c r="V18"/>
      <c r="W18"/>
      <c r="X18"/>
      <c r="Y18"/>
    </row>
    <row r="19" spans="1:25" x14ac:dyDescent="0.3">
      <c r="A19" s="24">
        <v>2031</v>
      </c>
      <c r="B19" s="123">
        <v>4131.6823496890174</v>
      </c>
      <c r="C19" s="127">
        <v>5192.6206745639538</v>
      </c>
      <c r="D19" s="127">
        <v>7471.3966540488555</v>
      </c>
      <c r="E19" s="123">
        <v>2926.6831999999999</v>
      </c>
      <c r="F19" s="127">
        <v>3297.3801999999996</v>
      </c>
      <c r="G19" s="127">
        <v>3895.3569999999995</v>
      </c>
      <c r="H19" s="132"/>
      <c r="I19" s="123">
        <v>3073.025867098866</v>
      </c>
      <c r="J19" s="127">
        <v>3225.5927390599672</v>
      </c>
      <c r="K19" s="128">
        <v>3393.1171474878342</v>
      </c>
      <c r="L19" s="132"/>
      <c r="M19" s="123"/>
      <c r="N19" s="127"/>
      <c r="O19" s="128"/>
      <c r="P19" s="132"/>
      <c r="Q19" s="127"/>
      <c r="R19" s="127"/>
      <c r="S19" s="128"/>
      <c r="T19"/>
      <c r="U19"/>
      <c r="V19"/>
      <c r="W19"/>
      <c r="X19"/>
      <c r="Y19"/>
    </row>
    <row r="20" spans="1:25" x14ac:dyDescent="0.3">
      <c r="A20" s="24">
        <v>2032</v>
      </c>
      <c r="B20" s="123">
        <v>4079.3825731106758</v>
      </c>
      <c r="C20" s="127">
        <v>5155.2636912937096</v>
      </c>
      <c r="D20" s="127">
        <v>7471.3966540488555</v>
      </c>
      <c r="E20" s="123">
        <v>2904.806</v>
      </c>
      <c r="F20" s="127">
        <v>3271.8568</v>
      </c>
      <c r="G20" s="127">
        <v>3866.1873999999998</v>
      </c>
      <c r="H20" s="132"/>
      <c r="I20" s="123">
        <v>3028.1532576985342</v>
      </c>
      <c r="J20" s="127">
        <v>3192.686158833058</v>
      </c>
      <c r="K20" s="128">
        <v>3366.1935818476472</v>
      </c>
      <c r="L20" s="132"/>
      <c r="M20" s="123"/>
      <c r="N20" s="127"/>
      <c r="O20" s="128"/>
      <c r="P20" s="132"/>
      <c r="Q20" s="127"/>
      <c r="R20" s="127"/>
      <c r="S20" s="128"/>
      <c r="T20"/>
      <c r="U20"/>
      <c r="V20"/>
      <c r="W20"/>
      <c r="X20"/>
      <c r="Y20"/>
    </row>
    <row r="21" spans="1:25" x14ac:dyDescent="0.3">
      <c r="A21" s="24">
        <v>2033</v>
      </c>
      <c r="B21" s="123">
        <v>4027.0827965323342</v>
      </c>
      <c r="C21" s="127">
        <v>5117.9067080234645</v>
      </c>
      <c r="D21" s="127">
        <v>7471.3966540488555</v>
      </c>
      <c r="E21" s="123">
        <v>2882.9288000000001</v>
      </c>
      <c r="F21" s="127">
        <v>3247.5488</v>
      </c>
      <c r="G21" s="127">
        <v>3837.0178000000001</v>
      </c>
      <c r="H21" s="132"/>
      <c r="I21" s="123">
        <v>2995.2466774716368</v>
      </c>
      <c r="J21" s="127">
        <v>3162.7710858995042</v>
      </c>
      <c r="K21" s="128">
        <v>3348.2445380875156</v>
      </c>
      <c r="L21" s="132"/>
      <c r="M21" s="123"/>
      <c r="N21" s="127"/>
      <c r="O21" s="128"/>
      <c r="P21" s="132"/>
      <c r="Q21" s="127"/>
      <c r="R21" s="127"/>
      <c r="S21" s="128"/>
      <c r="T21"/>
      <c r="U21"/>
      <c r="V21"/>
      <c r="W21"/>
      <c r="X21"/>
      <c r="Y21"/>
    </row>
    <row r="22" spans="1:25" x14ac:dyDescent="0.3">
      <c r="A22" s="24">
        <v>2034</v>
      </c>
      <c r="B22" s="123">
        <v>3974.7830199539917</v>
      </c>
      <c r="C22" s="127">
        <v>5080.5497247532212</v>
      </c>
      <c r="D22" s="127">
        <v>7471.3966540488555</v>
      </c>
      <c r="E22" s="123">
        <v>2861.0515999999998</v>
      </c>
      <c r="F22" s="127">
        <v>3223.2407999999996</v>
      </c>
      <c r="G22" s="127">
        <v>3807.8481999999999</v>
      </c>
      <c r="H22" s="132"/>
      <c r="I22" s="123">
        <v>2959.3485899513717</v>
      </c>
      <c r="J22" s="127">
        <v>3132.8560129659613</v>
      </c>
      <c r="K22" s="128">
        <v>3324.3124797406722</v>
      </c>
      <c r="L22" s="132"/>
      <c r="M22" s="123"/>
      <c r="N22" s="127"/>
      <c r="O22" s="128"/>
      <c r="P22" s="132"/>
      <c r="Q22" s="127"/>
      <c r="R22" s="127"/>
      <c r="S22" s="128"/>
      <c r="T22"/>
      <c r="U22"/>
      <c r="V22"/>
      <c r="W22"/>
      <c r="X22"/>
      <c r="Y22"/>
    </row>
    <row r="23" spans="1:25" x14ac:dyDescent="0.3">
      <c r="A23" s="24">
        <v>2035</v>
      </c>
      <c r="B23" s="123">
        <v>3922.4832433756501</v>
      </c>
      <c r="C23" s="127">
        <v>5043.1927414829761</v>
      </c>
      <c r="D23" s="127">
        <v>7471.3966540488555</v>
      </c>
      <c r="E23" s="123">
        <v>2839.1743999999999</v>
      </c>
      <c r="F23" s="127">
        <v>3197.7174</v>
      </c>
      <c r="G23" s="127">
        <v>3778.6786000000002</v>
      </c>
      <c r="H23" s="132">
        <v>2632.165</v>
      </c>
      <c r="I23" s="123">
        <v>2929.4335170178178</v>
      </c>
      <c r="J23" s="127">
        <v>3108.9239546191184</v>
      </c>
      <c r="K23" s="128">
        <v>3303.371928687196</v>
      </c>
      <c r="L23" s="132"/>
      <c r="M23" s="123"/>
      <c r="N23" s="127"/>
      <c r="O23" s="128"/>
      <c r="P23" s="132">
        <v>2942.1950000000002</v>
      </c>
      <c r="Q23" s="127"/>
      <c r="R23" s="127"/>
      <c r="S23" s="128"/>
      <c r="T23"/>
      <c r="U23"/>
      <c r="V23"/>
      <c r="W23"/>
      <c r="X23"/>
      <c r="Y23"/>
    </row>
    <row r="24" spans="1:25" x14ac:dyDescent="0.3">
      <c r="A24" s="24">
        <v>2036</v>
      </c>
      <c r="B24" s="123">
        <v>3870.183466797308</v>
      </c>
      <c r="C24" s="127">
        <v>5005.835758212731</v>
      </c>
      <c r="D24" s="127">
        <v>7471.3966540488555</v>
      </c>
      <c r="E24" s="123">
        <v>2816.0817999999999</v>
      </c>
      <c r="F24" s="127">
        <v>3173.4094</v>
      </c>
      <c r="G24" s="127">
        <v>3749.509</v>
      </c>
      <c r="H24" s="132"/>
      <c r="I24" s="123">
        <v>2905.5014586709867</v>
      </c>
      <c r="J24" s="127">
        <v>3090.9749108589863</v>
      </c>
      <c r="K24" s="128">
        <v>3282.4313776337076</v>
      </c>
      <c r="L24" s="132"/>
      <c r="M24" s="123"/>
      <c r="N24" s="127"/>
      <c r="O24" s="128"/>
      <c r="P24" s="132"/>
      <c r="Q24" s="127"/>
      <c r="R24" s="127"/>
      <c r="S24" s="128"/>
      <c r="T24"/>
      <c r="U24"/>
      <c r="V24"/>
      <c r="W24"/>
      <c r="X24"/>
      <c r="Y24"/>
    </row>
    <row r="25" spans="1:25" x14ac:dyDescent="0.3">
      <c r="A25" s="24">
        <v>2037</v>
      </c>
      <c r="B25" s="123">
        <v>3817.8836902189664</v>
      </c>
      <c r="C25" s="127">
        <v>4968.4787749424868</v>
      </c>
      <c r="D25" s="127">
        <v>7471.3966540488555</v>
      </c>
      <c r="E25" s="123">
        <v>2794.2045999999996</v>
      </c>
      <c r="F25" s="127">
        <v>3147.886</v>
      </c>
      <c r="G25" s="127">
        <v>3720.3394000000003</v>
      </c>
      <c r="H25" s="132"/>
      <c r="I25" s="123">
        <v>2875.5863857374325</v>
      </c>
      <c r="J25" s="127">
        <v>3073.025867098866</v>
      </c>
      <c r="K25" s="128">
        <v>3267.4738411669309</v>
      </c>
      <c r="L25" s="132"/>
      <c r="M25" s="123"/>
      <c r="N25" s="127"/>
      <c r="O25" s="128"/>
      <c r="P25" s="132"/>
      <c r="Q25" s="127"/>
      <c r="R25" s="127"/>
      <c r="S25" s="128"/>
      <c r="T25"/>
      <c r="U25"/>
      <c r="V25"/>
      <c r="W25"/>
      <c r="X25"/>
      <c r="Y25"/>
    </row>
    <row r="26" spans="1:25" x14ac:dyDescent="0.3">
      <c r="A26" s="24">
        <v>2038</v>
      </c>
      <c r="B26" s="123">
        <v>3765.5839136406244</v>
      </c>
      <c r="C26" s="127">
        <v>4931.1217916722417</v>
      </c>
      <c r="D26" s="127">
        <v>7471.3966540488555</v>
      </c>
      <c r="E26" s="123">
        <v>2772.3274000000001</v>
      </c>
      <c r="F26" s="127">
        <v>3123.578</v>
      </c>
      <c r="G26" s="127">
        <v>3689.9544000000001</v>
      </c>
      <c r="H26" s="132"/>
      <c r="I26" s="123">
        <v>2857.6373419773004</v>
      </c>
      <c r="J26" s="127">
        <v>3055.076823338733</v>
      </c>
      <c r="K26" s="128">
        <v>3252.5163047001543</v>
      </c>
      <c r="L26" s="132"/>
      <c r="M26" s="123"/>
      <c r="N26" s="127"/>
      <c r="O26" s="128"/>
      <c r="P26" s="132"/>
      <c r="Q26" s="127"/>
      <c r="R26" s="127"/>
      <c r="S26" s="128"/>
      <c r="T26"/>
      <c r="U26"/>
      <c r="V26"/>
      <c r="W26"/>
      <c r="X26"/>
      <c r="Y26"/>
    </row>
    <row r="27" spans="1:25" x14ac:dyDescent="0.3">
      <c r="A27" s="24">
        <v>2039</v>
      </c>
      <c r="B27" s="123">
        <v>3713.2841370622823</v>
      </c>
      <c r="C27" s="127">
        <v>4893.7648084019975</v>
      </c>
      <c r="D27" s="127">
        <v>7471.3966540488555</v>
      </c>
      <c r="E27" s="123">
        <v>2749.2347999999997</v>
      </c>
      <c r="F27" s="127">
        <v>3098.0545999999999</v>
      </c>
      <c r="G27" s="127">
        <v>3660.7847999999999</v>
      </c>
      <c r="H27" s="132"/>
      <c r="I27" s="123">
        <v>2839.6882982171796</v>
      </c>
      <c r="J27" s="127">
        <v>3037.1277795786009</v>
      </c>
      <c r="K27" s="128">
        <v>3240.550275526733</v>
      </c>
      <c r="L27" s="132"/>
      <c r="M27" s="123"/>
      <c r="N27" s="127"/>
      <c r="O27" s="128"/>
      <c r="P27" s="132"/>
      <c r="Q27" s="127"/>
      <c r="R27" s="127"/>
      <c r="S27" s="128"/>
      <c r="T27"/>
      <c r="U27"/>
      <c r="V27"/>
      <c r="W27"/>
      <c r="X27"/>
      <c r="Y27"/>
    </row>
    <row r="28" spans="1:25" x14ac:dyDescent="0.3">
      <c r="A28" s="24">
        <v>2040</v>
      </c>
      <c r="B28" s="123">
        <v>3660.9843604839407</v>
      </c>
      <c r="C28" s="127">
        <v>4856.4078251317524</v>
      </c>
      <c r="D28" s="127">
        <v>7471.3966540488555</v>
      </c>
      <c r="E28" s="123">
        <v>2727.3576000000003</v>
      </c>
      <c r="F28" s="127">
        <v>3072.5311999999999</v>
      </c>
      <c r="G28" s="127">
        <v>3631.6151999999997</v>
      </c>
      <c r="H28" s="132">
        <v>2441.1</v>
      </c>
      <c r="I28" s="123">
        <v>2818.7477471636912</v>
      </c>
      <c r="J28" s="127">
        <v>3019.1787358184683</v>
      </c>
      <c r="K28" s="128">
        <v>3222.6012317666123</v>
      </c>
      <c r="L28" s="132">
        <v>3282.4995840000006</v>
      </c>
      <c r="M28" s="123">
        <v>3378.1445600000006</v>
      </c>
      <c r="N28" s="127">
        <v>3809.3948480000004</v>
      </c>
      <c r="O28" s="128">
        <v>4995.3417920000002</v>
      </c>
      <c r="P28" s="132">
        <v>2740.83</v>
      </c>
      <c r="Q28" s="127"/>
      <c r="R28" s="127"/>
      <c r="S28" s="128"/>
      <c r="T28"/>
      <c r="U28"/>
      <c r="V28"/>
      <c r="W28"/>
      <c r="X28"/>
      <c r="Y28"/>
    </row>
    <row r="29" spans="1:25" x14ac:dyDescent="0.3">
      <c r="A29" s="24">
        <v>2041</v>
      </c>
      <c r="B29" s="123">
        <v>3608.6845839055986</v>
      </c>
      <c r="C29" s="127">
        <v>4819.0508418615073</v>
      </c>
      <c r="D29" s="127">
        <v>7471.3966540488555</v>
      </c>
      <c r="E29" s="123">
        <v>2705.4803999999999</v>
      </c>
      <c r="F29" s="127">
        <v>3047.0077999999999</v>
      </c>
      <c r="G29" s="127">
        <v>3601.2302</v>
      </c>
      <c r="H29" s="132"/>
      <c r="I29" s="123">
        <v>2806.7817179902704</v>
      </c>
      <c r="J29" s="127">
        <v>3004.2211993516912</v>
      </c>
      <c r="K29" s="128">
        <v>3210.6352025931901</v>
      </c>
      <c r="L29" s="132"/>
      <c r="M29" s="123"/>
      <c r="N29" s="127"/>
      <c r="O29" s="128"/>
      <c r="P29" s="132"/>
      <c r="Q29" s="127"/>
      <c r="R29" s="127"/>
      <c r="S29" s="128"/>
      <c r="T29"/>
      <c r="U29"/>
      <c r="V29"/>
      <c r="W29"/>
      <c r="X29"/>
      <c r="Y29"/>
    </row>
    <row r="30" spans="1:25" x14ac:dyDescent="0.3">
      <c r="A30" s="24">
        <v>2042</v>
      </c>
      <c r="B30" s="123">
        <v>3556.3848073272566</v>
      </c>
      <c r="C30" s="127">
        <v>4781.6938585912631</v>
      </c>
      <c r="D30" s="127">
        <v>7471.3966540488555</v>
      </c>
      <c r="E30" s="123">
        <v>2682.3878</v>
      </c>
      <c r="F30" s="127">
        <v>3022.6997999999999</v>
      </c>
      <c r="G30" s="127">
        <v>3570.8451999999997</v>
      </c>
      <c r="H30" s="132"/>
      <c r="I30" s="123">
        <v>2785.8411669367824</v>
      </c>
      <c r="J30" s="127">
        <v>2992.2551701782813</v>
      </c>
      <c r="K30" s="128">
        <v>3198.6691734197693</v>
      </c>
      <c r="L30" s="132"/>
      <c r="M30" s="123"/>
      <c r="N30" s="127"/>
      <c r="O30" s="128"/>
      <c r="P30" s="132"/>
      <c r="Q30" s="127"/>
      <c r="R30" s="127"/>
      <c r="S30" s="128"/>
      <c r="T30"/>
      <c r="U30"/>
      <c r="V30"/>
      <c r="W30"/>
      <c r="X30"/>
      <c r="Y30"/>
    </row>
    <row r="31" spans="1:25" x14ac:dyDescent="0.3">
      <c r="A31" s="24">
        <v>2043</v>
      </c>
      <c r="B31" s="123">
        <v>3504.0850307489145</v>
      </c>
      <c r="C31" s="127">
        <v>4744.3368753210189</v>
      </c>
      <c r="D31" s="127">
        <v>7471.3966540488555</v>
      </c>
      <c r="E31" s="123">
        <v>2660.5106000000001</v>
      </c>
      <c r="F31" s="127">
        <v>2997.1763999999998</v>
      </c>
      <c r="G31" s="127">
        <v>3541.6756</v>
      </c>
      <c r="H31" s="132"/>
      <c r="I31" s="123">
        <v>2770.8836304700053</v>
      </c>
      <c r="J31" s="127">
        <v>2974.3061264181488</v>
      </c>
      <c r="K31" s="128">
        <v>3189.6946515397026</v>
      </c>
      <c r="L31" s="132"/>
      <c r="M31" s="123"/>
      <c r="N31" s="127"/>
      <c r="O31" s="128"/>
      <c r="P31" s="132"/>
      <c r="Q31" s="127"/>
      <c r="R31" s="127"/>
      <c r="S31" s="128"/>
      <c r="T31"/>
      <c r="U31"/>
      <c r="V31"/>
      <c r="W31"/>
      <c r="X31"/>
      <c r="Y31"/>
    </row>
    <row r="32" spans="1:25" x14ac:dyDescent="0.3">
      <c r="A32" s="24">
        <v>2044</v>
      </c>
      <c r="B32" s="123">
        <v>3451.7852541705729</v>
      </c>
      <c r="C32" s="127">
        <v>4706.9798920507747</v>
      </c>
      <c r="D32" s="127">
        <v>7471.3966540488555</v>
      </c>
      <c r="E32" s="123">
        <v>2637.4180000000001</v>
      </c>
      <c r="F32" s="127">
        <v>2971.6529999999998</v>
      </c>
      <c r="G32" s="127">
        <v>3511.2906000000003</v>
      </c>
      <c r="H32" s="132"/>
      <c r="I32" s="123">
        <v>2752.9345867098846</v>
      </c>
      <c r="J32" s="127">
        <v>2962.3400972447275</v>
      </c>
      <c r="K32" s="128">
        <v>3180.7201296596363</v>
      </c>
      <c r="L32" s="132"/>
      <c r="M32" s="123"/>
      <c r="N32" s="127"/>
      <c r="O32" s="128"/>
      <c r="P32" s="132"/>
      <c r="Q32" s="127"/>
      <c r="R32" s="127"/>
      <c r="S32" s="128"/>
      <c r="T32"/>
      <c r="U32"/>
      <c r="V32"/>
      <c r="W32"/>
      <c r="X32"/>
      <c r="Y32"/>
    </row>
    <row r="33" spans="1:25" x14ac:dyDescent="0.3">
      <c r="A33" s="24">
        <v>2045</v>
      </c>
      <c r="B33" s="123">
        <v>3399.4854775922313</v>
      </c>
      <c r="C33" s="127">
        <v>4669.6229087805295</v>
      </c>
      <c r="D33" s="127">
        <v>7471.3966540488555</v>
      </c>
      <c r="E33" s="123">
        <v>2614.3253999999997</v>
      </c>
      <c r="F33" s="127">
        <v>2946.1295999999998</v>
      </c>
      <c r="G33" s="127">
        <v>3480.9056</v>
      </c>
      <c r="H33" s="132">
        <v>2265.4850000000001</v>
      </c>
      <c r="I33" s="123">
        <v>2737.9770502431074</v>
      </c>
      <c r="J33" s="127">
        <v>2947.3825607779504</v>
      </c>
      <c r="K33" s="128">
        <v>3171.7456077795705</v>
      </c>
      <c r="L33" s="132"/>
      <c r="M33" s="123"/>
      <c r="N33" s="127"/>
      <c r="O33" s="128"/>
      <c r="P33" s="132">
        <v>2573.4549999999999</v>
      </c>
      <c r="Q33" s="127"/>
      <c r="R33" s="127"/>
      <c r="S33" s="128"/>
      <c r="T33"/>
      <c r="U33"/>
      <c r="V33"/>
      <c r="W33"/>
      <c r="X33"/>
      <c r="Y33"/>
    </row>
    <row r="34" spans="1:25" x14ac:dyDescent="0.3">
      <c r="A34" s="24">
        <v>2046</v>
      </c>
      <c r="B34" s="123">
        <v>3347.1857010138892</v>
      </c>
      <c r="C34" s="127">
        <v>4632.2659255102844</v>
      </c>
      <c r="D34" s="127">
        <v>7471.3966540488555</v>
      </c>
      <c r="E34" s="123">
        <v>2592.4482000000003</v>
      </c>
      <c r="F34" s="127">
        <v>2920.6062000000002</v>
      </c>
      <c r="G34" s="127">
        <v>3450.5206000000003</v>
      </c>
      <c r="H34" s="132"/>
      <c r="I34" s="123">
        <v>2731.994035656397</v>
      </c>
      <c r="J34" s="127">
        <v>2938.4080388978846</v>
      </c>
      <c r="K34" s="128">
        <v>3165.7625931928596</v>
      </c>
      <c r="L34" s="132"/>
      <c r="M34" s="123"/>
      <c r="N34" s="127"/>
      <c r="O34" s="128"/>
      <c r="P34" s="132"/>
      <c r="Q34" s="127"/>
      <c r="R34" s="127"/>
      <c r="S34" s="128"/>
      <c r="T34"/>
      <c r="U34"/>
      <c r="V34"/>
      <c r="W34"/>
      <c r="X34"/>
      <c r="Y34"/>
    </row>
    <row r="35" spans="1:25" x14ac:dyDescent="0.3">
      <c r="A35" s="24">
        <v>2047</v>
      </c>
      <c r="B35" s="123">
        <v>3294.8859244355472</v>
      </c>
      <c r="C35" s="127">
        <v>4594.9089422400402</v>
      </c>
      <c r="D35" s="127">
        <v>7471.3966540488555</v>
      </c>
      <c r="E35" s="123">
        <v>2569.3555999999999</v>
      </c>
      <c r="F35" s="127">
        <v>2895.0827999999997</v>
      </c>
      <c r="G35" s="127">
        <v>3420.1356000000001</v>
      </c>
      <c r="H35" s="132"/>
      <c r="I35" s="123">
        <v>2717.0364991896195</v>
      </c>
      <c r="J35" s="127">
        <v>2926.4420097244624</v>
      </c>
      <c r="K35" s="128">
        <v>3156.7880713127934</v>
      </c>
      <c r="L35" s="132"/>
      <c r="M35" s="123"/>
      <c r="N35" s="127"/>
      <c r="O35" s="128"/>
      <c r="P35" s="132"/>
      <c r="Q35" s="127"/>
      <c r="R35" s="127"/>
      <c r="S35" s="128"/>
      <c r="T35"/>
      <c r="U35"/>
      <c r="V35"/>
      <c r="W35"/>
      <c r="X35"/>
      <c r="Y35"/>
    </row>
    <row r="36" spans="1:25" x14ac:dyDescent="0.3">
      <c r="A36" s="24">
        <v>2048</v>
      </c>
      <c r="B36" s="123">
        <v>3242.5861478572051</v>
      </c>
      <c r="C36" s="127">
        <v>4557.5519589697951</v>
      </c>
      <c r="D36" s="127">
        <v>7471.3966540488555</v>
      </c>
      <c r="E36" s="123">
        <v>2546.2629999999999</v>
      </c>
      <c r="F36" s="127">
        <v>2868.3439999999996</v>
      </c>
      <c r="G36" s="127">
        <v>3389.7505999999998</v>
      </c>
      <c r="H36" s="132"/>
      <c r="I36" s="123">
        <v>2705.0704700161982</v>
      </c>
      <c r="J36" s="127">
        <v>2920.4589951377634</v>
      </c>
      <c r="K36" s="128">
        <v>3150.8050567260943</v>
      </c>
      <c r="L36" s="132"/>
      <c r="M36" s="123"/>
      <c r="N36" s="127"/>
      <c r="O36" s="128"/>
      <c r="P36" s="132"/>
      <c r="Q36" s="127"/>
      <c r="R36" s="127"/>
      <c r="S36" s="128"/>
      <c r="T36"/>
      <c r="U36"/>
      <c r="V36"/>
      <c r="W36"/>
      <c r="X36"/>
      <c r="Y36"/>
    </row>
    <row r="37" spans="1:25" x14ac:dyDescent="0.3">
      <c r="A37" s="24">
        <v>2049</v>
      </c>
      <c r="B37" s="123">
        <v>3190.2863712788635</v>
      </c>
      <c r="C37" s="127">
        <v>4520.1949756995509</v>
      </c>
      <c r="D37" s="127">
        <v>7471.3966540488555</v>
      </c>
      <c r="E37" s="123">
        <v>2487.9238</v>
      </c>
      <c r="F37" s="127">
        <v>2803.9277999999999</v>
      </c>
      <c r="G37" s="127">
        <v>3311.9650000000001</v>
      </c>
      <c r="H37" s="132"/>
      <c r="I37" s="123">
        <v>2693.1044408427879</v>
      </c>
      <c r="J37" s="127">
        <v>2914.475980551053</v>
      </c>
      <c r="K37" s="128">
        <v>3144.8220421393835</v>
      </c>
      <c r="L37" s="132"/>
      <c r="M37" s="123"/>
      <c r="N37" s="127"/>
      <c r="O37" s="128"/>
      <c r="P37" s="132"/>
      <c r="Q37" s="127"/>
      <c r="R37" s="127"/>
      <c r="S37" s="128"/>
      <c r="T37"/>
      <c r="U37"/>
      <c r="V37"/>
      <c r="W37"/>
      <c r="X37"/>
      <c r="Y37"/>
    </row>
    <row r="38" spans="1:25" ht="15" thickBot="1" x14ac:dyDescent="0.35">
      <c r="A38" s="25">
        <v>2050</v>
      </c>
      <c r="B38" s="124">
        <v>3137.9865947005187</v>
      </c>
      <c r="C38" s="129">
        <v>4482.8379924293131</v>
      </c>
      <c r="D38" s="129">
        <v>7471.3966540488555</v>
      </c>
      <c r="E38" s="124">
        <v>2433.2307999999998</v>
      </c>
      <c r="F38" s="129">
        <v>2741.9423999999999</v>
      </c>
      <c r="G38" s="129">
        <v>3240.2563999999998</v>
      </c>
      <c r="H38" s="133">
        <v>1627.4</v>
      </c>
      <c r="I38" s="124">
        <v>2687.1214262560775</v>
      </c>
      <c r="J38" s="129">
        <v>2902.5099513776308</v>
      </c>
      <c r="K38" s="130">
        <v>3135.8475202593172</v>
      </c>
      <c r="L38" s="133">
        <v>2855.0215680000006</v>
      </c>
      <c r="M38" s="124">
        <v>3162.5136480000001</v>
      </c>
      <c r="N38" s="129">
        <v>3593.7639360000007</v>
      </c>
      <c r="O38" s="130">
        <v>4600.0261440000004</v>
      </c>
      <c r="P38" s="133">
        <v>2415.35</v>
      </c>
      <c r="Q38" s="129"/>
      <c r="R38" s="129"/>
      <c r="S38" s="130"/>
      <c r="T38"/>
      <c r="U38"/>
      <c r="V38"/>
      <c r="W38"/>
      <c r="X38"/>
      <c r="Y38"/>
    </row>
    <row r="39" spans="1:25" x14ac:dyDescent="0.3">
      <c r="B39" s="39"/>
      <c r="C39" s="39"/>
      <c r="D39" s="39"/>
    </row>
    <row r="40" spans="1:25" s="1" customFormat="1" x14ac:dyDescent="0.3">
      <c r="A40" s="36" t="s">
        <v>24</v>
      </c>
      <c r="H40" s="93"/>
      <c r="I40" s="93"/>
    </row>
    <row r="41" spans="1:25" x14ac:dyDescent="0.3">
      <c r="A41" s="36" t="s">
        <v>60</v>
      </c>
    </row>
    <row r="42" spans="1:25" x14ac:dyDescent="0.3">
      <c r="A42" s="36" t="s">
        <v>308</v>
      </c>
    </row>
  </sheetData>
  <mergeCells count="6">
    <mergeCell ref="Q1:S1"/>
    <mergeCell ref="A1:A2"/>
    <mergeCell ref="B1:D1"/>
    <mergeCell ref="E1:G1"/>
    <mergeCell ref="I1:K1"/>
    <mergeCell ref="M1:O1"/>
  </mergeCells>
  <pageMargins left="0.25" right="0.25" top="0.75" bottom="0.75" header="0.3" footer="0.3"/>
  <pageSetup paperSize="9" scale="70" orientation="landscape" r:id="rId1"/>
  <headerFooter>
    <oddFooter>&amp;C_x000D_&amp;1#&amp;"Calibri"&amp;7&amp;K000000 Classification: In-Confidence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0D43B-BF45-47F5-B8DE-5EDACC1E0470}">
  <sheetPr>
    <tabColor theme="5" tint="-0.499984740745262"/>
    <pageSetUpPr fitToPage="1"/>
  </sheetPr>
  <dimension ref="A1:V84"/>
  <sheetViews>
    <sheetView zoomScale="85" zoomScaleNormal="85" workbookViewId="0">
      <selection activeCell="O39" sqref="O39"/>
    </sheetView>
  </sheetViews>
  <sheetFormatPr defaultRowHeight="14.4" x14ac:dyDescent="0.3"/>
  <cols>
    <col min="1" max="1" width="6.5546875" style="1" customWidth="1"/>
    <col min="2" max="2" width="6.6640625" style="1" bestFit="1" customWidth="1"/>
    <col min="3" max="3" width="7.6640625" style="1" bestFit="1" customWidth="1"/>
    <col min="4" max="5" width="7.44140625" style="1" bestFit="1" customWidth="1"/>
    <col min="6" max="6" width="7.6640625" style="1" bestFit="1" customWidth="1"/>
    <col min="7" max="7" width="7.44140625" style="1" bestFit="1" customWidth="1"/>
    <col min="8" max="8" width="10" style="1" customWidth="1"/>
    <col min="9" max="9" width="10.33203125" style="1" customWidth="1"/>
    <col min="10" max="10" width="9.77734375" style="1" customWidth="1"/>
    <col min="11" max="11" width="18.77734375" style="1" customWidth="1"/>
    <col min="12" max="12" width="16.88671875" style="1" customWidth="1"/>
    <col min="13" max="13" width="19" style="1" customWidth="1"/>
    <col min="14" max="16" width="9" style="1" bestFit="1" customWidth="1"/>
    <col min="17" max="17" width="13.88671875" style="1" customWidth="1"/>
    <col min="18" max="20" width="18.6640625" style="1" customWidth="1"/>
    <col min="21" max="22" width="13.33203125" style="1" bestFit="1" customWidth="1"/>
  </cols>
  <sheetData>
    <row r="1" spans="1:22" ht="40.799999999999997" customHeight="1" thickBot="1" x14ac:dyDescent="0.35">
      <c r="A1" s="296" t="s">
        <v>0</v>
      </c>
      <c r="B1" s="291" t="s">
        <v>312</v>
      </c>
      <c r="C1" s="292"/>
      <c r="D1" s="292"/>
      <c r="E1" s="291" t="s">
        <v>78</v>
      </c>
      <c r="F1" s="292"/>
      <c r="G1" s="292"/>
      <c r="H1" s="291" t="s">
        <v>287</v>
      </c>
      <c r="I1" s="292"/>
      <c r="J1" s="292"/>
      <c r="K1" s="28" t="s">
        <v>79</v>
      </c>
      <c r="L1" s="28" t="s">
        <v>80</v>
      </c>
      <c r="M1" s="28" t="s">
        <v>81</v>
      </c>
      <c r="N1" s="307" t="s">
        <v>27</v>
      </c>
      <c r="O1" s="308"/>
      <c r="P1" s="309"/>
      <c r="Q1"/>
      <c r="R1"/>
      <c r="S1"/>
      <c r="T1"/>
      <c r="U1"/>
      <c r="V1"/>
    </row>
    <row r="2" spans="1:22" ht="18.600000000000001" thickBot="1" x14ac:dyDescent="0.35">
      <c r="A2" s="297"/>
      <c r="B2" s="29" t="s">
        <v>18</v>
      </c>
      <c r="C2" s="30" t="s">
        <v>19</v>
      </c>
      <c r="D2" s="31" t="s">
        <v>20</v>
      </c>
      <c r="E2" s="29" t="s">
        <v>18</v>
      </c>
      <c r="F2" s="30" t="s">
        <v>19</v>
      </c>
      <c r="G2" s="31" t="s">
        <v>20</v>
      </c>
      <c r="H2" s="29" t="s">
        <v>18</v>
      </c>
      <c r="I2" s="30" t="s">
        <v>19</v>
      </c>
      <c r="J2" s="31" t="s">
        <v>20</v>
      </c>
      <c r="K2" s="32" t="s">
        <v>19</v>
      </c>
      <c r="L2" s="32" t="s">
        <v>19</v>
      </c>
      <c r="M2" s="32" t="s">
        <v>19</v>
      </c>
      <c r="N2" s="245" t="s">
        <v>18</v>
      </c>
      <c r="O2" s="246" t="s">
        <v>19</v>
      </c>
      <c r="P2" s="247" t="s">
        <v>20</v>
      </c>
      <c r="Q2"/>
      <c r="R2"/>
      <c r="S2"/>
      <c r="T2"/>
      <c r="U2"/>
      <c r="V2"/>
    </row>
    <row r="3" spans="1:22" x14ac:dyDescent="0.3">
      <c r="A3" s="52">
        <v>2015</v>
      </c>
      <c r="B3" s="122"/>
      <c r="C3" s="125"/>
      <c r="D3" s="126"/>
      <c r="E3" s="122"/>
      <c r="F3" s="125"/>
      <c r="G3" s="126"/>
      <c r="H3" s="123"/>
      <c r="I3" s="127"/>
      <c r="J3" s="128"/>
      <c r="K3" s="131"/>
      <c r="L3" s="122"/>
      <c r="M3" s="122"/>
      <c r="N3" s="123">
        <v>190.58046720616912</v>
      </c>
      <c r="O3" s="127">
        <v>253.38661292729441</v>
      </c>
      <c r="P3" s="128">
        <v>328.38669103809764</v>
      </c>
      <c r="Q3"/>
      <c r="R3"/>
      <c r="S3"/>
      <c r="T3"/>
      <c r="U3"/>
      <c r="V3"/>
    </row>
    <row r="4" spans="1:22" x14ac:dyDescent="0.3">
      <c r="A4" s="24">
        <v>2016</v>
      </c>
      <c r="B4" s="123"/>
      <c r="C4" s="127"/>
      <c r="D4" s="128"/>
      <c r="E4" s="123"/>
      <c r="F4" s="127"/>
      <c r="G4" s="128"/>
      <c r="H4" s="123"/>
      <c r="I4" s="127"/>
      <c r="J4" s="128"/>
      <c r="K4" s="132"/>
      <c r="L4" s="123"/>
      <c r="M4" s="123"/>
      <c r="N4" s="123">
        <v>294.48656730578989</v>
      </c>
      <c r="O4" s="127">
        <v>299.17396569040898</v>
      </c>
      <c r="P4" s="128">
        <v>312.79540168490718</v>
      </c>
      <c r="Q4"/>
      <c r="R4"/>
      <c r="S4"/>
      <c r="T4"/>
      <c r="U4"/>
      <c r="V4"/>
    </row>
    <row r="5" spans="1:22" x14ac:dyDescent="0.3">
      <c r="A5" s="24">
        <v>2017</v>
      </c>
      <c r="B5" s="123"/>
      <c r="C5" s="127"/>
      <c r="D5" s="128"/>
      <c r="E5" s="123"/>
      <c r="F5" s="127"/>
      <c r="G5" s="128"/>
      <c r="H5" s="123"/>
      <c r="I5" s="127"/>
      <c r="J5" s="128"/>
      <c r="K5" s="132"/>
      <c r="L5" s="123"/>
      <c r="M5" s="123"/>
      <c r="N5" s="123">
        <v>286.64156775761171</v>
      </c>
      <c r="O5" s="127">
        <v>286.64156775761171</v>
      </c>
      <c r="P5" s="128">
        <v>286.64156775761171</v>
      </c>
      <c r="Q5"/>
      <c r="R5"/>
      <c r="S5"/>
      <c r="T5"/>
      <c r="U5"/>
      <c r="V5"/>
    </row>
    <row r="6" spans="1:22" x14ac:dyDescent="0.3">
      <c r="A6" s="24">
        <v>2018</v>
      </c>
      <c r="B6" s="123"/>
      <c r="C6" s="127"/>
      <c r="D6" s="128"/>
      <c r="E6" s="123"/>
      <c r="F6" s="127"/>
      <c r="G6" s="128"/>
      <c r="H6" s="123"/>
      <c r="I6" s="127"/>
      <c r="J6" s="128"/>
      <c r="K6" s="132"/>
      <c r="L6" s="123"/>
      <c r="M6" s="123"/>
      <c r="N6" s="123">
        <v>90.482315436531309</v>
      </c>
      <c r="O6" s="127">
        <v>168.40535547505303</v>
      </c>
      <c r="P6" s="128">
        <v>252.17356203752118</v>
      </c>
      <c r="Q6"/>
      <c r="R6"/>
      <c r="S6"/>
      <c r="T6"/>
      <c r="U6"/>
      <c r="V6"/>
    </row>
    <row r="7" spans="1:22" x14ac:dyDescent="0.3">
      <c r="A7" s="24">
        <v>2019</v>
      </c>
      <c r="B7" s="123"/>
      <c r="C7" s="127"/>
      <c r="D7" s="128"/>
      <c r="E7" s="123"/>
      <c r="F7" s="127"/>
      <c r="G7" s="128"/>
      <c r="H7" s="123"/>
      <c r="I7" s="127"/>
      <c r="J7" s="128"/>
      <c r="K7" s="132"/>
      <c r="L7" s="123"/>
      <c r="M7" s="123"/>
      <c r="N7" s="123">
        <v>121.1447797891156</v>
      </c>
      <c r="O7" s="127">
        <v>248.85810274434357</v>
      </c>
      <c r="P7" s="128">
        <v>395.24103397184183</v>
      </c>
      <c r="Q7"/>
      <c r="R7"/>
      <c r="S7"/>
      <c r="T7"/>
      <c r="U7"/>
      <c r="V7"/>
    </row>
    <row r="8" spans="1:22" x14ac:dyDescent="0.3">
      <c r="A8" s="24">
        <v>2020</v>
      </c>
      <c r="B8" s="217"/>
      <c r="C8" s="218"/>
      <c r="D8" s="225"/>
      <c r="E8" s="123"/>
      <c r="F8" s="127"/>
      <c r="G8" s="128"/>
      <c r="H8" s="123">
        <v>65.38852</v>
      </c>
      <c r="I8" s="127">
        <v>73.653239999999997</v>
      </c>
      <c r="J8" s="128">
        <v>86.658019999999993</v>
      </c>
      <c r="K8" s="132">
        <v>241.8646</v>
      </c>
      <c r="L8" s="123">
        <v>392.94499999999999</v>
      </c>
      <c r="M8" s="123"/>
      <c r="N8" s="123">
        <v>125.47907194762756</v>
      </c>
      <c r="O8" s="127">
        <v>125.47907194762756</v>
      </c>
      <c r="P8" s="128">
        <v>125.47907194762756</v>
      </c>
      <c r="Q8"/>
      <c r="R8"/>
      <c r="S8"/>
      <c r="T8"/>
      <c r="U8"/>
      <c r="V8"/>
    </row>
    <row r="9" spans="1:22" x14ac:dyDescent="0.3">
      <c r="A9" s="24">
        <v>2021</v>
      </c>
      <c r="B9" s="123">
        <v>97.015757008656749</v>
      </c>
      <c r="C9" s="127">
        <v>106.06733958778507</v>
      </c>
      <c r="D9" s="128">
        <v>124.58906624078871</v>
      </c>
      <c r="E9" s="123">
        <v>104.53351549999999</v>
      </c>
      <c r="F9" s="127">
        <v>113.03675774999999</v>
      </c>
      <c r="G9" s="128">
        <v>121.54</v>
      </c>
      <c r="H9" s="123">
        <v>65.38852</v>
      </c>
      <c r="I9" s="127">
        <v>73.653239999999997</v>
      </c>
      <c r="J9" s="128">
        <v>86.658019999999993</v>
      </c>
      <c r="K9" s="132"/>
      <c r="L9" s="123"/>
      <c r="M9" s="123"/>
      <c r="N9" s="123">
        <v>128.04025692059673</v>
      </c>
      <c r="O9" s="127">
        <v>128.04025692059673</v>
      </c>
      <c r="P9" s="128">
        <v>128.04025692059673</v>
      </c>
      <c r="Q9"/>
      <c r="R9"/>
      <c r="S9"/>
      <c r="T9"/>
      <c r="U9"/>
      <c r="V9"/>
    </row>
    <row r="10" spans="1:22" x14ac:dyDescent="0.3">
      <c r="A10" s="24">
        <v>2022</v>
      </c>
      <c r="B10" s="123">
        <v>92.494583025236295</v>
      </c>
      <c r="C10" s="127">
        <v>103.09286158006104</v>
      </c>
      <c r="D10" s="128">
        <v>124.58906624078871</v>
      </c>
      <c r="E10" s="123">
        <v>96.597075039999993</v>
      </c>
      <c r="F10" s="127">
        <v>105.32711092999999</v>
      </c>
      <c r="G10" s="128">
        <v>114.05714681999999</v>
      </c>
      <c r="H10" s="123">
        <v>62.228479999999998</v>
      </c>
      <c r="I10" s="127">
        <v>70.007040000000003</v>
      </c>
      <c r="J10" s="128">
        <v>82.525660000000002</v>
      </c>
      <c r="K10" s="132"/>
      <c r="L10" s="123"/>
      <c r="M10" s="123"/>
      <c r="N10" s="191">
        <v>125.67751044915759</v>
      </c>
      <c r="O10" s="192">
        <v>125.67751044915759</v>
      </c>
      <c r="P10" s="193">
        <v>125.67751044915759</v>
      </c>
      <c r="Q10"/>
      <c r="R10"/>
      <c r="S10"/>
      <c r="T10"/>
      <c r="U10"/>
      <c r="V10"/>
    </row>
    <row r="11" spans="1:22" x14ac:dyDescent="0.3">
      <c r="A11" s="24">
        <v>2023</v>
      </c>
      <c r="B11" s="123">
        <v>87.973409041815813</v>
      </c>
      <c r="C11" s="127">
        <v>100.11838357233698</v>
      </c>
      <c r="D11" s="128">
        <v>124.58906624078871</v>
      </c>
      <c r="E11" s="123">
        <v>89.341015499999983</v>
      </c>
      <c r="F11" s="127">
        <v>97.844257749999997</v>
      </c>
      <c r="G11" s="128">
        <v>106.3475</v>
      </c>
      <c r="H11" s="123">
        <v>60.283839999999998</v>
      </c>
      <c r="I11" s="127">
        <v>67.819319999999991</v>
      </c>
      <c r="J11" s="128">
        <v>79.851780000000005</v>
      </c>
      <c r="K11" s="132"/>
      <c r="L11" s="123"/>
      <c r="M11" s="123"/>
      <c r="N11" s="123">
        <v>110.66391297243393</v>
      </c>
      <c r="O11" s="127">
        <v>120.77558920290005</v>
      </c>
      <c r="P11" s="128">
        <v>142.78335511626747</v>
      </c>
      <c r="Q11"/>
      <c r="R11"/>
      <c r="S11"/>
      <c r="T11"/>
      <c r="U11"/>
      <c r="V11"/>
    </row>
    <row r="12" spans="1:22" x14ac:dyDescent="0.3">
      <c r="A12" s="24">
        <v>2024</v>
      </c>
      <c r="B12" s="123">
        <v>83.452235058395374</v>
      </c>
      <c r="C12" s="127">
        <v>97.143905564612936</v>
      </c>
      <c r="D12" s="128">
        <v>124.58906624078871</v>
      </c>
      <c r="E12" s="123">
        <v>82.765093799999988</v>
      </c>
      <c r="F12" s="127">
        <v>91.835259379999997</v>
      </c>
      <c r="G12" s="128">
        <v>100.90542496</v>
      </c>
      <c r="H12" s="123">
        <v>57.974580000000003</v>
      </c>
      <c r="I12" s="127">
        <v>65.266980000000004</v>
      </c>
      <c r="J12" s="128">
        <v>76.813279999999992</v>
      </c>
      <c r="K12" s="132"/>
      <c r="L12" s="123"/>
      <c r="M12" s="123"/>
      <c r="N12" s="123"/>
      <c r="O12" s="127"/>
      <c r="P12" s="128"/>
      <c r="Q12"/>
      <c r="R12"/>
      <c r="S12"/>
      <c r="T12"/>
      <c r="U12"/>
      <c r="V12"/>
    </row>
    <row r="13" spans="1:22" x14ac:dyDescent="0.3">
      <c r="A13" s="24">
        <v>2025</v>
      </c>
      <c r="B13" s="123">
        <v>78.931061074974906</v>
      </c>
      <c r="C13" s="127">
        <v>94.169427556888891</v>
      </c>
      <c r="D13" s="128">
        <v>124.58906624078871</v>
      </c>
      <c r="E13" s="123">
        <v>75.282240619999996</v>
      </c>
      <c r="F13" s="127">
        <v>85.032665579999986</v>
      </c>
      <c r="G13" s="128">
        <v>94.783090540000003</v>
      </c>
      <c r="H13" s="123">
        <v>55.665320000000001</v>
      </c>
      <c r="I13" s="127">
        <v>62.714640000000003</v>
      </c>
      <c r="J13" s="128">
        <v>73.774780000000007</v>
      </c>
      <c r="K13" s="132">
        <v>226.06440000000001</v>
      </c>
      <c r="L13" s="123"/>
      <c r="M13" s="123">
        <v>146.0388384</v>
      </c>
      <c r="N13" s="123"/>
      <c r="O13" s="127"/>
      <c r="P13" s="128"/>
      <c r="Q13"/>
      <c r="R13"/>
      <c r="S13"/>
      <c r="T13"/>
      <c r="U13"/>
      <c r="V13"/>
    </row>
    <row r="14" spans="1:22" x14ac:dyDescent="0.3">
      <c r="A14" s="24">
        <v>2026</v>
      </c>
      <c r="B14" s="123">
        <v>74.409887091554438</v>
      </c>
      <c r="C14" s="127">
        <v>91.194949549164846</v>
      </c>
      <c r="D14" s="128">
        <v>124.58906624078871</v>
      </c>
      <c r="E14" s="123">
        <v>68.479646819999985</v>
      </c>
      <c r="F14" s="127">
        <v>78.570201469999986</v>
      </c>
      <c r="G14" s="128">
        <v>88.660756119999988</v>
      </c>
      <c r="H14" s="123">
        <v>53.356059999999992</v>
      </c>
      <c r="I14" s="127">
        <v>60.040759999999999</v>
      </c>
      <c r="J14" s="128">
        <v>70.614739999999998</v>
      </c>
      <c r="K14" s="132"/>
      <c r="L14" s="123"/>
      <c r="M14" s="123"/>
      <c r="N14" s="123"/>
      <c r="O14" s="127"/>
      <c r="P14" s="128"/>
      <c r="Q14"/>
      <c r="R14"/>
      <c r="S14"/>
      <c r="T14"/>
      <c r="U14"/>
      <c r="V14"/>
    </row>
    <row r="15" spans="1:22" x14ac:dyDescent="0.3">
      <c r="A15" s="24">
        <v>2027</v>
      </c>
      <c r="B15" s="123">
        <v>69.88871310813397</v>
      </c>
      <c r="C15" s="127">
        <v>88.220471541440816</v>
      </c>
      <c r="D15" s="128">
        <v>124.58906624078871</v>
      </c>
      <c r="E15" s="123">
        <v>61.903725120000004</v>
      </c>
      <c r="F15" s="127">
        <v>72.561142329999996</v>
      </c>
      <c r="G15" s="128">
        <v>83.218559540000001</v>
      </c>
      <c r="H15" s="123">
        <v>50.925259999999994</v>
      </c>
      <c r="I15" s="127">
        <v>57.366880000000002</v>
      </c>
      <c r="J15" s="128">
        <v>67.454700000000003</v>
      </c>
      <c r="K15" s="132"/>
      <c r="L15" s="123"/>
      <c r="M15" s="123"/>
      <c r="N15" s="123"/>
      <c r="O15" s="127"/>
      <c r="P15" s="128"/>
      <c r="Q15"/>
      <c r="R15"/>
      <c r="S15"/>
      <c r="T15"/>
      <c r="U15"/>
      <c r="V15"/>
    </row>
    <row r="16" spans="1:22" x14ac:dyDescent="0.3">
      <c r="A16" s="24">
        <v>2028</v>
      </c>
      <c r="B16" s="123">
        <v>65.367539124713517</v>
      </c>
      <c r="C16" s="127">
        <v>85.245993533716771</v>
      </c>
      <c r="D16" s="128">
        <v>124.58906624078871</v>
      </c>
      <c r="E16" s="123">
        <v>56.008184339999993</v>
      </c>
      <c r="F16" s="127">
        <v>66.778998369999996</v>
      </c>
      <c r="G16" s="128">
        <v>77.549812399999993</v>
      </c>
      <c r="H16" s="123">
        <v>48.494459999999997</v>
      </c>
      <c r="I16" s="127">
        <v>54.571459999999995</v>
      </c>
      <c r="J16" s="128">
        <v>64.173119999999997</v>
      </c>
      <c r="K16" s="132"/>
      <c r="L16" s="123"/>
      <c r="M16" s="123"/>
      <c r="N16" s="123"/>
      <c r="O16" s="127"/>
      <c r="P16" s="128"/>
      <c r="Q16"/>
      <c r="R16"/>
      <c r="S16"/>
      <c r="T16"/>
      <c r="U16"/>
      <c r="V16"/>
    </row>
    <row r="17" spans="1:22" x14ac:dyDescent="0.3">
      <c r="A17" s="24">
        <v>2029</v>
      </c>
      <c r="B17" s="123">
        <v>60.846365141293056</v>
      </c>
      <c r="C17" s="127">
        <v>82.271515525992726</v>
      </c>
      <c r="D17" s="128">
        <v>124.58906624078871</v>
      </c>
      <c r="E17" s="123">
        <v>49.205590540000003</v>
      </c>
      <c r="F17" s="127">
        <v>60.77</v>
      </c>
      <c r="G17" s="128">
        <v>72.334409460000003</v>
      </c>
      <c r="H17" s="123">
        <v>45.942119999999996</v>
      </c>
      <c r="I17" s="127">
        <v>51.776040000000002</v>
      </c>
      <c r="J17" s="128">
        <v>60.891540000000006</v>
      </c>
      <c r="K17" s="132"/>
      <c r="L17" s="123"/>
      <c r="M17" s="123"/>
      <c r="N17" s="123"/>
      <c r="O17" s="127"/>
      <c r="P17" s="128"/>
      <c r="Q17"/>
      <c r="R17"/>
      <c r="S17"/>
      <c r="T17"/>
      <c r="U17"/>
      <c r="V17"/>
    </row>
    <row r="18" spans="1:22" x14ac:dyDescent="0.3">
      <c r="A18" s="24">
        <v>2030</v>
      </c>
      <c r="B18" s="123">
        <v>56.325191157872581</v>
      </c>
      <c r="C18" s="127">
        <v>79.297037518268695</v>
      </c>
      <c r="D18" s="128">
        <v>124.58906624078871</v>
      </c>
      <c r="E18" s="123">
        <v>34.239762640000002</v>
      </c>
      <c r="F18" s="127">
        <v>46.030965739999999</v>
      </c>
      <c r="G18" s="128">
        <v>57.822168839999989</v>
      </c>
      <c r="H18" s="123">
        <v>43.389780000000002</v>
      </c>
      <c r="I18" s="127">
        <v>48.859079999999999</v>
      </c>
      <c r="J18" s="128">
        <v>57.488419999999991</v>
      </c>
      <c r="K18" s="132">
        <v>212.69499999999999</v>
      </c>
      <c r="L18" s="123">
        <v>240.03119999999998</v>
      </c>
      <c r="M18" s="123">
        <v>106.418364</v>
      </c>
      <c r="N18" s="123"/>
      <c r="O18" s="127"/>
      <c r="P18" s="128"/>
      <c r="Q18"/>
      <c r="R18"/>
      <c r="S18"/>
      <c r="T18"/>
      <c r="U18"/>
      <c r="V18"/>
    </row>
    <row r="19" spans="1:22" x14ac:dyDescent="0.3">
      <c r="A19" s="24">
        <v>2031</v>
      </c>
      <c r="B19" s="123">
        <v>55.713763271343907</v>
      </c>
      <c r="C19" s="127">
        <v>78.901469772601715</v>
      </c>
      <c r="D19" s="128">
        <v>124.58906624078871</v>
      </c>
      <c r="E19" s="123">
        <v>30.385000000000002</v>
      </c>
      <c r="F19" s="127">
        <v>40.929020390000005</v>
      </c>
      <c r="G19" s="128">
        <v>51.473040780000005</v>
      </c>
      <c r="H19" s="123">
        <v>43.146700000000003</v>
      </c>
      <c r="I19" s="127">
        <v>48.616</v>
      </c>
      <c r="J19" s="128">
        <v>57.123799999999996</v>
      </c>
      <c r="K19" s="132"/>
      <c r="L19" s="123"/>
      <c r="M19" s="123"/>
      <c r="N19" s="123"/>
      <c r="O19" s="127"/>
      <c r="P19" s="128"/>
      <c r="Q19"/>
      <c r="R19"/>
      <c r="S19"/>
      <c r="T19"/>
      <c r="U19"/>
      <c r="V19"/>
    </row>
    <row r="20" spans="1:22" x14ac:dyDescent="0.3">
      <c r="A20" s="24">
        <v>2032</v>
      </c>
      <c r="B20" s="123">
        <v>55.102335384815227</v>
      </c>
      <c r="C20" s="127">
        <v>78.50590202693472</v>
      </c>
      <c r="D20" s="128">
        <v>124.58906624078871</v>
      </c>
      <c r="E20" s="123">
        <v>31.065259379999997</v>
      </c>
      <c r="F20" s="127">
        <v>41.042417209999996</v>
      </c>
      <c r="G20" s="128">
        <v>51.019575040000007</v>
      </c>
      <c r="H20" s="123">
        <v>42.903619999999997</v>
      </c>
      <c r="I20" s="127">
        <v>48.372919999999993</v>
      </c>
      <c r="J20" s="128">
        <v>56.880719999999997</v>
      </c>
      <c r="K20" s="132"/>
      <c r="L20" s="123"/>
      <c r="M20" s="123"/>
      <c r="N20" s="123"/>
      <c r="O20" s="127"/>
      <c r="P20" s="128"/>
      <c r="Q20"/>
      <c r="R20"/>
      <c r="S20"/>
      <c r="T20"/>
      <c r="U20"/>
      <c r="V20"/>
    </row>
    <row r="21" spans="1:22" x14ac:dyDescent="0.3">
      <c r="A21" s="24">
        <v>2033</v>
      </c>
      <c r="B21" s="123">
        <v>54.490907498286553</v>
      </c>
      <c r="C21" s="127">
        <v>78.110334281267754</v>
      </c>
      <c r="D21" s="128">
        <v>124.58906624078871</v>
      </c>
      <c r="E21" s="123">
        <v>30.158206360000001</v>
      </c>
      <c r="F21" s="127">
        <v>39.795234499999999</v>
      </c>
      <c r="G21" s="128">
        <v>49.432262639999998</v>
      </c>
      <c r="H21" s="123">
        <v>42.660539999999997</v>
      </c>
      <c r="I21" s="127">
        <v>48.008299999999998</v>
      </c>
      <c r="J21" s="128">
        <v>56.516100000000002</v>
      </c>
      <c r="K21" s="132"/>
      <c r="L21" s="123"/>
      <c r="M21" s="123"/>
      <c r="N21" s="123"/>
      <c r="O21" s="127"/>
      <c r="P21" s="128"/>
      <c r="Q21"/>
      <c r="R21"/>
      <c r="S21"/>
      <c r="T21"/>
      <c r="U21"/>
      <c r="V21"/>
    </row>
    <row r="22" spans="1:22" x14ac:dyDescent="0.3">
      <c r="A22" s="24">
        <v>2034</v>
      </c>
      <c r="B22" s="123">
        <v>53.879479611757858</v>
      </c>
      <c r="C22" s="127">
        <v>77.714766535600759</v>
      </c>
      <c r="D22" s="128">
        <v>124.58906624078871</v>
      </c>
      <c r="E22" s="123">
        <v>31.065259379999997</v>
      </c>
      <c r="F22" s="127">
        <v>40.362157830000001</v>
      </c>
      <c r="G22" s="128">
        <v>49.659056279999994</v>
      </c>
      <c r="H22" s="123">
        <v>42.417459999999998</v>
      </c>
      <c r="I22" s="127">
        <v>47.765219999999999</v>
      </c>
      <c r="J22" s="128">
        <v>56.151479999999999</v>
      </c>
      <c r="K22" s="132"/>
      <c r="L22" s="123"/>
      <c r="M22" s="123"/>
      <c r="N22" s="123"/>
      <c r="O22" s="127"/>
      <c r="P22" s="128"/>
      <c r="Q22"/>
      <c r="R22"/>
      <c r="S22"/>
      <c r="T22"/>
      <c r="U22"/>
      <c r="V22"/>
    </row>
    <row r="23" spans="1:22" x14ac:dyDescent="0.3">
      <c r="A23" s="24">
        <v>2035</v>
      </c>
      <c r="B23" s="123">
        <v>53.268051725229192</v>
      </c>
      <c r="C23" s="127">
        <v>77.319198789933793</v>
      </c>
      <c r="D23" s="128">
        <v>124.58906624078871</v>
      </c>
      <c r="E23" s="123">
        <v>31.74551876</v>
      </c>
      <c r="F23" s="127">
        <v>40.5888907</v>
      </c>
      <c r="G23" s="128">
        <v>49.432262639999998</v>
      </c>
      <c r="H23" s="123">
        <v>42.174379999999999</v>
      </c>
      <c r="I23" s="127">
        <v>47.52214</v>
      </c>
      <c r="J23" s="128">
        <v>55.908399999999993</v>
      </c>
      <c r="K23" s="132">
        <v>202.9718</v>
      </c>
      <c r="L23" s="123"/>
      <c r="M23" s="123"/>
      <c r="N23" s="123"/>
      <c r="O23" s="127"/>
      <c r="P23" s="128"/>
      <c r="Q23"/>
      <c r="R23"/>
      <c r="S23"/>
      <c r="T23"/>
      <c r="U23"/>
      <c r="V23"/>
    </row>
    <row r="24" spans="1:22" x14ac:dyDescent="0.3">
      <c r="A24" s="24">
        <v>2036</v>
      </c>
      <c r="B24" s="123">
        <v>52.656623838700504</v>
      </c>
      <c r="C24" s="127">
        <v>76.923631044266827</v>
      </c>
      <c r="D24" s="128">
        <v>124.58906624078871</v>
      </c>
      <c r="E24" s="123">
        <v>34.013090539999993</v>
      </c>
      <c r="F24" s="127">
        <v>43.196592169999995</v>
      </c>
      <c r="G24" s="128">
        <v>52.380093799999997</v>
      </c>
      <c r="H24" s="123">
        <v>41.9313</v>
      </c>
      <c r="I24" s="127">
        <v>47.279059999999994</v>
      </c>
      <c r="J24" s="128">
        <v>55.543780000000005</v>
      </c>
      <c r="K24" s="132"/>
      <c r="L24" s="123"/>
      <c r="M24" s="123"/>
      <c r="N24" s="123"/>
      <c r="O24" s="127"/>
      <c r="P24" s="128"/>
      <c r="Q24"/>
      <c r="R24"/>
      <c r="S24"/>
      <c r="T24"/>
      <c r="U24"/>
      <c r="V24"/>
    </row>
    <row r="25" spans="1:22" x14ac:dyDescent="0.3">
      <c r="A25" s="24">
        <v>2037</v>
      </c>
      <c r="B25" s="123">
        <v>52.045195952171824</v>
      </c>
      <c r="C25" s="127">
        <v>76.528063298599847</v>
      </c>
      <c r="D25" s="128">
        <v>124.58906624078871</v>
      </c>
      <c r="E25" s="123">
        <v>37.187593800000002</v>
      </c>
      <c r="F25" s="127">
        <v>46.597889070000008</v>
      </c>
      <c r="G25" s="128">
        <v>56.008184339999993</v>
      </c>
      <c r="H25" s="123">
        <v>41.688220000000001</v>
      </c>
      <c r="I25" s="127">
        <v>46.914440000000006</v>
      </c>
      <c r="J25" s="128">
        <v>55.179159999999996</v>
      </c>
      <c r="K25" s="132"/>
      <c r="L25" s="123"/>
      <c r="M25" s="123"/>
      <c r="N25" s="123"/>
      <c r="O25" s="127"/>
      <c r="P25" s="128"/>
      <c r="Q25"/>
      <c r="R25"/>
      <c r="S25"/>
      <c r="T25"/>
      <c r="U25"/>
      <c r="V25"/>
    </row>
    <row r="26" spans="1:22" x14ac:dyDescent="0.3">
      <c r="A26" s="24">
        <v>2038</v>
      </c>
      <c r="B26" s="123">
        <v>51.433768065643143</v>
      </c>
      <c r="C26" s="127">
        <v>76.132495552932866</v>
      </c>
      <c r="D26" s="128">
        <v>124.58906624078871</v>
      </c>
      <c r="E26" s="123">
        <v>39.001699840000001</v>
      </c>
      <c r="F26" s="127">
        <v>48.071804650000004</v>
      </c>
      <c r="G26" s="128">
        <v>57.141909459999994</v>
      </c>
      <c r="H26" s="123">
        <v>41.445140000000002</v>
      </c>
      <c r="I26" s="127">
        <v>46.67136</v>
      </c>
      <c r="J26" s="128">
        <v>54.936079999999997</v>
      </c>
      <c r="K26" s="132"/>
      <c r="L26" s="123"/>
      <c r="M26" s="123"/>
      <c r="N26" s="123"/>
      <c r="O26" s="127"/>
      <c r="P26" s="128"/>
      <c r="Q26"/>
      <c r="R26"/>
      <c r="S26"/>
      <c r="T26"/>
      <c r="U26"/>
      <c r="V26"/>
    </row>
    <row r="27" spans="1:22" x14ac:dyDescent="0.3">
      <c r="A27" s="24">
        <v>2039</v>
      </c>
      <c r="B27" s="123">
        <v>50.822340179114455</v>
      </c>
      <c r="C27" s="127">
        <v>75.736927807265872</v>
      </c>
      <c r="D27" s="128">
        <v>124.58906624078871</v>
      </c>
      <c r="E27" s="123">
        <v>37.414387439999999</v>
      </c>
      <c r="F27" s="127">
        <v>46.144423329999988</v>
      </c>
      <c r="G27" s="128">
        <v>54.874459219999991</v>
      </c>
      <c r="H27" s="123">
        <v>41.202059999999996</v>
      </c>
      <c r="I27" s="127">
        <v>46.428280000000001</v>
      </c>
      <c r="J27" s="128">
        <v>54.571459999999995</v>
      </c>
      <c r="K27" s="132"/>
      <c r="L27" s="123"/>
      <c r="M27" s="123"/>
      <c r="N27" s="123"/>
      <c r="O27" s="127"/>
      <c r="P27" s="128"/>
      <c r="Q27"/>
      <c r="R27"/>
      <c r="S27"/>
      <c r="T27"/>
      <c r="U27"/>
      <c r="V27"/>
    </row>
    <row r="28" spans="1:22" x14ac:dyDescent="0.3">
      <c r="A28" s="24">
        <v>2040</v>
      </c>
      <c r="B28" s="123">
        <v>50.210912292585775</v>
      </c>
      <c r="C28" s="127">
        <v>75.341360061598891</v>
      </c>
      <c r="D28" s="128">
        <v>124.58906624078871</v>
      </c>
      <c r="E28" s="123">
        <v>35.373609300000005</v>
      </c>
      <c r="F28" s="127">
        <v>43.650118679999999</v>
      </c>
      <c r="G28" s="128">
        <v>51.926628059999999</v>
      </c>
      <c r="H28" s="123">
        <v>40.958979999999997</v>
      </c>
      <c r="I28" s="127">
        <v>46.063659999999999</v>
      </c>
      <c r="J28" s="128">
        <v>54.20684</v>
      </c>
      <c r="K28" s="132">
        <v>189.60239999999999</v>
      </c>
      <c r="L28" s="123">
        <v>123.05204000000001</v>
      </c>
      <c r="M28" s="123"/>
      <c r="N28" s="123"/>
      <c r="O28" s="127"/>
      <c r="P28" s="128"/>
      <c r="Q28"/>
      <c r="R28"/>
      <c r="S28"/>
      <c r="T28"/>
      <c r="U28"/>
      <c r="V28"/>
    </row>
    <row r="29" spans="1:22" x14ac:dyDescent="0.3">
      <c r="A29" s="24">
        <v>2041</v>
      </c>
      <c r="B29" s="123">
        <v>49.599484406057101</v>
      </c>
      <c r="C29" s="127">
        <v>74.945792315931911</v>
      </c>
      <c r="D29" s="128">
        <v>124.58906624078871</v>
      </c>
      <c r="E29" s="123">
        <v>27.437168839999998</v>
      </c>
      <c r="F29" s="127">
        <v>34.806685969999997</v>
      </c>
      <c r="G29" s="128">
        <v>42.176203100000002</v>
      </c>
      <c r="H29" s="123">
        <v>40.715900000000005</v>
      </c>
      <c r="I29" s="127">
        <v>45.820580000000007</v>
      </c>
      <c r="J29" s="128">
        <v>53.842219999999998</v>
      </c>
      <c r="K29" s="132"/>
      <c r="L29" s="123"/>
      <c r="M29" s="123"/>
      <c r="N29" s="123"/>
      <c r="O29" s="127"/>
      <c r="P29" s="128"/>
      <c r="Q29"/>
      <c r="R29"/>
      <c r="S29"/>
      <c r="T29"/>
      <c r="U29"/>
      <c r="V29"/>
    </row>
    <row r="30" spans="1:22" x14ac:dyDescent="0.3">
      <c r="A30" s="24">
        <v>2042</v>
      </c>
      <c r="B30" s="123">
        <v>48.988056519528421</v>
      </c>
      <c r="C30" s="127">
        <v>74.55022457026493</v>
      </c>
      <c r="D30" s="128">
        <v>124.58906624078871</v>
      </c>
      <c r="E30" s="123">
        <v>18.820590539999998</v>
      </c>
      <c r="F30" s="127">
        <v>25.73658116</v>
      </c>
      <c r="G30" s="128">
        <v>32.652571779999995</v>
      </c>
      <c r="H30" s="123">
        <v>40.472819999999999</v>
      </c>
      <c r="I30" s="127">
        <v>45.577500000000001</v>
      </c>
      <c r="J30" s="128">
        <v>53.599139999999998</v>
      </c>
      <c r="K30" s="132"/>
      <c r="L30" s="123"/>
      <c r="M30" s="123"/>
      <c r="N30" s="123"/>
      <c r="O30" s="127"/>
      <c r="P30" s="128"/>
      <c r="Q30"/>
      <c r="R30"/>
      <c r="S30"/>
      <c r="T30"/>
      <c r="U30"/>
      <c r="V30"/>
    </row>
    <row r="31" spans="1:22" x14ac:dyDescent="0.3">
      <c r="A31" s="24">
        <v>2043</v>
      </c>
      <c r="B31" s="123">
        <v>48.37662863299974</v>
      </c>
      <c r="C31" s="127">
        <v>74.154656824597964</v>
      </c>
      <c r="D31" s="128">
        <v>124.58906624078871</v>
      </c>
      <c r="E31" s="123">
        <v>12.92492822</v>
      </c>
      <c r="F31" s="127">
        <v>18.25366721</v>
      </c>
      <c r="G31" s="128">
        <v>23.582406199999998</v>
      </c>
      <c r="H31" s="123">
        <v>40.22974</v>
      </c>
      <c r="I31" s="127">
        <v>45.212880000000006</v>
      </c>
      <c r="J31" s="128">
        <v>53.234519999999989</v>
      </c>
      <c r="K31" s="132"/>
      <c r="L31" s="123"/>
      <c r="M31" s="123"/>
      <c r="N31" s="123"/>
      <c r="O31" s="127"/>
      <c r="P31" s="128"/>
      <c r="Q31"/>
      <c r="R31"/>
      <c r="S31"/>
      <c r="T31"/>
      <c r="U31"/>
      <c r="V31"/>
    </row>
    <row r="32" spans="1:22" x14ac:dyDescent="0.3">
      <c r="A32" s="24">
        <v>2044</v>
      </c>
      <c r="B32" s="123">
        <v>47.765200746471052</v>
      </c>
      <c r="C32" s="127">
        <v>73.75908907893097</v>
      </c>
      <c r="D32" s="128">
        <v>124.58906624078871</v>
      </c>
      <c r="E32" s="123">
        <v>9.0701534259999992</v>
      </c>
      <c r="F32" s="127">
        <v>13.038318963000002</v>
      </c>
      <c r="G32" s="128">
        <v>17.006484499999999</v>
      </c>
      <c r="H32" s="123">
        <v>39.986659999999993</v>
      </c>
      <c r="I32" s="127">
        <v>44.969799999999999</v>
      </c>
      <c r="J32" s="128">
        <v>52.869900000000001</v>
      </c>
      <c r="K32" s="132"/>
      <c r="L32" s="123"/>
      <c r="M32" s="123"/>
      <c r="N32" s="123"/>
      <c r="O32" s="127"/>
      <c r="P32" s="128"/>
      <c r="Q32"/>
      <c r="R32"/>
      <c r="S32"/>
      <c r="T32"/>
      <c r="U32"/>
      <c r="V32"/>
    </row>
    <row r="33" spans="1:22" x14ac:dyDescent="0.3">
      <c r="A33" s="24">
        <v>2045</v>
      </c>
      <c r="B33" s="123">
        <v>47.153772859942372</v>
      </c>
      <c r="C33" s="127">
        <v>73.363521333264003</v>
      </c>
      <c r="D33" s="128">
        <v>124.58906624078871</v>
      </c>
      <c r="E33" s="123">
        <v>7.25612031</v>
      </c>
      <c r="F33" s="127">
        <v>9.8637913949999998</v>
      </c>
      <c r="G33" s="128">
        <v>12.471462480000001</v>
      </c>
      <c r="H33" s="123">
        <v>39.743580000000001</v>
      </c>
      <c r="I33" s="127">
        <v>44.726719999999993</v>
      </c>
      <c r="J33" s="128">
        <v>52.505279999999999</v>
      </c>
      <c r="K33" s="132">
        <v>179.8792</v>
      </c>
      <c r="L33" s="123"/>
      <c r="M33" s="123"/>
      <c r="N33" s="123"/>
      <c r="O33" s="127"/>
      <c r="P33" s="128"/>
      <c r="Q33"/>
      <c r="R33"/>
      <c r="S33"/>
      <c r="T33"/>
      <c r="U33"/>
      <c r="V33"/>
    </row>
    <row r="34" spans="1:22" x14ac:dyDescent="0.3">
      <c r="A34" s="24">
        <v>2046</v>
      </c>
      <c r="B34" s="123">
        <v>46.542344973413691</v>
      </c>
      <c r="C34" s="127">
        <v>72.967953587597009</v>
      </c>
      <c r="D34" s="128">
        <v>124.58906624078871</v>
      </c>
      <c r="E34" s="123">
        <v>6.8026059539999997</v>
      </c>
      <c r="F34" s="127">
        <v>8.6166390700000015</v>
      </c>
      <c r="G34" s="128">
        <v>10.430672186000001</v>
      </c>
      <c r="H34" s="123">
        <v>39.500500000000002</v>
      </c>
      <c r="I34" s="127">
        <v>44.362099999999998</v>
      </c>
      <c r="J34" s="128">
        <v>52.262199999999993</v>
      </c>
      <c r="K34" s="132"/>
      <c r="L34" s="123"/>
      <c r="M34" s="123"/>
      <c r="N34" s="123"/>
      <c r="O34" s="127"/>
      <c r="P34" s="128"/>
      <c r="Q34"/>
      <c r="R34"/>
      <c r="S34"/>
      <c r="T34"/>
      <c r="U34"/>
      <c r="V34"/>
    </row>
    <row r="35" spans="1:22" x14ac:dyDescent="0.3">
      <c r="A35" s="24">
        <v>2047</v>
      </c>
      <c r="B35" s="123">
        <v>45.930917086885017</v>
      </c>
      <c r="C35" s="127">
        <v>72.572385841930043</v>
      </c>
      <c r="D35" s="128">
        <v>124.58906624078871</v>
      </c>
      <c r="E35" s="123">
        <v>6.1223465739999998</v>
      </c>
      <c r="F35" s="127">
        <v>7.8230011009999991</v>
      </c>
      <c r="G35" s="128">
        <v>9.5236556280000002</v>
      </c>
      <c r="H35" s="123">
        <v>39.257419999999996</v>
      </c>
      <c r="I35" s="127">
        <v>44.119019999999999</v>
      </c>
      <c r="J35" s="128">
        <v>51.897580000000005</v>
      </c>
      <c r="K35" s="132"/>
      <c r="L35" s="123"/>
      <c r="M35" s="123"/>
      <c r="N35" s="123"/>
      <c r="O35" s="127"/>
      <c r="P35" s="128"/>
      <c r="Q35"/>
      <c r="R35"/>
      <c r="S35"/>
      <c r="T35"/>
      <c r="U35"/>
      <c r="V35"/>
    </row>
    <row r="36" spans="1:22" x14ac:dyDescent="0.3">
      <c r="A36" s="24">
        <v>2048</v>
      </c>
      <c r="B36" s="123">
        <v>45.319489200356337</v>
      </c>
      <c r="C36" s="127">
        <v>72.176818096263048</v>
      </c>
      <c r="D36" s="128">
        <v>124.58906624078871</v>
      </c>
      <c r="E36" s="123">
        <v>5.2153300159999993</v>
      </c>
      <c r="F36" s="127">
        <v>7.2561142330000008</v>
      </c>
      <c r="G36" s="128">
        <v>9.2968984500000005</v>
      </c>
      <c r="H36" s="123">
        <v>38.892800000000001</v>
      </c>
      <c r="I36" s="127">
        <v>43.87594</v>
      </c>
      <c r="J36" s="128">
        <v>51.532959999999996</v>
      </c>
      <c r="K36" s="132"/>
      <c r="L36" s="123"/>
      <c r="M36" s="123"/>
      <c r="N36" s="123"/>
      <c r="O36" s="127"/>
      <c r="P36" s="128"/>
      <c r="Q36"/>
      <c r="R36"/>
      <c r="S36"/>
      <c r="T36"/>
      <c r="U36"/>
      <c r="V36"/>
    </row>
    <row r="37" spans="1:22" x14ac:dyDescent="0.3">
      <c r="A37" s="24">
        <v>2049</v>
      </c>
      <c r="B37" s="123">
        <v>44.708061313827656</v>
      </c>
      <c r="C37" s="127">
        <v>71.781250350596082</v>
      </c>
      <c r="D37" s="128">
        <v>124.58906624078871</v>
      </c>
      <c r="E37" s="123">
        <v>4.308325612</v>
      </c>
      <c r="F37" s="127">
        <v>6.4624823410000003</v>
      </c>
      <c r="G37" s="128">
        <v>8.6166390700000015</v>
      </c>
      <c r="H37" s="123">
        <v>38.285099999999993</v>
      </c>
      <c r="I37" s="127">
        <v>43.146700000000003</v>
      </c>
      <c r="J37" s="128">
        <v>50.682180000000002</v>
      </c>
      <c r="K37" s="132"/>
      <c r="L37" s="123"/>
      <c r="M37" s="123"/>
      <c r="N37" s="123"/>
      <c r="O37" s="127"/>
      <c r="P37" s="128"/>
      <c r="Q37"/>
      <c r="R37"/>
      <c r="S37"/>
      <c r="T37"/>
      <c r="U37"/>
      <c r="V37"/>
    </row>
    <row r="38" spans="1:22" ht="15" thickBot="1" x14ac:dyDescent="0.35">
      <c r="A38" s="25">
        <v>2050</v>
      </c>
      <c r="B38" s="124">
        <v>44.09663342729894</v>
      </c>
      <c r="C38" s="129">
        <v>71.38568260492913</v>
      </c>
      <c r="D38" s="130">
        <v>124.58906624078871</v>
      </c>
      <c r="E38" s="124">
        <v>3.4013090539999995</v>
      </c>
      <c r="F38" s="129">
        <v>5.6688443719999997</v>
      </c>
      <c r="G38" s="130">
        <v>7.9363796899999999</v>
      </c>
      <c r="H38" s="124">
        <v>37.677399999999999</v>
      </c>
      <c r="I38" s="129">
        <v>42.417459999999998</v>
      </c>
      <c r="J38" s="130">
        <v>49.831399999999995</v>
      </c>
      <c r="K38" s="133">
        <v>167.7252</v>
      </c>
      <c r="L38" s="124">
        <v>52.581499999999998</v>
      </c>
      <c r="M38" s="124">
        <v>83.497469119999991</v>
      </c>
      <c r="N38" s="124"/>
      <c r="O38" s="129"/>
      <c r="P38" s="130"/>
      <c r="Q38"/>
      <c r="R38"/>
      <c r="S38"/>
      <c r="T38"/>
      <c r="U38"/>
      <c r="V38"/>
    </row>
    <row r="39" spans="1:22" x14ac:dyDescent="0.3">
      <c r="B39" s="39"/>
      <c r="C39" s="39"/>
      <c r="D39" s="39"/>
    </row>
    <row r="40" spans="1:22" x14ac:dyDescent="0.3">
      <c r="A40" s="36" t="s">
        <v>30</v>
      </c>
      <c r="B40" s="39"/>
      <c r="C40" s="39"/>
      <c r="D40" s="39"/>
    </row>
    <row r="41" spans="1:22" x14ac:dyDescent="0.3">
      <c r="A41" s="36" t="s">
        <v>60</v>
      </c>
      <c r="B41" s="39"/>
      <c r="C41" s="39"/>
      <c r="D41" s="39"/>
      <c r="E41" s="40"/>
      <c r="R41" s="285"/>
      <c r="S41" s="285"/>
      <c r="T41" s="285"/>
    </row>
    <row r="42" spans="1:22" x14ac:dyDescent="0.3">
      <c r="A42" s="36" t="s">
        <v>308</v>
      </c>
      <c r="B42" s="39"/>
      <c r="C42" s="39"/>
      <c r="D42" s="39"/>
    </row>
    <row r="43" spans="1:22" x14ac:dyDescent="0.3">
      <c r="B43" s="39"/>
      <c r="C43" s="39"/>
      <c r="D43" s="39"/>
    </row>
    <row r="44" spans="1:22" x14ac:dyDescent="0.3">
      <c r="B44" s="39"/>
      <c r="C44" s="39"/>
      <c r="D44" s="39"/>
    </row>
    <row r="45" spans="1:22" x14ac:dyDescent="0.3">
      <c r="B45" s="127"/>
      <c r="C45" s="127"/>
      <c r="D45" s="127"/>
      <c r="E45" s="127"/>
      <c r="F45" s="127"/>
      <c r="G45" s="127"/>
      <c r="H45" s="127"/>
      <c r="I45" s="127"/>
      <c r="J45" s="127"/>
      <c r="K45" s="127"/>
      <c r="L45" s="127"/>
      <c r="M45" s="127"/>
      <c r="N45" s="127"/>
      <c r="O45" s="127"/>
      <c r="P45" s="127"/>
    </row>
    <row r="46" spans="1:22" x14ac:dyDescent="0.3">
      <c r="B46" s="127"/>
      <c r="C46" s="127"/>
      <c r="D46" s="127"/>
      <c r="E46" s="127"/>
      <c r="F46" s="127"/>
      <c r="G46" s="127"/>
      <c r="H46" s="127"/>
      <c r="I46" s="127"/>
      <c r="J46" s="127"/>
      <c r="K46" s="127"/>
      <c r="L46" s="127"/>
      <c r="M46" s="127"/>
      <c r="N46" s="127"/>
      <c r="O46" s="127"/>
      <c r="P46" s="127"/>
    </row>
    <row r="47" spans="1:22" x14ac:dyDescent="0.3">
      <c r="B47" s="127"/>
      <c r="C47" s="127"/>
      <c r="D47" s="127"/>
      <c r="E47" s="127"/>
      <c r="F47" s="127"/>
      <c r="G47" s="127"/>
      <c r="H47" s="127"/>
      <c r="I47" s="127"/>
      <c r="J47" s="127"/>
      <c r="K47" s="127"/>
      <c r="L47" s="127"/>
      <c r="M47" s="127"/>
      <c r="N47" s="127"/>
      <c r="O47" s="127"/>
      <c r="P47" s="127"/>
    </row>
    <row r="48" spans="1:22" x14ac:dyDescent="0.3">
      <c r="B48" s="127"/>
      <c r="C48" s="127"/>
      <c r="D48" s="127"/>
      <c r="E48" s="127"/>
      <c r="F48" s="127"/>
      <c r="G48" s="127"/>
      <c r="H48" s="127"/>
      <c r="I48" s="127"/>
      <c r="J48" s="127"/>
      <c r="K48" s="127"/>
      <c r="L48" s="127"/>
      <c r="M48" s="127"/>
      <c r="N48" s="127"/>
      <c r="O48" s="127"/>
      <c r="P48" s="127"/>
    </row>
    <row r="49" spans="2:16" x14ac:dyDescent="0.3">
      <c r="B49" s="127"/>
      <c r="C49" s="127"/>
      <c r="D49" s="127"/>
      <c r="E49" s="127"/>
      <c r="F49" s="127"/>
      <c r="G49" s="127"/>
      <c r="H49" s="127"/>
      <c r="I49" s="127"/>
      <c r="J49" s="127"/>
      <c r="K49" s="127"/>
      <c r="L49" s="127"/>
      <c r="M49" s="127"/>
      <c r="N49" s="127"/>
      <c r="O49" s="127"/>
      <c r="P49" s="127"/>
    </row>
    <row r="50" spans="2:16" x14ac:dyDescent="0.3">
      <c r="B50" s="127"/>
      <c r="C50" s="127"/>
      <c r="D50" s="127"/>
      <c r="E50" s="127"/>
      <c r="F50" s="127"/>
      <c r="G50" s="127"/>
      <c r="H50" s="127"/>
      <c r="I50" s="127"/>
      <c r="J50" s="127"/>
      <c r="K50" s="127"/>
      <c r="L50" s="127"/>
      <c r="M50" s="127"/>
      <c r="N50" s="127"/>
      <c r="O50" s="127"/>
      <c r="P50" s="127"/>
    </row>
    <row r="51" spans="2:16" x14ac:dyDescent="0.3">
      <c r="B51" s="127"/>
      <c r="C51" s="127"/>
      <c r="D51" s="127"/>
      <c r="E51" s="127"/>
      <c r="F51" s="127"/>
      <c r="G51" s="127"/>
      <c r="H51" s="127"/>
      <c r="I51" s="127"/>
      <c r="J51" s="127"/>
      <c r="K51" s="127"/>
      <c r="L51" s="127"/>
      <c r="M51" s="127"/>
      <c r="N51" s="127"/>
      <c r="O51" s="127"/>
      <c r="P51" s="127"/>
    </row>
    <row r="52" spans="2:16" x14ac:dyDescent="0.3">
      <c r="B52" s="127"/>
      <c r="C52" s="127"/>
      <c r="D52" s="127"/>
      <c r="E52" s="127"/>
      <c r="F52" s="127"/>
      <c r="G52" s="127"/>
      <c r="H52" s="127"/>
      <c r="I52" s="127"/>
      <c r="J52" s="127"/>
      <c r="K52" s="127"/>
      <c r="L52" s="127"/>
      <c r="M52" s="127"/>
      <c r="N52" s="127"/>
      <c r="O52" s="127"/>
      <c r="P52" s="127"/>
    </row>
    <row r="53" spans="2:16" x14ac:dyDescent="0.3">
      <c r="B53" s="127"/>
      <c r="C53" s="127"/>
      <c r="D53" s="127"/>
      <c r="E53" s="127"/>
      <c r="F53" s="127"/>
      <c r="G53" s="127"/>
      <c r="H53" s="127"/>
      <c r="I53" s="127"/>
      <c r="J53" s="127"/>
      <c r="K53" s="127"/>
      <c r="L53" s="127"/>
      <c r="M53" s="127"/>
      <c r="N53" s="127"/>
      <c r="O53" s="127"/>
      <c r="P53" s="127"/>
    </row>
    <row r="54" spans="2:16" x14ac:dyDescent="0.3">
      <c r="B54" s="127"/>
      <c r="C54" s="127"/>
      <c r="D54" s="127"/>
      <c r="E54" s="127"/>
      <c r="F54" s="127"/>
      <c r="G54" s="127"/>
      <c r="H54" s="127"/>
      <c r="I54" s="127"/>
      <c r="J54" s="127"/>
      <c r="K54" s="127"/>
      <c r="L54" s="127"/>
      <c r="M54" s="127"/>
      <c r="N54" s="127"/>
      <c r="O54" s="127"/>
      <c r="P54" s="127"/>
    </row>
    <row r="55" spans="2:16" x14ac:dyDescent="0.3">
      <c r="B55" s="127"/>
      <c r="C55" s="127"/>
      <c r="D55" s="127"/>
      <c r="E55" s="127"/>
      <c r="F55" s="127"/>
      <c r="G55" s="127"/>
      <c r="H55" s="127"/>
      <c r="I55" s="127"/>
      <c r="J55" s="127"/>
      <c r="K55" s="127"/>
      <c r="L55" s="127"/>
      <c r="M55" s="127"/>
      <c r="N55" s="127"/>
      <c r="O55" s="127"/>
      <c r="P55" s="127"/>
    </row>
    <row r="56" spans="2:16" x14ac:dyDescent="0.3">
      <c r="B56" s="127"/>
      <c r="C56" s="127"/>
      <c r="D56" s="127"/>
      <c r="E56" s="127"/>
      <c r="F56" s="127"/>
      <c r="G56" s="127"/>
      <c r="H56" s="127"/>
      <c r="I56" s="127"/>
      <c r="J56" s="127"/>
      <c r="K56" s="127"/>
      <c r="L56" s="127"/>
      <c r="M56" s="127"/>
      <c r="N56" s="127"/>
      <c r="O56" s="127"/>
      <c r="P56" s="127"/>
    </row>
    <row r="57" spans="2:16" x14ac:dyDescent="0.3">
      <c r="B57" s="127"/>
      <c r="C57" s="127"/>
      <c r="D57" s="127"/>
      <c r="E57" s="127"/>
      <c r="F57" s="127"/>
      <c r="G57" s="127"/>
      <c r="H57" s="127"/>
      <c r="I57" s="127"/>
      <c r="J57" s="127"/>
      <c r="K57" s="127"/>
      <c r="L57" s="127"/>
      <c r="M57" s="127"/>
      <c r="N57" s="127"/>
      <c r="O57" s="127"/>
      <c r="P57" s="127"/>
    </row>
    <row r="58" spans="2:16" x14ac:dyDescent="0.3">
      <c r="B58" s="127"/>
      <c r="C58" s="127"/>
      <c r="D58" s="127"/>
      <c r="E58" s="127"/>
      <c r="F58" s="127"/>
      <c r="G58" s="127"/>
      <c r="H58" s="127"/>
      <c r="I58" s="127"/>
      <c r="J58" s="127"/>
      <c r="K58" s="127"/>
      <c r="L58" s="127"/>
      <c r="M58" s="127"/>
      <c r="N58" s="127"/>
      <c r="O58" s="127"/>
      <c r="P58" s="127"/>
    </row>
    <row r="59" spans="2:16" x14ac:dyDescent="0.3">
      <c r="B59" s="127"/>
      <c r="C59" s="127"/>
      <c r="D59" s="127"/>
      <c r="E59" s="127"/>
      <c r="F59" s="127"/>
      <c r="G59" s="127"/>
      <c r="H59" s="127"/>
      <c r="I59" s="127"/>
      <c r="J59" s="127"/>
      <c r="K59" s="127"/>
      <c r="L59" s="127"/>
      <c r="M59" s="127"/>
      <c r="N59" s="127"/>
      <c r="O59" s="127"/>
      <c r="P59" s="127"/>
    </row>
    <row r="60" spans="2:16" x14ac:dyDescent="0.3">
      <c r="B60" s="127"/>
      <c r="C60" s="127"/>
      <c r="D60" s="127"/>
      <c r="E60" s="127"/>
      <c r="F60" s="127"/>
      <c r="G60" s="127"/>
      <c r="H60" s="127"/>
      <c r="I60" s="127"/>
      <c r="J60" s="127"/>
      <c r="K60" s="127"/>
      <c r="L60" s="127"/>
      <c r="M60" s="127"/>
      <c r="N60" s="127"/>
      <c r="O60" s="127"/>
      <c r="P60" s="127"/>
    </row>
    <row r="61" spans="2:16" x14ac:dyDescent="0.3">
      <c r="B61" s="127"/>
      <c r="C61" s="127"/>
      <c r="D61" s="127"/>
      <c r="E61" s="127"/>
      <c r="F61" s="127"/>
      <c r="G61" s="127"/>
      <c r="H61" s="127"/>
      <c r="I61" s="127"/>
      <c r="J61" s="127"/>
      <c r="K61" s="127"/>
      <c r="L61" s="127"/>
      <c r="M61" s="127"/>
      <c r="N61" s="127"/>
      <c r="O61" s="127"/>
      <c r="P61" s="127"/>
    </row>
    <row r="62" spans="2:16" x14ac:dyDescent="0.3">
      <c r="B62" s="127"/>
      <c r="C62" s="127"/>
      <c r="D62" s="127"/>
      <c r="E62" s="127"/>
      <c r="F62" s="127"/>
      <c r="G62" s="127"/>
      <c r="H62" s="127"/>
      <c r="I62" s="127"/>
      <c r="J62" s="127"/>
      <c r="K62" s="127"/>
      <c r="L62" s="127"/>
      <c r="M62" s="127"/>
      <c r="N62" s="127"/>
      <c r="O62" s="127"/>
      <c r="P62" s="127"/>
    </row>
    <row r="63" spans="2:16" x14ac:dyDescent="0.3">
      <c r="B63" s="127"/>
      <c r="C63" s="127"/>
      <c r="D63" s="127"/>
      <c r="E63" s="127"/>
      <c r="F63" s="127"/>
      <c r="G63" s="127"/>
      <c r="H63" s="127"/>
      <c r="I63" s="127"/>
      <c r="J63" s="127"/>
      <c r="K63" s="127"/>
      <c r="L63" s="127"/>
      <c r="M63" s="127"/>
      <c r="N63" s="127"/>
      <c r="O63" s="127"/>
      <c r="P63" s="127"/>
    </row>
    <row r="64" spans="2:16" x14ac:dyDescent="0.3">
      <c r="B64" s="127"/>
      <c r="C64" s="127"/>
      <c r="D64" s="127"/>
      <c r="E64" s="127"/>
      <c r="F64" s="127"/>
      <c r="G64" s="127"/>
      <c r="H64" s="127"/>
      <c r="I64" s="127"/>
      <c r="J64" s="127"/>
      <c r="K64" s="127"/>
      <c r="L64" s="127"/>
      <c r="M64" s="127"/>
      <c r="N64" s="127"/>
      <c r="O64" s="127"/>
      <c r="P64" s="127"/>
    </row>
    <row r="65" spans="2:16" x14ac:dyDescent="0.3">
      <c r="B65" s="127"/>
      <c r="C65" s="127"/>
      <c r="D65" s="127"/>
      <c r="E65" s="127"/>
      <c r="F65" s="127"/>
      <c r="G65" s="127"/>
      <c r="H65" s="127"/>
      <c r="I65" s="127"/>
      <c r="J65" s="127"/>
      <c r="K65" s="127"/>
      <c r="L65" s="127"/>
      <c r="M65" s="127"/>
      <c r="N65" s="127"/>
      <c r="O65" s="127"/>
      <c r="P65" s="127"/>
    </row>
    <row r="66" spans="2:16" x14ac:dyDescent="0.3">
      <c r="B66" s="127"/>
      <c r="C66" s="127"/>
      <c r="D66" s="127"/>
      <c r="E66" s="127"/>
      <c r="F66" s="127"/>
      <c r="G66" s="127"/>
      <c r="H66" s="127"/>
      <c r="I66" s="127"/>
      <c r="J66" s="127"/>
      <c r="K66" s="127"/>
      <c r="L66" s="127"/>
      <c r="M66" s="127"/>
      <c r="N66" s="127"/>
      <c r="O66" s="127"/>
      <c r="P66" s="127"/>
    </row>
    <row r="67" spans="2:16" x14ac:dyDescent="0.3">
      <c r="B67" s="127"/>
      <c r="C67" s="127"/>
      <c r="D67" s="127"/>
      <c r="E67" s="127"/>
      <c r="F67" s="127"/>
      <c r="G67" s="127"/>
      <c r="H67" s="127"/>
      <c r="I67" s="127"/>
      <c r="J67" s="127"/>
      <c r="K67" s="127"/>
      <c r="L67" s="127"/>
      <c r="M67" s="127"/>
      <c r="N67" s="127"/>
      <c r="O67" s="127"/>
      <c r="P67" s="127"/>
    </row>
    <row r="68" spans="2:16" x14ac:dyDescent="0.3">
      <c r="B68" s="127"/>
      <c r="C68" s="127"/>
      <c r="D68" s="127"/>
      <c r="E68" s="127"/>
      <c r="F68" s="127"/>
      <c r="G68" s="127"/>
      <c r="H68" s="127"/>
      <c r="I68" s="127"/>
      <c r="J68" s="127"/>
      <c r="K68" s="127"/>
      <c r="L68" s="127"/>
      <c r="M68" s="127"/>
      <c r="N68" s="127"/>
      <c r="O68" s="127"/>
      <c r="P68" s="127"/>
    </row>
    <row r="69" spans="2:16" x14ac:dyDescent="0.3">
      <c r="B69" s="127"/>
      <c r="C69" s="127"/>
      <c r="D69" s="127"/>
      <c r="E69" s="127"/>
      <c r="F69" s="127"/>
      <c r="G69" s="127"/>
      <c r="H69" s="127"/>
      <c r="I69" s="127"/>
      <c r="J69" s="127"/>
      <c r="K69" s="127"/>
      <c r="L69" s="127"/>
      <c r="M69" s="127"/>
      <c r="N69" s="127"/>
      <c r="O69" s="127"/>
      <c r="P69" s="127"/>
    </row>
    <row r="70" spans="2:16" x14ac:dyDescent="0.3">
      <c r="B70" s="127"/>
      <c r="C70" s="127"/>
      <c r="D70" s="127"/>
      <c r="E70" s="127"/>
      <c r="F70" s="127"/>
      <c r="G70" s="127"/>
      <c r="H70" s="127"/>
      <c r="I70" s="127"/>
      <c r="J70" s="127"/>
      <c r="K70" s="127"/>
      <c r="L70" s="127"/>
      <c r="M70" s="127"/>
      <c r="N70" s="127"/>
      <c r="O70" s="127"/>
      <c r="P70" s="127"/>
    </row>
    <row r="71" spans="2:16" x14ac:dyDescent="0.3">
      <c r="B71" s="127"/>
      <c r="C71" s="127"/>
      <c r="D71" s="127"/>
      <c r="E71" s="127"/>
      <c r="F71" s="127"/>
      <c r="G71" s="127"/>
      <c r="H71" s="127"/>
      <c r="I71" s="127"/>
      <c r="J71" s="127"/>
      <c r="K71" s="127"/>
      <c r="L71" s="127"/>
      <c r="M71" s="127"/>
      <c r="N71" s="127"/>
      <c r="O71" s="127"/>
      <c r="P71" s="127"/>
    </row>
    <row r="72" spans="2:16" x14ac:dyDescent="0.3">
      <c r="B72" s="127"/>
      <c r="C72" s="127"/>
      <c r="D72" s="127"/>
      <c r="E72" s="127"/>
      <c r="F72" s="127"/>
      <c r="G72" s="127"/>
      <c r="H72" s="127"/>
      <c r="I72" s="127"/>
      <c r="J72" s="127"/>
      <c r="K72" s="127"/>
      <c r="L72" s="127"/>
      <c r="M72" s="127"/>
      <c r="N72" s="127"/>
      <c r="O72" s="127"/>
      <c r="P72" s="127"/>
    </row>
    <row r="73" spans="2:16" x14ac:dyDescent="0.3">
      <c r="B73" s="127"/>
      <c r="C73" s="127"/>
      <c r="D73" s="127"/>
      <c r="E73" s="127"/>
      <c r="F73" s="127"/>
      <c r="G73" s="127"/>
      <c r="H73" s="127"/>
      <c r="I73" s="127"/>
      <c r="J73" s="127"/>
      <c r="K73" s="127"/>
      <c r="L73" s="127"/>
      <c r="M73" s="127"/>
      <c r="N73" s="127"/>
      <c r="O73" s="127"/>
      <c r="P73" s="127"/>
    </row>
    <row r="74" spans="2:16" x14ac:dyDescent="0.3">
      <c r="B74" s="127"/>
      <c r="C74" s="127"/>
      <c r="D74" s="127"/>
      <c r="E74" s="127"/>
      <c r="F74" s="127"/>
      <c r="G74" s="127"/>
      <c r="H74" s="127"/>
      <c r="I74" s="127"/>
      <c r="J74" s="127"/>
      <c r="K74" s="127"/>
      <c r="L74" s="127"/>
      <c r="M74" s="127"/>
      <c r="N74" s="127"/>
      <c r="O74" s="127"/>
      <c r="P74" s="127"/>
    </row>
    <row r="75" spans="2:16" x14ac:dyDescent="0.3">
      <c r="B75" s="127"/>
      <c r="C75" s="127"/>
      <c r="D75" s="127"/>
      <c r="E75" s="127"/>
      <c r="F75" s="127"/>
      <c r="G75" s="127"/>
      <c r="H75" s="127"/>
      <c r="I75" s="127"/>
      <c r="J75" s="127"/>
      <c r="K75" s="127"/>
      <c r="L75" s="127"/>
      <c r="M75" s="127"/>
      <c r="N75" s="127"/>
      <c r="O75" s="127"/>
      <c r="P75" s="127"/>
    </row>
    <row r="76" spans="2:16" x14ac:dyDescent="0.3">
      <c r="B76" s="127"/>
      <c r="C76" s="127"/>
      <c r="D76" s="127"/>
      <c r="E76" s="127"/>
      <c r="F76" s="127"/>
      <c r="G76" s="127"/>
      <c r="H76" s="127"/>
      <c r="I76" s="127"/>
      <c r="J76" s="127"/>
      <c r="K76" s="127"/>
      <c r="L76" s="127"/>
      <c r="M76" s="127"/>
      <c r="N76" s="127"/>
      <c r="O76" s="127"/>
      <c r="P76" s="127"/>
    </row>
    <row r="77" spans="2:16" x14ac:dyDescent="0.3">
      <c r="B77" s="127"/>
      <c r="C77" s="127"/>
      <c r="D77" s="127"/>
      <c r="E77" s="127"/>
      <c r="F77" s="127"/>
      <c r="G77" s="127"/>
      <c r="H77" s="127"/>
      <c r="I77" s="127"/>
      <c r="J77" s="127"/>
      <c r="K77" s="127"/>
      <c r="L77" s="127"/>
      <c r="M77" s="127"/>
      <c r="N77" s="127"/>
      <c r="O77" s="127"/>
      <c r="P77" s="127"/>
    </row>
    <row r="78" spans="2:16" x14ac:dyDescent="0.3">
      <c r="B78" s="127"/>
      <c r="C78" s="127"/>
      <c r="D78" s="127"/>
      <c r="E78" s="127"/>
      <c r="F78" s="127"/>
      <c r="G78" s="127"/>
      <c r="H78" s="127"/>
      <c r="I78" s="127"/>
      <c r="J78" s="127"/>
      <c r="K78" s="127"/>
      <c r="L78" s="127"/>
      <c r="M78" s="127"/>
      <c r="N78" s="127"/>
      <c r="O78" s="127"/>
      <c r="P78" s="127"/>
    </row>
    <row r="79" spans="2:16" x14ac:dyDescent="0.3">
      <c r="B79" s="127"/>
      <c r="C79" s="127"/>
      <c r="D79" s="127"/>
      <c r="E79" s="127"/>
      <c r="F79" s="127"/>
      <c r="G79" s="127"/>
      <c r="H79" s="127"/>
      <c r="I79" s="127"/>
      <c r="J79" s="127"/>
      <c r="K79" s="127"/>
      <c r="L79" s="127"/>
      <c r="M79" s="127"/>
      <c r="N79" s="127"/>
      <c r="O79" s="127"/>
      <c r="P79" s="127"/>
    </row>
    <row r="80" spans="2:16" x14ac:dyDescent="0.3">
      <c r="B80" s="127"/>
      <c r="C80" s="127"/>
      <c r="D80" s="127"/>
      <c r="E80" s="127"/>
      <c r="F80" s="127"/>
      <c r="G80" s="127"/>
      <c r="H80" s="127"/>
      <c r="I80" s="127"/>
      <c r="J80" s="127"/>
      <c r="K80" s="127"/>
      <c r="L80" s="127"/>
      <c r="M80" s="127"/>
      <c r="N80" s="127"/>
      <c r="O80" s="127"/>
      <c r="P80" s="127"/>
    </row>
    <row r="81" spans="2:16" x14ac:dyDescent="0.3">
      <c r="B81" s="39"/>
      <c r="C81" s="39"/>
      <c r="D81" s="39"/>
      <c r="E81" s="39"/>
      <c r="F81" s="39"/>
      <c r="G81" s="39"/>
      <c r="H81" s="39"/>
      <c r="I81" s="39"/>
      <c r="J81" s="39"/>
      <c r="K81" s="39"/>
      <c r="L81" s="39"/>
      <c r="M81" s="39"/>
      <c r="N81" s="39"/>
      <c r="O81" s="39"/>
      <c r="P81" s="39"/>
    </row>
    <row r="82" spans="2:16" x14ac:dyDescent="0.3">
      <c r="B82" s="39"/>
      <c r="C82" s="39"/>
      <c r="D82" s="39"/>
      <c r="E82" s="39"/>
      <c r="F82" s="39"/>
      <c r="G82" s="39"/>
      <c r="H82" s="39"/>
      <c r="I82" s="39"/>
      <c r="J82" s="39"/>
      <c r="K82" s="39"/>
      <c r="L82" s="39"/>
      <c r="M82" s="39"/>
      <c r="N82" s="39"/>
      <c r="O82" s="39"/>
      <c r="P82" s="39"/>
    </row>
    <row r="83" spans="2:16" x14ac:dyDescent="0.3">
      <c r="B83" s="39"/>
      <c r="C83" s="39"/>
      <c r="D83" s="39"/>
      <c r="E83" s="39"/>
      <c r="F83" s="39"/>
      <c r="G83" s="39"/>
      <c r="H83" s="39"/>
      <c r="I83" s="39"/>
      <c r="J83" s="39"/>
      <c r="K83" s="39"/>
      <c r="L83" s="39"/>
      <c r="M83" s="39"/>
      <c r="N83" s="39"/>
      <c r="O83" s="39"/>
      <c r="P83" s="39"/>
    </row>
    <row r="84" spans="2:16" x14ac:dyDescent="0.3">
      <c r="B84" s="39"/>
      <c r="C84" s="39"/>
      <c r="D84" s="39"/>
      <c r="E84" s="39"/>
      <c r="F84" s="39"/>
      <c r="G84" s="39"/>
      <c r="H84" s="39"/>
      <c r="I84" s="39"/>
      <c r="J84" s="39"/>
      <c r="K84" s="39"/>
      <c r="L84" s="39"/>
      <c r="M84" s="39"/>
      <c r="N84" s="39"/>
      <c r="O84" s="39"/>
      <c r="P84" s="39"/>
    </row>
  </sheetData>
  <mergeCells count="6">
    <mergeCell ref="A1:A2"/>
    <mergeCell ref="B1:D1"/>
    <mergeCell ref="E1:G1"/>
    <mergeCell ref="H1:J1"/>
    <mergeCell ref="R41:T41"/>
    <mergeCell ref="N1:P1"/>
  </mergeCells>
  <pageMargins left="0.25" right="0.25" top="0.75" bottom="0.75" header="0.3" footer="0.3"/>
  <pageSetup paperSize="9" scale="61" orientation="landscape" r:id="rId1"/>
  <headerFooter>
    <oddFooter>&amp;C_x000D_&amp;1#&amp;"Calibri"&amp;7&amp;K000000 Classification: In-Confidence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32F34-F52F-4E20-AD97-2AE95DAF1C60}">
  <sheetPr>
    <tabColor theme="4" tint="0.79998168889431442"/>
    <pageSetUpPr fitToPage="1"/>
  </sheetPr>
  <dimension ref="A1:BA47"/>
  <sheetViews>
    <sheetView topLeftCell="AB1" zoomScale="70" zoomScaleNormal="70" workbookViewId="0">
      <selection activeCell="O39" sqref="O39"/>
    </sheetView>
  </sheetViews>
  <sheetFormatPr defaultRowHeight="14.4" x14ac:dyDescent="0.3"/>
  <cols>
    <col min="2" max="3" width="8.5546875" bestFit="1" customWidth="1"/>
    <col min="4" max="4" width="9" bestFit="1" customWidth="1"/>
    <col min="5" max="7" width="8.5546875" bestFit="1" customWidth="1"/>
    <col min="8" max="8" width="14.6640625" bestFit="1" customWidth="1"/>
    <col min="9" max="14" width="8.5546875" bestFit="1" customWidth="1"/>
    <col min="15" max="15" width="12.109375" bestFit="1" customWidth="1"/>
    <col min="16" max="16" width="9.33203125" customWidth="1"/>
    <col min="17" max="20" width="8.5546875" bestFit="1" customWidth="1"/>
    <col min="21" max="21" width="11.6640625" customWidth="1"/>
    <col min="22" max="22" width="9.21875" customWidth="1"/>
    <col min="23" max="23" width="12.21875" customWidth="1"/>
    <col min="24" max="24" width="16.21875" bestFit="1" customWidth="1"/>
    <col min="25" max="26" width="17.6640625" bestFit="1" customWidth="1"/>
    <col min="27" max="27" width="16.21875" bestFit="1" customWidth="1"/>
    <col min="28" max="29" width="17.6640625" bestFit="1" customWidth="1"/>
    <col min="30" max="30" width="11.33203125" customWidth="1"/>
    <col min="31" max="31" width="9.109375" customWidth="1"/>
    <col min="32" max="32" width="9" bestFit="1" customWidth="1"/>
    <col min="33" max="33" width="17.33203125" bestFit="1" customWidth="1"/>
    <col min="34" max="34" width="20.44140625" bestFit="1" customWidth="1"/>
    <col min="35" max="35" width="13.88671875" bestFit="1" customWidth="1"/>
    <col min="36" max="36" width="17.33203125" bestFit="1" customWidth="1"/>
    <col min="37" max="37" width="20.44140625" bestFit="1" customWidth="1"/>
    <col min="38" max="38" width="13.88671875" bestFit="1" customWidth="1"/>
    <col min="39" max="39" width="8.5546875" bestFit="1" customWidth="1"/>
    <col min="40" max="40" width="9" bestFit="1" customWidth="1"/>
    <col min="41" max="42" width="8.5546875" bestFit="1" customWidth="1"/>
    <col min="43" max="43" width="9" bestFit="1" customWidth="1"/>
  </cols>
  <sheetData>
    <row r="1" spans="1:53" ht="42" customHeight="1" thickBot="1" x14ac:dyDescent="0.35">
      <c r="A1" s="296" t="s">
        <v>0</v>
      </c>
      <c r="B1" s="291" t="s">
        <v>312</v>
      </c>
      <c r="C1" s="292"/>
      <c r="D1" s="292"/>
      <c r="E1" s="291" t="s">
        <v>31</v>
      </c>
      <c r="F1" s="292"/>
      <c r="G1" s="292"/>
      <c r="H1" s="28" t="s">
        <v>329</v>
      </c>
      <c r="I1" s="291" t="s">
        <v>7</v>
      </c>
      <c r="J1" s="292"/>
      <c r="K1" s="293"/>
      <c r="L1" s="291" t="s">
        <v>11</v>
      </c>
      <c r="M1" s="292"/>
      <c r="N1" s="293"/>
      <c r="O1" s="291" t="s">
        <v>37</v>
      </c>
      <c r="P1" s="292"/>
      <c r="Q1" s="293"/>
      <c r="R1" s="291" t="s">
        <v>296</v>
      </c>
      <c r="S1" s="292"/>
      <c r="T1" s="292"/>
      <c r="U1" s="291" t="s">
        <v>316</v>
      </c>
      <c r="V1" s="292"/>
      <c r="W1" s="293"/>
      <c r="X1" s="291" t="s">
        <v>317</v>
      </c>
      <c r="Y1" s="292"/>
      <c r="Z1" s="293"/>
      <c r="AA1" s="28" t="s">
        <v>15</v>
      </c>
      <c r="AB1" s="28" t="s">
        <v>9</v>
      </c>
      <c r="AC1" s="28" t="s">
        <v>10</v>
      </c>
      <c r="AD1" s="291" t="s">
        <v>12</v>
      </c>
      <c r="AE1" s="292"/>
      <c r="AF1" s="293"/>
      <c r="AG1" s="291" t="s">
        <v>283</v>
      </c>
      <c r="AH1" s="292"/>
      <c r="AI1" s="293"/>
      <c r="AJ1" s="28" t="s">
        <v>14</v>
      </c>
      <c r="AK1" s="28" t="s">
        <v>335</v>
      </c>
      <c r="AL1" s="26" t="s">
        <v>38</v>
      </c>
      <c r="AM1" s="291" t="s">
        <v>39</v>
      </c>
      <c r="AN1" s="292"/>
      <c r="AO1" s="293"/>
      <c r="AP1" s="291" t="s">
        <v>40</v>
      </c>
      <c r="AQ1" s="292"/>
      <c r="AR1" s="293"/>
      <c r="AS1" s="291" t="s">
        <v>16</v>
      </c>
      <c r="AT1" s="292"/>
      <c r="AU1" s="293"/>
      <c r="AV1" s="291" t="s">
        <v>13</v>
      </c>
      <c r="AW1" s="292"/>
      <c r="AX1" s="292"/>
      <c r="AY1" s="310" t="s">
        <v>17</v>
      </c>
      <c r="AZ1" s="311"/>
      <c r="BA1" s="312"/>
    </row>
    <row r="2" spans="1:53" ht="15" thickBot="1" x14ac:dyDescent="0.35">
      <c r="A2" s="297"/>
      <c r="B2" s="29" t="s">
        <v>18</v>
      </c>
      <c r="C2" s="30" t="s">
        <v>19</v>
      </c>
      <c r="D2" s="31" t="s">
        <v>20</v>
      </c>
      <c r="E2" s="29" t="s">
        <v>18</v>
      </c>
      <c r="F2" s="30" t="s">
        <v>19</v>
      </c>
      <c r="G2" s="31" t="s">
        <v>20</v>
      </c>
      <c r="H2" s="32" t="s">
        <v>19</v>
      </c>
      <c r="I2" s="29" t="s">
        <v>18</v>
      </c>
      <c r="J2" s="30" t="s">
        <v>19</v>
      </c>
      <c r="K2" s="31" t="s">
        <v>20</v>
      </c>
      <c r="L2" s="29" t="s">
        <v>18</v>
      </c>
      <c r="M2" s="30" t="s">
        <v>19</v>
      </c>
      <c r="N2" s="31" t="s">
        <v>20</v>
      </c>
      <c r="O2" s="29" t="s">
        <v>18</v>
      </c>
      <c r="P2" s="30" t="s">
        <v>19</v>
      </c>
      <c r="Q2" s="31" t="s">
        <v>20</v>
      </c>
      <c r="R2" s="29" t="s">
        <v>18</v>
      </c>
      <c r="S2" s="30" t="s">
        <v>19</v>
      </c>
      <c r="T2" s="31" t="s">
        <v>20</v>
      </c>
      <c r="U2" s="29" t="s">
        <v>18</v>
      </c>
      <c r="V2" s="30" t="s">
        <v>19</v>
      </c>
      <c r="W2" s="31" t="s">
        <v>20</v>
      </c>
      <c r="X2" s="29" t="s">
        <v>18</v>
      </c>
      <c r="Y2" s="30" t="s">
        <v>19</v>
      </c>
      <c r="Z2" s="31" t="s">
        <v>20</v>
      </c>
      <c r="AA2" s="32" t="s">
        <v>19</v>
      </c>
      <c r="AB2" s="32" t="s">
        <v>19</v>
      </c>
      <c r="AC2" s="32" t="s">
        <v>19</v>
      </c>
      <c r="AD2" s="29" t="s">
        <v>18</v>
      </c>
      <c r="AE2" s="30" t="s">
        <v>19</v>
      </c>
      <c r="AF2" s="31" t="s">
        <v>20</v>
      </c>
      <c r="AG2" s="29" t="s">
        <v>18</v>
      </c>
      <c r="AH2" s="30" t="s">
        <v>19</v>
      </c>
      <c r="AI2" s="31" t="s">
        <v>20</v>
      </c>
      <c r="AJ2" s="32" t="s">
        <v>19</v>
      </c>
      <c r="AK2" s="32" t="s">
        <v>19</v>
      </c>
      <c r="AL2" s="30" t="s">
        <v>19</v>
      </c>
      <c r="AM2" s="29" t="s">
        <v>18</v>
      </c>
      <c r="AN2" s="30" t="s">
        <v>19</v>
      </c>
      <c r="AO2" s="31" t="s">
        <v>20</v>
      </c>
      <c r="AP2" s="29" t="s">
        <v>18</v>
      </c>
      <c r="AQ2" s="30" t="s">
        <v>19</v>
      </c>
      <c r="AR2" s="31" t="s">
        <v>20</v>
      </c>
      <c r="AS2" s="29" t="s">
        <v>21</v>
      </c>
      <c r="AT2" s="30" t="s">
        <v>19</v>
      </c>
      <c r="AU2" s="31" t="s">
        <v>22</v>
      </c>
      <c r="AV2" s="29" t="s">
        <v>21</v>
      </c>
      <c r="AW2" s="30" t="s">
        <v>19</v>
      </c>
      <c r="AX2" s="31" t="s">
        <v>22</v>
      </c>
      <c r="AY2" s="60" t="s">
        <v>18</v>
      </c>
      <c r="AZ2" s="61" t="s">
        <v>19</v>
      </c>
      <c r="BA2" s="59" t="s">
        <v>20</v>
      </c>
    </row>
    <row r="3" spans="1:53" x14ac:dyDescent="0.3">
      <c r="A3" s="24">
        <v>2015</v>
      </c>
      <c r="B3" s="122"/>
      <c r="C3" s="125"/>
      <c r="D3" s="125"/>
      <c r="E3" s="122"/>
      <c r="F3" s="125"/>
      <c r="G3" s="126"/>
      <c r="H3" s="131"/>
      <c r="I3" s="125"/>
      <c r="J3" s="125"/>
      <c r="K3" s="126"/>
      <c r="L3" s="122"/>
      <c r="M3" s="125"/>
      <c r="N3" s="126"/>
      <c r="O3" s="122"/>
      <c r="P3" s="125"/>
      <c r="Q3" s="125"/>
      <c r="R3" s="122"/>
      <c r="S3" s="125"/>
      <c r="T3" s="125"/>
      <c r="U3" s="122"/>
      <c r="V3" s="125"/>
      <c r="W3" s="125"/>
      <c r="X3" s="122"/>
      <c r="Y3" s="125">
        <v>4593.770141760001</v>
      </c>
      <c r="Z3" s="125"/>
      <c r="AA3" s="131">
        <v>1686.3675000000003</v>
      </c>
      <c r="AB3" s="131">
        <v>1686.3675000000003</v>
      </c>
      <c r="AC3" s="131"/>
      <c r="AD3" s="122"/>
      <c r="AE3" s="125"/>
      <c r="AF3" s="126"/>
      <c r="AG3" s="122">
        <v>1660.875</v>
      </c>
      <c r="AH3" s="125">
        <v>2036.2327499999999</v>
      </c>
      <c r="AI3" s="126">
        <v>2411.5904999999998</v>
      </c>
      <c r="AJ3" s="131"/>
      <c r="AK3" s="131"/>
      <c r="AL3" s="131"/>
      <c r="AM3" s="122"/>
      <c r="AN3" s="125"/>
      <c r="AO3" s="126"/>
      <c r="AP3" s="122"/>
      <c r="AQ3" s="125"/>
      <c r="AR3" s="126"/>
      <c r="AS3" s="125"/>
      <c r="AT3" s="125"/>
      <c r="AU3" s="125"/>
      <c r="AV3" s="122">
        <v>1814.7627680000003</v>
      </c>
      <c r="AW3" s="125">
        <v>1814.7627680000003</v>
      </c>
      <c r="AX3" s="125">
        <v>1814.7627680000003</v>
      </c>
      <c r="AY3" s="122">
        <v>1372.8777300000002</v>
      </c>
      <c r="AZ3" s="125">
        <v>1898.24674</v>
      </c>
      <c r="BA3" s="219">
        <v>3381.1397999999999</v>
      </c>
    </row>
    <row r="4" spans="1:53" x14ac:dyDescent="0.3">
      <c r="A4" s="24">
        <v>2016</v>
      </c>
      <c r="B4" s="123"/>
      <c r="C4" s="127"/>
      <c r="D4" s="127"/>
      <c r="E4" s="123"/>
      <c r="F4" s="127"/>
      <c r="G4" s="128"/>
      <c r="H4" s="132"/>
      <c r="I4" s="127"/>
      <c r="J4" s="127"/>
      <c r="K4" s="128"/>
      <c r="L4" s="123"/>
      <c r="M4" s="127"/>
      <c r="N4" s="128"/>
      <c r="O4" s="123"/>
      <c r="P4" s="127"/>
      <c r="Q4" s="127"/>
      <c r="R4" s="123"/>
      <c r="S4" s="127"/>
      <c r="T4" s="127"/>
      <c r="U4" s="123"/>
      <c r="V4" s="127"/>
      <c r="W4" s="127"/>
      <c r="X4" s="123"/>
      <c r="Y4" s="127"/>
      <c r="Z4" s="127"/>
      <c r="AA4" s="132"/>
      <c r="AB4" s="132"/>
      <c r="AC4" s="132"/>
      <c r="AD4" s="123"/>
      <c r="AE4" s="127"/>
      <c r="AF4" s="128"/>
      <c r="AG4" s="123"/>
      <c r="AH4" s="127"/>
      <c r="AI4" s="128"/>
      <c r="AJ4" s="132"/>
      <c r="AK4" s="132"/>
      <c r="AL4" s="132"/>
      <c r="AM4" s="123"/>
      <c r="AN4" s="127"/>
      <c r="AO4" s="128"/>
      <c r="AP4" s="123"/>
      <c r="AQ4" s="127"/>
      <c r="AR4" s="128"/>
      <c r="AS4" s="127"/>
      <c r="AT4" s="127"/>
      <c r="AU4" s="127"/>
      <c r="AV4" s="123"/>
      <c r="AW4" s="127"/>
      <c r="AX4" s="127"/>
      <c r="AY4" s="123">
        <v>1355.1225899999999</v>
      </c>
      <c r="AZ4" s="127">
        <v>1902.9610500000001</v>
      </c>
      <c r="BA4" s="220">
        <v>2984.7340000000004</v>
      </c>
    </row>
    <row r="5" spans="1:53" x14ac:dyDescent="0.3">
      <c r="A5" s="24">
        <v>2017</v>
      </c>
      <c r="B5" s="123"/>
      <c r="C5" s="127"/>
      <c r="D5" s="127"/>
      <c r="E5" s="123"/>
      <c r="F5" s="127"/>
      <c r="G5" s="128"/>
      <c r="H5" s="132">
        <v>1458.48</v>
      </c>
      <c r="I5" s="127"/>
      <c r="J5" s="127"/>
      <c r="K5" s="128"/>
      <c r="L5" s="123"/>
      <c r="M5" s="127"/>
      <c r="N5" s="128"/>
      <c r="O5" s="123"/>
      <c r="P5" s="127"/>
      <c r="Q5" s="127"/>
      <c r="R5" s="123"/>
      <c r="S5" s="127"/>
      <c r="T5" s="127"/>
      <c r="U5" s="123"/>
      <c r="V5" s="127"/>
      <c r="W5" s="127"/>
      <c r="X5" s="123"/>
      <c r="Y5" s="127"/>
      <c r="Z5" s="127"/>
      <c r="AA5" s="132"/>
      <c r="AB5" s="132"/>
      <c r="AC5" s="132"/>
      <c r="AD5" s="123"/>
      <c r="AE5" s="127"/>
      <c r="AF5" s="128"/>
      <c r="AG5" s="123"/>
      <c r="AH5" s="127"/>
      <c r="AI5" s="128"/>
      <c r="AJ5" s="132"/>
      <c r="AK5" s="132"/>
      <c r="AL5" s="132"/>
      <c r="AM5" s="123"/>
      <c r="AN5" s="127"/>
      <c r="AO5" s="128"/>
      <c r="AP5" s="123"/>
      <c r="AQ5" s="127"/>
      <c r="AR5" s="128"/>
      <c r="AS5" s="127"/>
      <c r="AT5" s="127"/>
      <c r="AU5" s="127"/>
      <c r="AV5" s="123"/>
      <c r="AW5" s="127"/>
      <c r="AX5" s="127"/>
      <c r="AY5" s="123">
        <v>1339.0504699999999</v>
      </c>
      <c r="AZ5" s="127">
        <v>1904.7800299999999</v>
      </c>
      <c r="BA5" s="220">
        <v>3047.0592999999999</v>
      </c>
    </row>
    <row r="6" spans="1:53" x14ac:dyDescent="0.3">
      <c r="A6" s="24">
        <v>2018</v>
      </c>
      <c r="B6" s="123"/>
      <c r="C6" s="127"/>
      <c r="D6" s="127"/>
      <c r="E6" s="123"/>
      <c r="F6" s="127"/>
      <c r="G6" s="128"/>
      <c r="H6" s="132"/>
      <c r="I6" s="127"/>
      <c r="J6" s="127"/>
      <c r="K6" s="128"/>
      <c r="L6" s="123"/>
      <c r="M6" s="127"/>
      <c r="N6" s="128"/>
      <c r="O6" s="123"/>
      <c r="P6" s="127"/>
      <c r="Q6" s="127"/>
      <c r="R6" s="123"/>
      <c r="S6" s="127"/>
      <c r="T6" s="127"/>
      <c r="U6" s="123"/>
      <c r="V6" s="127"/>
      <c r="W6" s="127"/>
      <c r="X6" s="123"/>
      <c r="Y6" s="127"/>
      <c r="Z6" s="127"/>
      <c r="AA6" s="132"/>
      <c r="AB6" s="132"/>
      <c r="AC6" s="132"/>
      <c r="AD6" s="123"/>
      <c r="AE6" s="127"/>
      <c r="AF6" s="128"/>
      <c r="AG6" s="123"/>
      <c r="AH6" s="127"/>
      <c r="AI6" s="128"/>
      <c r="AJ6" s="132"/>
      <c r="AK6" s="132"/>
      <c r="AL6" s="132"/>
      <c r="AM6" s="123"/>
      <c r="AN6" s="127"/>
      <c r="AO6" s="128"/>
      <c r="AP6" s="123"/>
      <c r="AQ6" s="127"/>
      <c r="AR6" s="128"/>
      <c r="AS6" s="127"/>
      <c r="AT6" s="127"/>
      <c r="AU6" s="127"/>
      <c r="AV6" s="123"/>
      <c r="AW6" s="127"/>
      <c r="AX6" s="127"/>
      <c r="AY6" s="123">
        <v>1340.2638100000001</v>
      </c>
      <c r="AZ6" s="127">
        <v>1807.5016800000001</v>
      </c>
      <c r="BA6" s="220">
        <v>2759.6996000000004</v>
      </c>
    </row>
    <row r="7" spans="1:53" x14ac:dyDescent="0.3">
      <c r="A7" s="24">
        <v>2019</v>
      </c>
      <c r="B7" s="123"/>
      <c r="C7" s="127"/>
      <c r="D7" s="127"/>
      <c r="E7" s="123"/>
      <c r="F7" s="127"/>
      <c r="G7" s="128"/>
      <c r="H7" s="132"/>
      <c r="I7" s="127"/>
      <c r="J7" s="127"/>
      <c r="K7" s="128"/>
      <c r="L7" s="123"/>
      <c r="M7" s="127"/>
      <c r="N7" s="128"/>
      <c r="O7" s="123"/>
      <c r="P7" s="127"/>
      <c r="Q7" s="127"/>
      <c r="R7" s="123"/>
      <c r="S7" s="127"/>
      <c r="T7" s="127"/>
      <c r="U7" s="123"/>
      <c r="V7" s="127"/>
      <c r="W7" s="127"/>
      <c r="X7" s="123"/>
      <c r="Y7" s="127"/>
      <c r="Z7" s="127"/>
      <c r="AA7" s="132"/>
      <c r="AB7" s="132"/>
      <c r="AC7" s="132"/>
      <c r="AD7" s="123"/>
      <c r="AE7" s="127"/>
      <c r="AF7" s="128"/>
      <c r="AG7" s="123"/>
      <c r="AH7" s="127"/>
      <c r="AI7" s="128"/>
      <c r="AJ7" s="132"/>
      <c r="AK7" s="132"/>
      <c r="AL7" s="132"/>
      <c r="AM7" s="123"/>
      <c r="AN7" s="127"/>
      <c r="AO7" s="128"/>
      <c r="AP7" s="123"/>
      <c r="AQ7" s="127"/>
      <c r="AR7" s="128"/>
      <c r="AS7" s="127"/>
      <c r="AT7" s="127"/>
      <c r="AU7" s="127"/>
      <c r="AV7" s="123"/>
      <c r="AW7" s="127"/>
      <c r="AX7" s="127"/>
      <c r="AY7" s="123">
        <v>1278.0003100000001</v>
      </c>
      <c r="AZ7" s="127">
        <v>1712.2514000000001</v>
      </c>
      <c r="BA7" s="220">
        <v>2785.2642000000001</v>
      </c>
    </row>
    <row r="8" spans="1:53" x14ac:dyDescent="0.3">
      <c r="A8" s="24">
        <v>2020</v>
      </c>
      <c r="B8" s="123"/>
      <c r="C8" s="127"/>
      <c r="D8" s="127"/>
      <c r="E8" s="123">
        <v>1366.561976</v>
      </c>
      <c r="F8" s="127">
        <v>1366.561976</v>
      </c>
      <c r="G8" s="128">
        <v>1366.561976</v>
      </c>
      <c r="H8" s="132"/>
      <c r="I8" s="127"/>
      <c r="J8" s="127"/>
      <c r="K8" s="128"/>
      <c r="L8" s="123"/>
      <c r="M8" s="127"/>
      <c r="N8" s="128"/>
      <c r="O8" s="123"/>
      <c r="P8" s="127"/>
      <c r="Q8" s="127"/>
      <c r="R8" s="123">
        <v>1311.0971367135596</v>
      </c>
      <c r="S8" s="127">
        <v>1332.8616974159759</v>
      </c>
      <c r="T8" s="127">
        <v>1337.2146095564592</v>
      </c>
      <c r="U8" s="123">
        <v>94.436167444427184</v>
      </c>
      <c r="V8" s="127">
        <v>1193.9549831532001</v>
      </c>
      <c r="W8" s="127">
        <v>1413.0473651611651</v>
      </c>
      <c r="X8" s="123">
        <v>3445.3276063200005</v>
      </c>
      <c r="Y8" s="127">
        <v>4364.0816346720003</v>
      </c>
      <c r="Z8" s="127">
        <v>6890.6552126400011</v>
      </c>
      <c r="AA8" s="132">
        <v>1551.4581000000001</v>
      </c>
      <c r="AB8" s="132">
        <v>1551.4581000000001</v>
      </c>
      <c r="AC8" s="132">
        <v>3141.0554519999996</v>
      </c>
      <c r="AD8" s="123">
        <v>1308.615</v>
      </c>
      <c r="AE8" s="127">
        <v>1557.875</v>
      </c>
      <c r="AF8" s="128">
        <v>1807.135</v>
      </c>
      <c r="AG8" s="123">
        <v>1594.44</v>
      </c>
      <c r="AH8" s="127">
        <v>2072.7719999999999</v>
      </c>
      <c r="AI8" s="128">
        <v>2551.1040000000003</v>
      </c>
      <c r="AJ8" s="132"/>
      <c r="AK8" s="132">
        <v>1372.73</v>
      </c>
      <c r="AL8" s="132">
        <v>1593.3894</v>
      </c>
      <c r="AM8" s="123"/>
      <c r="AN8" s="127"/>
      <c r="AO8" s="128"/>
      <c r="AP8" s="123"/>
      <c r="AQ8" s="127"/>
      <c r="AR8" s="128"/>
      <c r="AS8" s="127">
        <v>1987.418784</v>
      </c>
      <c r="AT8" s="127">
        <v>1654.8433199999999</v>
      </c>
      <c r="AU8" s="127">
        <v>1323.724688</v>
      </c>
      <c r="AV8" s="123">
        <v>1119.1638864000001</v>
      </c>
      <c r="AW8" s="127">
        <v>1587.4920320000001</v>
      </c>
      <c r="AX8" s="127">
        <v>2221.1068320000004</v>
      </c>
      <c r="AY8" s="123">
        <v>1199.5534500000001</v>
      </c>
      <c r="AZ8" s="127">
        <v>1541.2384400000001</v>
      </c>
      <c r="BA8" s="220">
        <v>2594.4875999999999</v>
      </c>
    </row>
    <row r="9" spans="1:53" x14ac:dyDescent="0.3">
      <c r="A9" s="24">
        <v>2021</v>
      </c>
      <c r="B9" s="123">
        <v>1403.8900000000049</v>
      </c>
      <c r="C9" s="127">
        <v>1582.3890000000019</v>
      </c>
      <c r="D9" s="127">
        <v>2019.8300000000052</v>
      </c>
      <c r="E9" s="123"/>
      <c r="F9" s="127"/>
      <c r="G9" s="128"/>
      <c r="H9" s="132"/>
      <c r="I9" s="127"/>
      <c r="J9" s="127"/>
      <c r="K9" s="128"/>
      <c r="L9" s="123"/>
      <c r="M9" s="127"/>
      <c r="N9" s="128"/>
      <c r="O9" s="123"/>
      <c r="P9" s="127"/>
      <c r="Q9" s="127"/>
      <c r="R9" s="123"/>
      <c r="S9" s="127"/>
      <c r="T9" s="127"/>
      <c r="U9" s="123"/>
      <c r="V9" s="127"/>
      <c r="W9" s="127"/>
      <c r="X9" s="123"/>
      <c r="Y9" s="127"/>
      <c r="Z9" s="127"/>
      <c r="AA9" s="132"/>
      <c r="AB9" s="132"/>
      <c r="AC9" s="132"/>
      <c r="AD9" s="123"/>
      <c r="AE9" s="127"/>
      <c r="AF9" s="128"/>
      <c r="AG9" s="123"/>
      <c r="AH9" s="127"/>
      <c r="AI9" s="128"/>
      <c r="AJ9" s="132"/>
      <c r="AK9" s="132">
        <v>1372.73</v>
      </c>
      <c r="AL9" s="132"/>
      <c r="AM9" s="123"/>
      <c r="AN9" s="127"/>
      <c r="AO9" s="128"/>
      <c r="AP9" s="123"/>
      <c r="AQ9" s="127"/>
      <c r="AR9" s="128"/>
      <c r="AS9" s="127">
        <v>1921.775648</v>
      </c>
      <c r="AT9" s="127">
        <v>1602.3330960000001</v>
      </c>
      <c r="AU9" s="127">
        <v>1279.9661680000004</v>
      </c>
      <c r="AV9" s="123"/>
      <c r="AW9" s="127"/>
      <c r="AX9" s="127"/>
      <c r="AY9" s="123">
        <v>984.44927999999993</v>
      </c>
      <c r="AZ9" s="127">
        <v>1460.7274600000001</v>
      </c>
      <c r="BA9" s="193">
        <v>2359.8845000000001</v>
      </c>
    </row>
    <row r="10" spans="1:53" x14ac:dyDescent="0.3">
      <c r="A10" s="24">
        <v>2022</v>
      </c>
      <c r="B10" s="217">
        <v>1579.3162164681653</v>
      </c>
      <c r="C10" s="218">
        <v>1787.9543315857331</v>
      </c>
      <c r="D10" s="218">
        <v>2300.3235566541375</v>
      </c>
      <c r="E10" s="123"/>
      <c r="F10" s="127"/>
      <c r="G10" s="128"/>
      <c r="H10" s="132"/>
      <c r="I10" s="127">
        <v>1153.6000000000001</v>
      </c>
      <c r="J10" s="127">
        <v>1153.6000000000001</v>
      </c>
      <c r="K10" s="128">
        <v>1153.6000000000001</v>
      </c>
      <c r="L10" s="123">
        <v>1133</v>
      </c>
      <c r="M10" s="127">
        <v>1133</v>
      </c>
      <c r="N10" s="128">
        <v>1133</v>
      </c>
      <c r="O10" s="123">
        <v>1802.5</v>
      </c>
      <c r="P10" s="127">
        <v>1802.5</v>
      </c>
      <c r="Q10" s="127">
        <v>1802.5</v>
      </c>
      <c r="R10" s="123"/>
      <c r="S10" s="127"/>
      <c r="T10" s="127"/>
      <c r="U10" s="123"/>
      <c r="V10" s="127"/>
      <c r="W10" s="127"/>
      <c r="X10" s="123"/>
      <c r="Y10" s="127"/>
      <c r="Z10" s="127"/>
      <c r="AA10" s="132"/>
      <c r="AB10" s="132"/>
      <c r="AC10" s="132"/>
      <c r="AD10" s="123"/>
      <c r="AE10" s="127"/>
      <c r="AF10" s="128"/>
      <c r="AG10" s="123"/>
      <c r="AH10" s="127"/>
      <c r="AI10" s="128"/>
      <c r="AJ10" s="132"/>
      <c r="AK10" s="132">
        <v>1324.57</v>
      </c>
      <c r="AL10" s="132"/>
      <c r="AM10" s="123"/>
      <c r="AN10" s="127"/>
      <c r="AO10" s="128"/>
      <c r="AP10" s="123"/>
      <c r="AQ10" s="127"/>
      <c r="AR10" s="128"/>
      <c r="AS10" s="127">
        <v>1859.0568880000003</v>
      </c>
      <c r="AT10" s="127">
        <v>1546.909208</v>
      </c>
      <c r="AU10" s="127">
        <v>1237.6644800000001</v>
      </c>
      <c r="AV10" s="123"/>
      <c r="AW10" s="127"/>
      <c r="AX10" s="127"/>
      <c r="AY10" s="123">
        <v>825.35651000000007</v>
      </c>
      <c r="AZ10" s="127">
        <v>1312.4105500000001</v>
      </c>
      <c r="BA10" s="193">
        <v>2066.2212</v>
      </c>
    </row>
    <row r="11" spans="1:53" x14ac:dyDescent="0.3">
      <c r="A11" s="24">
        <v>2023</v>
      </c>
      <c r="B11" s="217">
        <v>1477.0215880260607</v>
      </c>
      <c r="C11" s="218">
        <v>1679.806473468358</v>
      </c>
      <c r="D11" s="218">
        <v>2178.8059779470518</v>
      </c>
      <c r="E11" s="123"/>
      <c r="F11" s="127"/>
      <c r="G11" s="128"/>
      <c r="H11" s="132"/>
      <c r="I11" s="127"/>
      <c r="J11" s="127"/>
      <c r="K11" s="128"/>
      <c r="L11" s="123"/>
      <c r="M11" s="127"/>
      <c r="N11" s="128"/>
      <c r="O11" s="123"/>
      <c r="P11" s="127"/>
      <c r="Q11" s="127"/>
      <c r="R11" s="123"/>
      <c r="S11" s="127"/>
      <c r="T11" s="127"/>
      <c r="U11" s="123"/>
      <c r="V11" s="127"/>
      <c r="W11" s="127"/>
      <c r="X11" s="123"/>
      <c r="Y11" s="127"/>
      <c r="Z11" s="127"/>
      <c r="AA11" s="132"/>
      <c r="AB11" s="132"/>
      <c r="AC11" s="132"/>
      <c r="AD11" s="123"/>
      <c r="AE11" s="127"/>
      <c r="AF11" s="128"/>
      <c r="AG11" s="123"/>
      <c r="AH11" s="127"/>
      <c r="AI11" s="128"/>
      <c r="AJ11" s="132"/>
      <c r="AK11" s="132">
        <v>1276.4000000000001</v>
      </c>
      <c r="AL11" s="132"/>
      <c r="AM11" s="123"/>
      <c r="AN11" s="127"/>
      <c r="AO11" s="128"/>
      <c r="AP11" s="123"/>
      <c r="AQ11" s="127"/>
      <c r="AR11" s="128"/>
      <c r="AS11" s="127">
        <v>1796.3381280000001</v>
      </c>
      <c r="AT11" s="127">
        <v>1494.3882719999999</v>
      </c>
      <c r="AU11" s="127">
        <v>1192.4491280000002</v>
      </c>
      <c r="AV11" s="123"/>
      <c r="AW11" s="127"/>
      <c r="AX11" s="127"/>
      <c r="AY11" s="123">
        <v>800.57689875000005</v>
      </c>
      <c r="AZ11" s="127">
        <v>1195.2113196152438</v>
      </c>
      <c r="BA11" s="128">
        <v>2178.2304321322372</v>
      </c>
    </row>
    <row r="12" spans="1:53" x14ac:dyDescent="0.3">
      <c r="A12" s="24">
        <v>2024</v>
      </c>
      <c r="B12" s="123">
        <v>1312.1753473082608</v>
      </c>
      <c r="C12" s="127">
        <v>1499.4506910932114</v>
      </c>
      <c r="D12" s="127">
        <v>1961.1840608368807</v>
      </c>
      <c r="E12" s="123"/>
      <c r="F12" s="127"/>
      <c r="G12" s="128"/>
      <c r="H12" s="132"/>
      <c r="I12" s="127"/>
      <c r="J12" s="127"/>
      <c r="K12" s="128"/>
      <c r="L12" s="123"/>
      <c r="M12" s="127"/>
      <c r="N12" s="128"/>
      <c r="O12" s="123"/>
      <c r="P12" s="127"/>
      <c r="Q12" s="127"/>
      <c r="R12" s="123"/>
      <c r="S12" s="127"/>
      <c r="T12" s="127"/>
      <c r="U12" s="123"/>
      <c r="V12" s="127"/>
      <c r="W12" s="127"/>
      <c r="X12" s="123"/>
      <c r="Y12" s="127"/>
      <c r="Z12" s="127"/>
      <c r="AA12" s="132"/>
      <c r="AB12" s="132"/>
      <c r="AC12" s="132"/>
      <c r="AD12" s="123"/>
      <c r="AE12" s="127"/>
      <c r="AF12" s="128"/>
      <c r="AG12" s="123"/>
      <c r="AH12" s="127"/>
      <c r="AI12" s="128"/>
      <c r="AJ12" s="132"/>
      <c r="AK12" s="132">
        <v>1228.24</v>
      </c>
      <c r="AL12" s="132"/>
      <c r="AM12" s="123"/>
      <c r="AN12" s="127"/>
      <c r="AO12" s="128"/>
      <c r="AP12" s="123"/>
      <c r="AQ12" s="127"/>
      <c r="AR12" s="128"/>
      <c r="AS12" s="127">
        <v>1732.151824</v>
      </c>
      <c r="AT12" s="127">
        <v>1440.4212160000002</v>
      </c>
      <c r="AU12" s="127">
        <v>1153.0718160000001</v>
      </c>
      <c r="AV12" s="123"/>
      <c r="AW12" s="127"/>
      <c r="AX12" s="127"/>
      <c r="AY12" s="123"/>
      <c r="AZ12" s="127"/>
      <c r="BA12" s="128"/>
    </row>
    <row r="13" spans="1:53" x14ac:dyDescent="0.3">
      <c r="A13" s="24">
        <v>2025</v>
      </c>
      <c r="B13" s="123">
        <v>1281.6037964110203</v>
      </c>
      <c r="C13" s="127">
        <v>1471.8045881242826</v>
      </c>
      <c r="D13" s="127">
        <v>1941.6354144491797</v>
      </c>
      <c r="E13" s="123"/>
      <c r="F13" s="127"/>
      <c r="G13" s="128"/>
      <c r="H13" s="132">
        <v>1458.48</v>
      </c>
      <c r="I13" s="127"/>
      <c r="J13" s="127"/>
      <c r="K13" s="128"/>
      <c r="L13" s="123"/>
      <c r="M13" s="127"/>
      <c r="N13" s="128"/>
      <c r="O13" s="123"/>
      <c r="P13" s="127"/>
      <c r="Q13" s="127"/>
      <c r="R13" s="123">
        <v>795.71627856734642</v>
      </c>
      <c r="S13" s="127">
        <v>976.70682001033651</v>
      </c>
      <c r="T13" s="127">
        <v>1015.0321432816138</v>
      </c>
      <c r="U13" s="123"/>
      <c r="V13" s="127">
        <v>1279.4025487895999</v>
      </c>
      <c r="W13" s="127"/>
      <c r="X13" s="123"/>
      <c r="Y13" s="127"/>
      <c r="Z13" s="127"/>
      <c r="AA13" s="132">
        <v>1430.0396400000002</v>
      </c>
      <c r="AB13" s="132">
        <v>1430.0396400000002</v>
      </c>
      <c r="AC13" s="132">
        <v>2427.4941119999994</v>
      </c>
      <c r="AD13" s="123"/>
      <c r="AE13" s="127"/>
      <c r="AF13" s="128"/>
      <c r="AG13" s="123">
        <v>1581.1530000000002</v>
      </c>
      <c r="AH13" s="127">
        <v>2026.2675000000002</v>
      </c>
      <c r="AI13" s="128">
        <v>2471.3820000000001</v>
      </c>
      <c r="AJ13" s="132"/>
      <c r="AK13" s="132">
        <v>1180.07</v>
      </c>
      <c r="AL13" s="132">
        <v>1468.6893599999999</v>
      </c>
      <c r="AM13" s="123"/>
      <c r="AN13" s="127"/>
      <c r="AO13" s="128"/>
      <c r="AP13" s="123"/>
      <c r="AQ13" s="127"/>
      <c r="AR13" s="128"/>
      <c r="AS13" s="127">
        <v>1665.0518560000003</v>
      </c>
      <c r="AT13" s="127">
        <v>1387.9109920000003</v>
      </c>
      <c r="AU13" s="127">
        <v>1109.302584</v>
      </c>
      <c r="AV13" s="123">
        <v>1081.2842768000003</v>
      </c>
      <c r="AW13" s="127">
        <v>1497.9611360000001</v>
      </c>
      <c r="AX13" s="127">
        <v>2114.3642239999999</v>
      </c>
      <c r="AY13" s="123"/>
      <c r="AZ13" s="127"/>
      <c r="BA13" s="128"/>
    </row>
    <row r="14" spans="1:53" x14ac:dyDescent="0.3">
      <c r="A14" s="24">
        <v>2026</v>
      </c>
      <c r="B14" s="123">
        <v>1251.0322455137687</v>
      </c>
      <c r="C14" s="127">
        <v>1444.1584851553534</v>
      </c>
      <c r="D14" s="127">
        <v>1922.0867680614676</v>
      </c>
      <c r="E14" s="123"/>
      <c r="F14" s="127"/>
      <c r="G14" s="128"/>
      <c r="H14" s="132"/>
      <c r="I14" s="127"/>
      <c r="J14" s="127"/>
      <c r="K14" s="128"/>
      <c r="L14" s="123"/>
      <c r="M14" s="127"/>
      <c r="N14" s="128"/>
      <c r="O14" s="123"/>
      <c r="P14" s="127"/>
      <c r="Q14" s="127"/>
      <c r="R14" s="123"/>
      <c r="S14" s="127"/>
      <c r="T14" s="127"/>
      <c r="U14" s="123"/>
      <c r="V14" s="127"/>
      <c r="W14" s="127"/>
      <c r="X14" s="123"/>
      <c r="Y14" s="127"/>
      <c r="Z14" s="127"/>
      <c r="AA14" s="132"/>
      <c r="AB14" s="132"/>
      <c r="AC14" s="132"/>
      <c r="AD14" s="123"/>
      <c r="AE14" s="127"/>
      <c r="AF14" s="128"/>
      <c r="AG14" s="123"/>
      <c r="AH14" s="127"/>
      <c r="AI14" s="128"/>
      <c r="AJ14" s="132"/>
      <c r="AK14" s="132">
        <v>1131.9000000000001</v>
      </c>
      <c r="AL14" s="132"/>
      <c r="AM14" s="123"/>
      <c r="AN14" s="127"/>
      <c r="AO14" s="128"/>
      <c r="AP14" s="123"/>
      <c r="AQ14" s="127"/>
      <c r="AR14" s="128"/>
      <c r="AS14" s="127">
        <v>1602.3330960000001</v>
      </c>
      <c r="AT14" s="127">
        <v>1335.4007680000002</v>
      </c>
      <c r="AU14" s="127">
        <v>1065.5472775999999</v>
      </c>
      <c r="AV14" s="123"/>
      <c r="AW14" s="127"/>
      <c r="AX14" s="127"/>
      <c r="AY14" s="123"/>
      <c r="AZ14" s="127"/>
      <c r="BA14" s="128"/>
    </row>
    <row r="15" spans="1:53" x14ac:dyDescent="0.3">
      <c r="A15" s="24">
        <v>2027</v>
      </c>
      <c r="B15" s="123">
        <v>1220.4606946165279</v>
      </c>
      <c r="C15" s="127">
        <v>1416.5123821864236</v>
      </c>
      <c r="D15" s="127">
        <v>1902.5381216737667</v>
      </c>
      <c r="E15" s="123"/>
      <c r="F15" s="127"/>
      <c r="G15" s="128"/>
      <c r="H15" s="132"/>
      <c r="I15" s="127"/>
      <c r="J15" s="127"/>
      <c r="K15" s="128"/>
      <c r="L15" s="123"/>
      <c r="M15" s="127"/>
      <c r="N15" s="128"/>
      <c r="O15" s="123"/>
      <c r="P15" s="127"/>
      <c r="Q15" s="127"/>
      <c r="R15" s="123"/>
      <c r="S15" s="127"/>
      <c r="T15" s="127"/>
      <c r="U15" s="123"/>
      <c r="V15" s="127"/>
      <c r="W15" s="127"/>
      <c r="X15" s="123"/>
      <c r="Y15" s="127"/>
      <c r="Z15" s="127"/>
      <c r="AA15" s="132"/>
      <c r="AB15" s="132"/>
      <c r="AC15" s="132"/>
      <c r="AD15" s="123"/>
      <c r="AE15" s="127"/>
      <c r="AF15" s="128"/>
      <c r="AG15" s="123"/>
      <c r="AH15" s="127"/>
      <c r="AI15" s="128"/>
      <c r="AJ15" s="132"/>
      <c r="AK15" s="132">
        <v>1083.74</v>
      </c>
      <c r="AL15" s="132"/>
      <c r="AM15" s="123"/>
      <c r="AN15" s="127"/>
      <c r="AO15" s="128"/>
      <c r="AP15" s="123"/>
      <c r="AQ15" s="127"/>
      <c r="AR15" s="128"/>
      <c r="AS15" s="127">
        <v>1535.2331280000001</v>
      </c>
      <c r="AT15" s="127">
        <v>1277.052504</v>
      </c>
      <c r="AU15" s="127">
        <v>1021.7876864</v>
      </c>
      <c r="AV15" s="123"/>
      <c r="AW15" s="127"/>
      <c r="AX15" s="127"/>
      <c r="AY15" s="123"/>
      <c r="AZ15" s="127"/>
      <c r="BA15" s="128"/>
    </row>
    <row r="16" spans="1:53" x14ac:dyDescent="0.3">
      <c r="A16" s="24">
        <v>2028</v>
      </c>
      <c r="B16" s="123">
        <v>1189.8891437192763</v>
      </c>
      <c r="C16" s="127">
        <v>1388.8662792174946</v>
      </c>
      <c r="D16" s="127">
        <v>1882.9894752860546</v>
      </c>
      <c r="E16" s="123"/>
      <c r="F16" s="127"/>
      <c r="G16" s="128"/>
      <c r="H16" s="132"/>
      <c r="I16" s="127"/>
      <c r="J16" s="127"/>
      <c r="K16" s="128"/>
      <c r="L16" s="123"/>
      <c r="M16" s="127"/>
      <c r="N16" s="128"/>
      <c r="O16" s="123"/>
      <c r="P16" s="127"/>
      <c r="Q16" s="127"/>
      <c r="R16" s="123"/>
      <c r="S16" s="127"/>
      <c r="T16" s="127"/>
      <c r="U16" s="123"/>
      <c r="V16" s="127"/>
      <c r="W16" s="127"/>
      <c r="X16" s="123"/>
      <c r="Y16" s="127"/>
      <c r="Z16" s="127"/>
      <c r="AA16" s="132"/>
      <c r="AB16" s="132"/>
      <c r="AC16" s="132"/>
      <c r="AD16" s="123"/>
      <c r="AE16" s="127"/>
      <c r="AF16" s="128"/>
      <c r="AG16" s="123"/>
      <c r="AH16" s="127"/>
      <c r="AI16" s="128"/>
      <c r="AJ16" s="132"/>
      <c r="AK16" s="132">
        <v>1035.57</v>
      </c>
      <c r="AL16" s="132"/>
      <c r="AM16" s="123"/>
      <c r="AN16" s="127"/>
      <c r="AO16" s="128"/>
      <c r="AP16" s="123"/>
      <c r="AQ16" s="127"/>
      <c r="AR16" s="128"/>
      <c r="AS16" s="127">
        <v>1473.9712</v>
      </c>
      <c r="AT16" s="127">
        <v>1224.5422800000003</v>
      </c>
      <c r="AU16" s="127">
        <v>980.94604400000003</v>
      </c>
      <c r="AV16" s="123"/>
      <c r="AW16" s="127"/>
      <c r="AX16" s="127"/>
      <c r="AY16" s="123"/>
      <c r="AZ16" s="127"/>
      <c r="BA16" s="128"/>
    </row>
    <row r="17" spans="1:53" x14ac:dyDescent="0.3">
      <c r="A17" s="24">
        <v>2029</v>
      </c>
      <c r="B17" s="123">
        <v>1159.3175928220357</v>
      </c>
      <c r="C17" s="127">
        <v>1361.2201762485645</v>
      </c>
      <c r="D17" s="127">
        <v>1863.4408288983539</v>
      </c>
      <c r="E17" s="123"/>
      <c r="F17" s="127"/>
      <c r="G17" s="128"/>
      <c r="H17" s="132"/>
      <c r="I17" s="127"/>
      <c r="J17" s="127"/>
      <c r="K17" s="128"/>
      <c r="L17" s="123"/>
      <c r="M17" s="127"/>
      <c r="N17" s="128"/>
      <c r="O17" s="123"/>
      <c r="P17" s="127"/>
      <c r="Q17" s="127"/>
      <c r="R17" s="123"/>
      <c r="S17" s="127"/>
      <c r="T17" s="127"/>
      <c r="U17" s="123"/>
      <c r="V17" s="127"/>
      <c r="W17" s="127"/>
      <c r="X17" s="123"/>
      <c r="Y17" s="127"/>
      <c r="Z17" s="127"/>
      <c r="AA17" s="132"/>
      <c r="AB17" s="132"/>
      <c r="AC17" s="132"/>
      <c r="AD17" s="123"/>
      <c r="AE17" s="127"/>
      <c r="AF17" s="128"/>
      <c r="AG17" s="123"/>
      <c r="AH17" s="127"/>
      <c r="AI17" s="128"/>
      <c r="AJ17" s="132"/>
      <c r="AK17" s="132">
        <v>1011.49</v>
      </c>
      <c r="AL17" s="132"/>
      <c r="AM17" s="123"/>
      <c r="AN17" s="127"/>
      <c r="AO17" s="128"/>
      <c r="AP17" s="123"/>
      <c r="AQ17" s="127"/>
      <c r="AR17" s="128"/>
      <c r="AS17" s="127">
        <v>1406.871232</v>
      </c>
      <c r="AT17" s="127">
        <v>1172.0320560000002</v>
      </c>
      <c r="AU17" s="127">
        <v>937.1864528000001</v>
      </c>
      <c r="AV17" s="123"/>
      <c r="AW17" s="127"/>
      <c r="AX17" s="127"/>
      <c r="AY17" s="123"/>
      <c r="AZ17" s="127"/>
      <c r="BA17" s="128"/>
    </row>
    <row r="18" spans="1:53" x14ac:dyDescent="0.3">
      <c r="A18" s="24">
        <v>2030</v>
      </c>
      <c r="B18" s="123">
        <v>1128.7460419247839</v>
      </c>
      <c r="C18" s="127">
        <v>1333.5740732796346</v>
      </c>
      <c r="D18" s="127">
        <v>1843.8921825106422</v>
      </c>
      <c r="E18" s="123">
        <v>965.20261760000005</v>
      </c>
      <c r="F18" s="221">
        <v>1176.0919040000001</v>
      </c>
      <c r="G18" s="128">
        <v>1249.083472</v>
      </c>
      <c r="H18" s="132"/>
      <c r="I18" s="127">
        <v>1071.2</v>
      </c>
      <c r="J18" s="127">
        <v>1081.5</v>
      </c>
      <c r="K18" s="128">
        <v>1091.8</v>
      </c>
      <c r="L18" s="123">
        <v>1060.9000000000001</v>
      </c>
      <c r="M18" s="127">
        <v>1060.9000000000001</v>
      </c>
      <c r="N18" s="128">
        <v>1071.2</v>
      </c>
      <c r="O18" s="123">
        <v>1689.2</v>
      </c>
      <c r="P18" s="127">
        <v>1699.5</v>
      </c>
      <c r="Q18" s="127">
        <v>1720.1000000000001</v>
      </c>
      <c r="R18" s="123">
        <v>376.12312323379405</v>
      </c>
      <c r="S18" s="127">
        <v>648.35739992922186</v>
      </c>
      <c r="T18" s="127">
        <v>712.81398354791577</v>
      </c>
      <c r="U18" s="123"/>
      <c r="V18" s="127">
        <v>1238.3764916328003</v>
      </c>
      <c r="W18" s="127"/>
      <c r="X18" s="123"/>
      <c r="Y18" s="127">
        <v>4145.8775529384011</v>
      </c>
      <c r="Z18" s="127"/>
      <c r="AA18" s="132">
        <v>1349.0940000000001</v>
      </c>
      <c r="AB18" s="132">
        <v>1349.0940000000001</v>
      </c>
      <c r="AC18" s="132">
        <v>1715.3183279999998</v>
      </c>
      <c r="AD18" s="123"/>
      <c r="AE18" s="127"/>
      <c r="AF18" s="128"/>
      <c r="AG18" s="123">
        <v>1567.866</v>
      </c>
      <c r="AH18" s="127">
        <v>1979.7630000000001</v>
      </c>
      <c r="AI18" s="128">
        <v>2391.66</v>
      </c>
      <c r="AJ18" s="132">
        <v>1522.1944280399998</v>
      </c>
      <c r="AK18" s="132">
        <v>963.322</v>
      </c>
      <c r="AL18" s="132">
        <v>1385.5559999999998</v>
      </c>
      <c r="AM18" s="123">
        <v>995.55680000000007</v>
      </c>
      <c r="AN18" s="127">
        <v>1328.9472000000003</v>
      </c>
      <c r="AO18" s="128">
        <v>1662.3376000000001</v>
      </c>
      <c r="AP18" s="123">
        <v>899.80800000000022</v>
      </c>
      <c r="AQ18" s="127">
        <v>1200.3208000000002</v>
      </c>
      <c r="AR18" s="128">
        <v>1500.8336000000002</v>
      </c>
      <c r="AS18" s="127">
        <v>1342.6956400000001</v>
      </c>
      <c r="AT18" s="127">
        <v>1119.5218319999999</v>
      </c>
      <c r="AU18" s="127">
        <v>897.80271360000006</v>
      </c>
      <c r="AV18" s="123">
        <v>1026.1871872000002</v>
      </c>
      <c r="AW18" s="127">
        <v>1394.6562560000002</v>
      </c>
      <c r="AX18" s="127">
        <v>1990.3868320000001</v>
      </c>
      <c r="AY18" s="123"/>
      <c r="AZ18" s="127"/>
      <c r="BA18" s="128"/>
    </row>
    <row r="19" spans="1:53" x14ac:dyDescent="0.3">
      <c r="A19" s="24">
        <v>2031</v>
      </c>
      <c r="B19" s="123">
        <v>1116.0618392327042</v>
      </c>
      <c r="C19" s="127">
        <v>1321.2140090487719</v>
      </c>
      <c r="D19" s="127">
        <v>1831.9847792187575</v>
      </c>
      <c r="E19" s="123"/>
      <c r="F19" s="127"/>
      <c r="G19" s="128"/>
      <c r="H19" s="132"/>
      <c r="I19" s="127"/>
      <c r="J19" s="127"/>
      <c r="K19" s="128"/>
      <c r="L19" s="123"/>
      <c r="M19" s="127"/>
      <c r="N19" s="128"/>
      <c r="O19" s="123"/>
      <c r="P19" s="127"/>
      <c r="Q19" s="127"/>
      <c r="R19" s="123"/>
      <c r="S19" s="127"/>
      <c r="T19" s="127"/>
      <c r="U19" s="123"/>
      <c r="V19" s="127"/>
      <c r="W19" s="127"/>
      <c r="X19" s="123"/>
      <c r="Y19" s="127"/>
      <c r="Z19" s="127"/>
      <c r="AA19" s="132"/>
      <c r="AB19" s="132"/>
      <c r="AC19" s="132"/>
      <c r="AD19" s="123"/>
      <c r="AE19" s="127"/>
      <c r="AF19" s="128"/>
      <c r="AG19" s="123"/>
      <c r="AH19" s="127"/>
      <c r="AI19" s="128"/>
      <c r="AJ19" s="132"/>
      <c r="AK19" s="132">
        <v>939.23900000000003</v>
      </c>
      <c r="AL19" s="132"/>
      <c r="AM19" s="123"/>
      <c r="AN19" s="127"/>
      <c r="AO19" s="128"/>
      <c r="AP19" s="123"/>
      <c r="AQ19" s="127"/>
      <c r="AR19" s="128"/>
      <c r="AS19" s="127"/>
      <c r="AT19" s="127"/>
      <c r="AU19" s="127"/>
      <c r="AV19" s="123"/>
      <c r="AW19" s="127"/>
      <c r="AX19" s="127"/>
      <c r="AY19" s="123"/>
      <c r="AZ19" s="127"/>
      <c r="BA19" s="128"/>
    </row>
    <row r="20" spans="1:53" x14ac:dyDescent="0.3">
      <c r="A20" s="24">
        <v>2032</v>
      </c>
      <c r="B20" s="123">
        <v>1103.3776365406131</v>
      </c>
      <c r="C20" s="127">
        <v>1308.8539448179047</v>
      </c>
      <c r="D20" s="127">
        <v>1820.0773759268841</v>
      </c>
      <c r="E20" s="123"/>
      <c r="F20" s="127"/>
      <c r="G20" s="128"/>
      <c r="H20" s="132"/>
      <c r="I20" s="127"/>
      <c r="J20" s="127"/>
      <c r="K20" s="128"/>
      <c r="L20" s="123"/>
      <c r="M20" s="127"/>
      <c r="N20" s="128"/>
      <c r="O20" s="123"/>
      <c r="P20" s="127"/>
      <c r="Q20" s="127"/>
      <c r="R20" s="123"/>
      <c r="S20" s="127"/>
      <c r="T20" s="127"/>
      <c r="U20" s="123"/>
      <c r="V20" s="127"/>
      <c r="W20" s="127"/>
      <c r="X20" s="123"/>
      <c r="Y20" s="127"/>
      <c r="Z20" s="127"/>
      <c r="AA20" s="132"/>
      <c r="AB20" s="132"/>
      <c r="AC20" s="132"/>
      <c r="AD20" s="123"/>
      <c r="AE20" s="127"/>
      <c r="AF20" s="128"/>
      <c r="AG20" s="123"/>
      <c r="AH20" s="127"/>
      <c r="AI20" s="128"/>
      <c r="AJ20" s="132"/>
      <c r="AK20" s="132">
        <v>915.15599999999995</v>
      </c>
      <c r="AL20" s="132"/>
      <c r="AM20" s="123"/>
      <c r="AN20" s="127"/>
      <c r="AO20" s="128"/>
      <c r="AP20" s="123"/>
      <c r="AQ20" s="127"/>
      <c r="AR20" s="128"/>
      <c r="AS20" s="127"/>
      <c r="AT20" s="127"/>
      <c r="AU20" s="127"/>
      <c r="AV20" s="123"/>
      <c r="AW20" s="127"/>
      <c r="AX20" s="127"/>
      <c r="AY20" s="123"/>
      <c r="AZ20" s="127"/>
      <c r="BA20" s="128"/>
    </row>
    <row r="21" spans="1:53" x14ac:dyDescent="0.3">
      <c r="A21" s="24">
        <v>2033</v>
      </c>
      <c r="B21" s="123">
        <v>1090.6934338485323</v>
      </c>
      <c r="C21" s="127">
        <v>1296.4938805870422</v>
      </c>
      <c r="D21" s="127">
        <v>1808.1699726349996</v>
      </c>
      <c r="E21" s="123"/>
      <c r="F21" s="127"/>
      <c r="G21" s="128"/>
      <c r="H21" s="132"/>
      <c r="I21" s="127"/>
      <c r="J21" s="127"/>
      <c r="K21" s="128"/>
      <c r="L21" s="123"/>
      <c r="M21" s="127"/>
      <c r="N21" s="128"/>
      <c r="O21" s="123"/>
      <c r="P21" s="127"/>
      <c r="Q21" s="127"/>
      <c r="R21" s="123"/>
      <c r="S21" s="127"/>
      <c r="T21" s="127"/>
      <c r="U21" s="123"/>
      <c r="V21" s="127"/>
      <c r="W21" s="127"/>
      <c r="X21" s="123"/>
      <c r="Y21" s="127"/>
      <c r="Z21" s="127"/>
      <c r="AA21" s="132"/>
      <c r="AB21" s="132"/>
      <c r="AC21" s="132"/>
      <c r="AD21" s="123"/>
      <c r="AE21" s="127"/>
      <c r="AF21" s="128"/>
      <c r="AG21" s="123"/>
      <c r="AH21" s="127"/>
      <c r="AI21" s="128"/>
      <c r="AJ21" s="132"/>
      <c r="AK21" s="132">
        <v>891.07299999999998</v>
      </c>
      <c r="AL21" s="132"/>
      <c r="AM21" s="123"/>
      <c r="AN21" s="127"/>
      <c r="AO21" s="128"/>
      <c r="AP21" s="123"/>
      <c r="AQ21" s="127"/>
      <c r="AR21" s="128"/>
      <c r="AS21" s="127"/>
      <c r="AT21" s="127"/>
      <c r="AU21" s="127"/>
      <c r="AV21" s="123"/>
      <c r="AW21" s="127"/>
      <c r="AX21" s="127"/>
      <c r="AY21" s="123"/>
      <c r="AZ21" s="127"/>
      <c r="BA21" s="128"/>
    </row>
    <row r="22" spans="1:53" x14ac:dyDescent="0.3">
      <c r="A22" s="24">
        <v>2034</v>
      </c>
      <c r="B22" s="123">
        <v>1078.0092311564449</v>
      </c>
      <c r="C22" s="127">
        <v>1284.1338163561775</v>
      </c>
      <c r="D22" s="127">
        <v>1796.262569343115</v>
      </c>
      <c r="E22" s="123"/>
      <c r="F22" s="127"/>
      <c r="G22" s="128"/>
      <c r="H22" s="132"/>
      <c r="I22" s="127"/>
      <c r="J22" s="127"/>
      <c r="K22" s="128"/>
      <c r="L22" s="123"/>
      <c r="M22" s="127"/>
      <c r="N22" s="128"/>
      <c r="O22" s="123"/>
      <c r="P22" s="127"/>
      <c r="Q22" s="127"/>
      <c r="R22" s="123"/>
      <c r="S22" s="127"/>
      <c r="T22" s="127"/>
      <c r="U22" s="123"/>
      <c r="V22" s="127"/>
      <c r="W22" s="127"/>
      <c r="X22" s="123"/>
      <c r="Y22" s="127"/>
      <c r="Z22" s="127"/>
      <c r="AA22" s="132"/>
      <c r="AB22" s="132"/>
      <c r="AC22" s="132"/>
      <c r="AD22" s="123"/>
      <c r="AE22" s="127"/>
      <c r="AF22" s="128"/>
      <c r="AG22" s="123"/>
      <c r="AH22" s="127"/>
      <c r="AI22" s="128"/>
      <c r="AJ22" s="132"/>
      <c r="AK22" s="132">
        <v>866.99</v>
      </c>
      <c r="AL22" s="132"/>
      <c r="AM22" s="123"/>
      <c r="AN22" s="127"/>
      <c r="AO22" s="128"/>
      <c r="AP22" s="123"/>
      <c r="AQ22" s="127"/>
      <c r="AR22" s="128"/>
      <c r="AS22" s="127"/>
      <c r="AT22" s="127"/>
      <c r="AU22" s="127"/>
      <c r="AV22" s="123"/>
      <c r="AW22" s="127"/>
      <c r="AX22" s="127"/>
      <c r="AY22" s="123"/>
      <c r="AZ22" s="127"/>
      <c r="BA22" s="128"/>
    </row>
    <row r="23" spans="1:53" x14ac:dyDescent="0.3">
      <c r="A23" s="24">
        <v>2035</v>
      </c>
      <c r="B23" s="123">
        <v>1065.3250284643584</v>
      </c>
      <c r="C23" s="127">
        <v>1271.7737521253136</v>
      </c>
      <c r="D23" s="127">
        <v>1784.3551660512305</v>
      </c>
      <c r="E23" s="123"/>
      <c r="F23" s="127"/>
      <c r="G23" s="128"/>
      <c r="H23" s="132">
        <v>1154.6300000000001</v>
      </c>
      <c r="I23" s="127"/>
      <c r="J23" s="127"/>
      <c r="K23" s="128"/>
      <c r="L23" s="123"/>
      <c r="M23" s="127"/>
      <c r="N23" s="128"/>
      <c r="O23" s="123"/>
      <c r="P23" s="127"/>
      <c r="Q23" s="127"/>
      <c r="R23" s="123">
        <v>305.69482672101452</v>
      </c>
      <c r="S23" s="127">
        <v>565.100076668469</v>
      </c>
      <c r="T23" s="127">
        <v>654.85722348740956</v>
      </c>
      <c r="U23" s="123"/>
      <c r="V23" s="127"/>
      <c r="W23" s="127"/>
      <c r="X23" s="123"/>
      <c r="Y23" s="127"/>
      <c r="Z23" s="127"/>
      <c r="AA23" s="132">
        <v>1301.8757100000003</v>
      </c>
      <c r="AB23" s="132">
        <v>1301.8757100000003</v>
      </c>
      <c r="AC23" s="132">
        <v>1385.5559999999998</v>
      </c>
      <c r="AD23" s="123"/>
      <c r="AE23" s="127"/>
      <c r="AF23" s="128"/>
      <c r="AG23" s="123">
        <v>1554.579</v>
      </c>
      <c r="AH23" s="127">
        <v>1953.1890000000001</v>
      </c>
      <c r="AI23" s="128">
        <v>2351.7990000000004</v>
      </c>
      <c r="AJ23" s="132"/>
      <c r="AK23" s="132">
        <v>842.90700000000004</v>
      </c>
      <c r="AL23" s="132">
        <v>1337.0615399999997</v>
      </c>
      <c r="AM23" s="123"/>
      <c r="AN23" s="127"/>
      <c r="AO23" s="128"/>
      <c r="AP23" s="123"/>
      <c r="AQ23" s="127"/>
      <c r="AR23" s="128"/>
      <c r="AS23" s="127"/>
      <c r="AT23" s="127"/>
      <c r="AU23" s="127"/>
      <c r="AV23" s="123">
        <v>974.53359360000002</v>
      </c>
      <c r="AW23" s="127">
        <v>1349.8850400000003</v>
      </c>
      <c r="AX23" s="127">
        <v>1883.6442240000001</v>
      </c>
      <c r="AY23" s="123"/>
      <c r="AZ23" s="127"/>
      <c r="BA23" s="128"/>
    </row>
    <row r="24" spans="1:53" x14ac:dyDescent="0.3">
      <c r="A24" s="24">
        <v>2036</v>
      </c>
      <c r="B24" s="123">
        <v>1052.6408257722717</v>
      </c>
      <c r="C24" s="127">
        <v>1259.4136878944485</v>
      </c>
      <c r="D24" s="127">
        <v>1772.4477627593462</v>
      </c>
      <c r="E24" s="123"/>
      <c r="F24" s="127"/>
      <c r="G24" s="128"/>
      <c r="H24" s="132"/>
      <c r="I24" s="127"/>
      <c r="J24" s="127"/>
      <c r="K24" s="128"/>
      <c r="L24" s="123"/>
      <c r="M24" s="127"/>
      <c r="N24" s="128"/>
      <c r="O24" s="123"/>
      <c r="P24" s="127"/>
      <c r="Q24" s="127"/>
      <c r="R24" s="123"/>
      <c r="S24" s="127"/>
      <c r="T24" s="127"/>
      <c r="U24" s="123"/>
      <c r="V24" s="127"/>
      <c r="W24" s="127"/>
      <c r="X24" s="123"/>
      <c r="Y24" s="127"/>
      <c r="Z24" s="127"/>
      <c r="AA24" s="132"/>
      <c r="AB24" s="132"/>
      <c r="AC24" s="132"/>
      <c r="AD24" s="123"/>
      <c r="AE24" s="127"/>
      <c r="AF24" s="128"/>
      <c r="AG24" s="123"/>
      <c r="AH24" s="127"/>
      <c r="AI24" s="128"/>
      <c r="AJ24" s="132"/>
      <c r="AK24" s="132">
        <v>818.82399999999996</v>
      </c>
      <c r="AL24" s="132"/>
      <c r="AM24" s="123"/>
      <c r="AN24" s="127"/>
      <c r="AO24" s="128"/>
      <c r="AP24" s="123"/>
      <c r="AQ24" s="127"/>
      <c r="AR24" s="128"/>
      <c r="AS24" s="127"/>
      <c r="AT24" s="127"/>
      <c r="AU24" s="127"/>
      <c r="AV24" s="123"/>
      <c r="AW24" s="127"/>
      <c r="AX24" s="127"/>
      <c r="AY24" s="123"/>
      <c r="AZ24" s="127"/>
      <c r="BA24" s="128"/>
    </row>
    <row r="25" spans="1:53" x14ac:dyDescent="0.3">
      <c r="A25" s="24">
        <v>2037</v>
      </c>
      <c r="B25" s="123">
        <v>1039.9566230801852</v>
      </c>
      <c r="C25" s="127">
        <v>1247.0536236635842</v>
      </c>
      <c r="D25" s="127">
        <v>1760.5403594674726</v>
      </c>
      <c r="E25" s="123"/>
      <c r="F25" s="127"/>
      <c r="G25" s="128"/>
      <c r="H25" s="132"/>
      <c r="I25" s="127"/>
      <c r="J25" s="127"/>
      <c r="K25" s="128"/>
      <c r="L25" s="123"/>
      <c r="M25" s="127"/>
      <c r="N25" s="128"/>
      <c r="O25" s="123"/>
      <c r="P25" s="127"/>
      <c r="Q25" s="127"/>
      <c r="R25" s="123"/>
      <c r="S25" s="127"/>
      <c r="T25" s="127"/>
      <c r="U25" s="123"/>
      <c r="V25" s="127"/>
      <c r="W25" s="127"/>
      <c r="X25" s="123"/>
      <c r="Y25" s="127"/>
      <c r="Z25" s="127"/>
      <c r="AA25" s="132"/>
      <c r="AB25" s="132"/>
      <c r="AC25" s="132"/>
      <c r="AD25" s="123"/>
      <c r="AE25" s="127"/>
      <c r="AF25" s="128"/>
      <c r="AG25" s="123"/>
      <c r="AH25" s="127"/>
      <c r="AI25" s="128"/>
      <c r="AJ25" s="132"/>
      <c r="AK25" s="132">
        <v>818.82399999999996</v>
      </c>
      <c r="AL25" s="132"/>
      <c r="AM25" s="123"/>
      <c r="AN25" s="127"/>
      <c r="AO25" s="128"/>
      <c r="AP25" s="123"/>
      <c r="AQ25" s="127"/>
      <c r="AR25" s="128"/>
      <c r="AS25" s="127"/>
      <c r="AT25" s="127"/>
      <c r="AU25" s="127"/>
      <c r="AV25" s="123"/>
      <c r="AW25" s="127"/>
      <c r="AX25" s="127"/>
      <c r="AY25" s="123"/>
      <c r="AZ25" s="127"/>
      <c r="BA25" s="128"/>
    </row>
    <row r="26" spans="1:53" x14ac:dyDescent="0.3">
      <c r="A26" s="24">
        <v>2038</v>
      </c>
      <c r="B26" s="123">
        <v>1027.2724203880989</v>
      </c>
      <c r="C26" s="127">
        <v>1234.693559432719</v>
      </c>
      <c r="D26" s="127">
        <v>1748.6329561755881</v>
      </c>
      <c r="E26" s="123"/>
      <c r="F26" s="127"/>
      <c r="G26" s="128"/>
      <c r="H26" s="132"/>
      <c r="I26" s="127"/>
      <c r="J26" s="127"/>
      <c r="K26" s="128"/>
      <c r="L26" s="123"/>
      <c r="M26" s="127"/>
      <c r="N26" s="128"/>
      <c r="O26" s="123"/>
      <c r="P26" s="127"/>
      <c r="Q26" s="127"/>
      <c r="R26" s="123"/>
      <c r="S26" s="127"/>
      <c r="T26" s="127"/>
      <c r="U26" s="123"/>
      <c r="V26" s="127"/>
      <c r="W26" s="127"/>
      <c r="X26" s="123"/>
      <c r="Y26" s="127"/>
      <c r="Z26" s="127"/>
      <c r="AA26" s="132"/>
      <c r="AB26" s="132"/>
      <c r="AC26" s="132"/>
      <c r="AD26" s="123"/>
      <c r="AE26" s="127"/>
      <c r="AF26" s="128"/>
      <c r="AG26" s="123"/>
      <c r="AH26" s="127"/>
      <c r="AI26" s="128"/>
      <c r="AJ26" s="132"/>
      <c r="AK26" s="132">
        <v>818.82399999999996</v>
      </c>
      <c r="AL26" s="132"/>
      <c r="AM26" s="123"/>
      <c r="AN26" s="127"/>
      <c r="AO26" s="128"/>
      <c r="AP26" s="123"/>
      <c r="AQ26" s="127"/>
      <c r="AR26" s="128"/>
      <c r="AS26" s="127"/>
      <c r="AT26" s="127"/>
      <c r="AU26" s="127"/>
      <c r="AV26" s="123"/>
      <c r="AW26" s="127"/>
      <c r="AX26" s="127"/>
      <c r="AY26" s="123"/>
      <c r="AZ26" s="127"/>
      <c r="BA26" s="128"/>
    </row>
    <row r="27" spans="1:53" x14ac:dyDescent="0.3">
      <c r="A27" s="24">
        <v>2039</v>
      </c>
      <c r="B27" s="123">
        <v>1014.5882176960125</v>
      </c>
      <c r="C27" s="127">
        <v>1222.3334952018561</v>
      </c>
      <c r="D27" s="127">
        <v>1736.7255528837038</v>
      </c>
      <c r="E27" s="123"/>
      <c r="F27" s="127"/>
      <c r="G27" s="128"/>
      <c r="H27" s="132"/>
      <c r="I27" s="127"/>
      <c r="J27" s="127"/>
      <c r="K27" s="128"/>
      <c r="L27" s="123"/>
      <c r="M27" s="127"/>
      <c r="N27" s="128"/>
      <c r="O27" s="123"/>
      <c r="P27" s="127"/>
      <c r="Q27" s="127"/>
      <c r="R27" s="123"/>
      <c r="S27" s="127"/>
      <c r="T27" s="127"/>
      <c r="U27" s="123"/>
      <c r="V27" s="127"/>
      <c r="W27" s="127"/>
      <c r="X27" s="123"/>
      <c r="Y27" s="127"/>
      <c r="Z27" s="127"/>
      <c r="AA27" s="132"/>
      <c r="AB27" s="132"/>
      <c r="AC27" s="132"/>
      <c r="AD27" s="123"/>
      <c r="AE27" s="127"/>
      <c r="AF27" s="128"/>
      <c r="AG27" s="123"/>
      <c r="AH27" s="127"/>
      <c r="AI27" s="128"/>
      <c r="AJ27" s="132"/>
      <c r="AK27" s="132">
        <v>818.82399999999996</v>
      </c>
      <c r="AL27" s="132"/>
      <c r="AM27" s="123"/>
      <c r="AN27" s="127"/>
      <c r="AO27" s="128"/>
      <c r="AP27" s="123"/>
      <c r="AQ27" s="127"/>
      <c r="AR27" s="128"/>
      <c r="AS27" s="127"/>
      <c r="AT27" s="127"/>
      <c r="AU27" s="127"/>
      <c r="AV27" s="123"/>
      <c r="AW27" s="127"/>
      <c r="AX27" s="127"/>
      <c r="AY27" s="123"/>
      <c r="AZ27" s="127"/>
      <c r="BA27" s="128"/>
    </row>
    <row r="28" spans="1:53" x14ac:dyDescent="0.3">
      <c r="A28" s="24">
        <v>2040</v>
      </c>
      <c r="B28" s="123">
        <v>1001.904015003926</v>
      </c>
      <c r="C28" s="127">
        <v>1209.9734309709909</v>
      </c>
      <c r="D28" s="127">
        <v>1724.8181495918195</v>
      </c>
      <c r="E28" s="123"/>
      <c r="F28" s="127"/>
      <c r="G28" s="128"/>
      <c r="H28" s="132"/>
      <c r="I28" s="127"/>
      <c r="J28" s="127"/>
      <c r="K28" s="128"/>
      <c r="L28" s="123"/>
      <c r="M28" s="127"/>
      <c r="N28" s="128"/>
      <c r="O28" s="123"/>
      <c r="P28" s="127"/>
      <c r="Q28" s="127"/>
      <c r="R28" s="123">
        <v>265.40946195933071</v>
      </c>
      <c r="S28" s="127">
        <v>509.42367137295992</v>
      </c>
      <c r="T28" s="127">
        <v>621.5997929480161</v>
      </c>
      <c r="U28" s="123"/>
      <c r="V28" s="127">
        <v>1198.4656734719999</v>
      </c>
      <c r="W28" s="127"/>
      <c r="X28" s="123"/>
      <c r="Y28" s="127"/>
      <c r="Z28" s="127"/>
      <c r="AA28" s="132">
        <v>1268.1483599999999</v>
      </c>
      <c r="AB28" s="132">
        <v>1268.1483599999999</v>
      </c>
      <c r="AC28" s="132">
        <v>1424.3515679999996</v>
      </c>
      <c r="AD28" s="123"/>
      <c r="AE28" s="127"/>
      <c r="AF28" s="128"/>
      <c r="AG28" s="123">
        <v>1541.2920000000001</v>
      </c>
      <c r="AH28" s="127">
        <v>1926.615</v>
      </c>
      <c r="AI28" s="128">
        <v>2311.9380000000001</v>
      </c>
      <c r="AJ28" s="132"/>
      <c r="AK28" s="132">
        <v>818.82399999999996</v>
      </c>
      <c r="AL28" s="132">
        <v>1302.4226399999998</v>
      </c>
      <c r="AM28" s="123">
        <v>925.18720000000019</v>
      </c>
      <c r="AN28" s="127">
        <v>1234.9288000000001</v>
      </c>
      <c r="AO28" s="128">
        <v>1544.6704000000002</v>
      </c>
      <c r="AP28" s="123">
        <v>809.82720000000018</v>
      </c>
      <c r="AQ28" s="127">
        <v>1080.9232000000002</v>
      </c>
      <c r="AR28" s="128">
        <v>1352.0192000000002</v>
      </c>
      <c r="AS28" s="127"/>
      <c r="AT28" s="127"/>
      <c r="AU28" s="127"/>
      <c r="AV28" s="123">
        <v>933.21048800000017</v>
      </c>
      <c r="AW28" s="221">
        <v>1312.000816</v>
      </c>
      <c r="AX28" s="127">
        <v>1783.7770720000003</v>
      </c>
      <c r="AY28" s="123"/>
      <c r="AZ28" s="127"/>
      <c r="BA28" s="128"/>
    </row>
    <row r="29" spans="1:53" x14ac:dyDescent="0.3">
      <c r="A29" s="24">
        <v>2041</v>
      </c>
      <c r="B29" s="123">
        <v>989.21981231183952</v>
      </c>
      <c r="C29" s="127">
        <v>1197.613366740127</v>
      </c>
      <c r="D29" s="127">
        <v>1712.9107462999348</v>
      </c>
      <c r="E29" s="123"/>
      <c r="F29" s="127"/>
      <c r="G29" s="128"/>
      <c r="H29" s="132"/>
      <c r="I29" s="127"/>
      <c r="J29" s="127"/>
      <c r="K29" s="128"/>
      <c r="L29" s="123"/>
      <c r="M29" s="127"/>
      <c r="N29" s="128"/>
      <c r="O29" s="123"/>
      <c r="P29" s="127"/>
      <c r="Q29" s="127"/>
      <c r="R29" s="123"/>
      <c r="S29" s="127"/>
      <c r="T29" s="127"/>
      <c r="U29" s="123"/>
      <c r="V29" s="127"/>
      <c r="W29" s="127"/>
      <c r="X29" s="123"/>
      <c r="Y29" s="127"/>
      <c r="Z29" s="127"/>
      <c r="AA29" s="132"/>
      <c r="AB29" s="132"/>
      <c r="AC29" s="132"/>
      <c r="AD29" s="123"/>
      <c r="AE29" s="127"/>
      <c r="AF29" s="128"/>
      <c r="AG29" s="123"/>
      <c r="AH29" s="127"/>
      <c r="AI29" s="128"/>
      <c r="AJ29" s="132"/>
      <c r="AK29" s="132">
        <v>818.82399999999996</v>
      </c>
      <c r="AL29" s="132"/>
      <c r="AM29" s="123"/>
      <c r="AN29" s="127"/>
      <c r="AO29" s="128"/>
      <c r="AP29" s="123"/>
      <c r="AQ29" s="127"/>
      <c r="AR29" s="128"/>
      <c r="AS29" s="127"/>
      <c r="AT29" s="127"/>
      <c r="AU29" s="127"/>
      <c r="AV29" s="123"/>
      <c r="AW29" s="127"/>
      <c r="AX29" s="127"/>
      <c r="AY29" s="123"/>
      <c r="AZ29" s="127"/>
      <c r="BA29" s="128"/>
    </row>
    <row r="30" spans="1:53" x14ac:dyDescent="0.3">
      <c r="A30" s="24">
        <v>2042</v>
      </c>
      <c r="B30" s="123">
        <v>976.53560961975302</v>
      </c>
      <c r="C30" s="127">
        <v>1185.2533025092621</v>
      </c>
      <c r="D30" s="127">
        <v>1701.0033430080614</v>
      </c>
      <c r="E30" s="123"/>
      <c r="F30" s="127"/>
      <c r="G30" s="128"/>
      <c r="H30" s="132"/>
      <c r="I30" s="127"/>
      <c r="J30" s="127"/>
      <c r="K30" s="128"/>
      <c r="L30" s="123"/>
      <c r="M30" s="127"/>
      <c r="N30" s="128"/>
      <c r="O30" s="123"/>
      <c r="P30" s="127"/>
      <c r="Q30" s="127"/>
      <c r="R30" s="123"/>
      <c r="S30" s="127"/>
      <c r="T30" s="127"/>
      <c r="U30" s="123"/>
      <c r="V30" s="127"/>
      <c r="W30" s="127"/>
      <c r="X30" s="123"/>
      <c r="Y30" s="127"/>
      <c r="Z30" s="127"/>
      <c r="AA30" s="132"/>
      <c r="AB30" s="132"/>
      <c r="AC30" s="132"/>
      <c r="AD30" s="123"/>
      <c r="AE30" s="127"/>
      <c r="AF30" s="128"/>
      <c r="AG30" s="123"/>
      <c r="AH30" s="127"/>
      <c r="AI30" s="128"/>
      <c r="AJ30" s="132"/>
      <c r="AK30" s="132">
        <v>794.74</v>
      </c>
      <c r="AL30" s="132"/>
      <c r="AM30" s="123"/>
      <c r="AN30" s="127"/>
      <c r="AO30" s="128"/>
      <c r="AP30" s="123"/>
      <c r="AQ30" s="127"/>
      <c r="AR30" s="128"/>
      <c r="AS30" s="127"/>
      <c r="AT30" s="127"/>
      <c r="AU30" s="127"/>
      <c r="AV30" s="123"/>
      <c r="AW30" s="127"/>
      <c r="AX30" s="127"/>
      <c r="AY30" s="123"/>
      <c r="AZ30" s="127"/>
      <c r="BA30" s="128"/>
    </row>
    <row r="31" spans="1:53" x14ac:dyDescent="0.3">
      <c r="A31" s="24">
        <v>2043</v>
      </c>
      <c r="B31" s="123">
        <v>963.85140692766674</v>
      </c>
      <c r="C31" s="127">
        <v>1172.8932382783992</v>
      </c>
      <c r="D31" s="127">
        <v>1689.0959397161769</v>
      </c>
      <c r="E31" s="123"/>
      <c r="F31" s="127"/>
      <c r="G31" s="128"/>
      <c r="H31" s="132"/>
      <c r="I31" s="127"/>
      <c r="J31" s="127"/>
      <c r="K31" s="128"/>
      <c r="L31" s="123"/>
      <c r="M31" s="127"/>
      <c r="N31" s="128"/>
      <c r="O31" s="123"/>
      <c r="P31" s="127"/>
      <c r="Q31" s="127"/>
      <c r="R31" s="123"/>
      <c r="S31" s="127"/>
      <c r="T31" s="127"/>
      <c r="U31" s="123"/>
      <c r="V31" s="127"/>
      <c r="W31" s="127"/>
      <c r="X31" s="123"/>
      <c r="Y31" s="127"/>
      <c r="Z31" s="127"/>
      <c r="AA31" s="132"/>
      <c r="AB31" s="132"/>
      <c r="AC31" s="132"/>
      <c r="AD31" s="123"/>
      <c r="AE31" s="127"/>
      <c r="AF31" s="128"/>
      <c r="AG31" s="123"/>
      <c r="AH31" s="127"/>
      <c r="AI31" s="128"/>
      <c r="AJ31" s="132"/>
      <c r="AK31" s="132">
        <v>794.74</v>
      </c>
      <c r="AL31" s="132"/>
      <c r="AM31" s="123"/>
      <c r="AN31" s="127"/>
      <c r="AO31" s="128"/>
      <c r="AP31" s="123"/>
      <c r="AQ31" s="127"/>
      <c r="AR31" s="128"/>
      <c r="AS31" s="127"/>
      <c r="AT31" s="127"/>
      <c r="AU31" s="127"/>
      <c r="AV31" s="123"/>
      <c r="AW31" s="127"/>
      <c r="AX31" s="127"/>
      <c r="AY31" s="123"/>
      <c r="AZ31" s="127"/>
      <c r="BA31" s="128"/>
    </row>
    <row r="32" spans="1:53" x14ac:dyDescent="0.3">
      <c r="A32" s="24">
        <v>2044</v>
      </c>
      <c r="B32" s="123">
        <v>951.16720423557911</v>
      </c>
      <c r="C32" s="127">
        <v>1160.5331740475337</v>
      </c>
      <c r="D32" s="127">
        <v>1677.1885364242924</v>
      </c>
      <c r="E32" s="123"/>
      <c r="F32" s="127"/>
      <c r="G32" s="128"/>
      <c r="H32" s="132"/>
      <c r="I32" s="127"/>
      <c r="J32" s="127"/>
      <c r="K32" s="128"/>
      <c r="L32" s="123"/>
      <c r="M32" s="127"/>
      <c r="N32" s="128"/>
      <c r="O32" s="123"/>
      <c r="P32" s="127"/>
      <c r="Q32" s="127"/>
      <c r="R32" s="123"/>
      <c r="S32" s="127"/>
      <c r="T32" s="127"/>
      <c r="U32" s="123"/>
      <c r="V32" s="127"/>
      <c r="W32" s="127"/>
      <c r="X32" s="123"/>
      <c r="Y32" s="127"/>
      <c r="Z32" s="127"/>
      <c r="AA32" s="132"/>
      <c r="AB32" s="132"/>
      <c r="AC32" s="132"/>
      <c r="AD32" s="123"/>
      <c r="AE32" s="127"/>
      <c r="AF32" s="128"/>
      <c r="AG32" s="123"/>
      <c r="AH32" s="127"/>
      <c r="AI32" s="128"/>
      <c r="AJ32" s="132"/>
      <c r="AK32" s="132">
        <v>794.74</v>
      </c>
      <c r="AL32" s="132"/>
      <c r="AM32" s="123"/>
      <c r="AN32" s="127"/>
      <c r="AO32" s="128"/>
      <c r="AP32" s="123"/>
      <c r="AQ32" s="127"/>
      <c r="AR32" s="128"/>
      <c r="AS32" s="127"/>
      <c r="AT32" s="127"/>
      <c r="AU32" s="127"/>
      <c r="AV32" s="123"/>
      <c r="AW32" s="127"/>
      <c r="AX32" s="127"/>
      <c r="AY32" s="123"/>
      <c r="AZ32" s="127"/>
      <c r="BA32" s="128"/>
    </row>
    <row r="33" spans="1:53" x14ac:dyDescent="0.3">
      <c r="A33" s="24">
        <v>2045</v>
      </c>
      <c r="B33" s="123">
        <v>938.48300154349272</v>
      </c>
      <c r="C33" s="127">
        <v>1148.1731098166706</v>
      </c>
      <c r="D33" s="127">
        <v>1665.2811331324078</v>
      </c>
      <c r="E33" s="123"/>
      <c r="F33" s="127"/>
      <c r="G33" s="128"/>
      <c r="H33" s="132">
        <v>1059.8288</v>
      </c>
      <c r="I33" s="127"/>
      <c r="J33" s="127"/>
      <c r="K33" s="128"/>
      <c r="L33" s="123"/>
      <c r="M33" s="127"/>
      <c r="N33" s="128"/>
      <c r="O33" s="123"/>
      <c r="P33" s="127"/>
      <c r="Q33" s="127"/>
      <c r="R33" s="123">
        <v>230.43228643683344</v>
      </c>
      <c r="S33" s="127">
        <v>454.87931868050202</v>
      </c>
      <c r="T33" s="127">
        <v>591.21311781348788</v>
      </c>
      <c r="U33" s="123"/>
      <c r="V33" s="127"/>
      <c r="W33" s="127"/>
      <c r="X33" s="123"/>
      <c r="Y33" s="127"/>
      <c r="Z33" s="127"/>
      <c r="AA33" s="132">
        <v>1234.42101</v>
      </c>
      <c r="AB33" s="132">
        <v>1234.42101</v>
      </c>
      <c r="AC33" s="132">
        <v>1463.147136</v>
      </c>
      <c r="AD33" s="123"/>
      <c r="AE33" s="127"/>
      <c r="AF33" s="128"/>
      <c r="AG33" s="123">
        <v>1529.3336999999999</v>
      </c>
      <c r="AH33" s="127">
        <v>1902.6984</v>
      </c>
      <c r="AI33" s="128">
        <v>2276.0630999999998</v>
      </c>
      <c r="AJ33" s="132"/>
      <c r="AK33" s="132">
        <v>770.65700000000004</v>
      </c>
      <c r="AL33" s="132">
        <v>1267.7837399999999</v>
      </c>
      <c r="AM33" s="123"/>
      <c r="AN33" s="127"/>
      <c r="AO33" s="128"/>
      <c r="AP33" s="123"/>
      <c r="AQ33" s="127"/>
      <c r="AR33" s="128"/>
      <c r="AS33" s="127"/>
      <c r="AT33" s="127"/>
      <c r="AU33" s="127"/>
      <c r="AV33" s="123">
        <v>888.44388640000011</v>
      </c>
      <c r="AW33" s="127">
        <v>1260.3541440000001</v>
      </c>
      <c r="AX33" s="127">
        <v>1687.3591840000004</v>
      </c>
      <c r="AY33" s="123"/>
      <c r="AZ33" s="127"/>
      <c r="BA33" s="128"/>
    </row>
    <row r="34" spans="1:53" x14ac:dyDescent="0.3">
      <c r="A34" s="24">
        <v>2046</v>
      </c>
      <c r="B34" s="123">
        <v>925.79879885140622</v>
      </c>
      <c r="C34" s="127">
        <v>1135.8130455858063</v>
      </c>
      <c r="D34" s="127">
        <v>1653.3737298405235</v>
      </c>
      <c r="E34" s="123"/>
      <c r="F34" s="127"/>
      <c r="G34" s="128"/>
      <c r="H34" s="132"/>
      <c r="I34" s="127"/>
      <c r="J34" s="127"/>
      <c r="K34" s="128"/>
      <c r="L34" s="123"/>
      <c r="M34" s="127"/>
      <c r="N34" s="128"/>
      <c r="O34" s="123"/>
      <c r="P34" s="127"/>
      <c r="Q34" s="127"/>
      <c r="R34" s="123"/>
      <c r="S34" s="127"/>
      <c r="T34" s="127"/>
      <c r="U34" s="123"/>
      <c r="V34" s="127"/>
      <c r="W34" s="127"/>
      <c r="X34" s="123"/>
      <c r="Y34" s="127"/>
      <c r="Z34" s="127"/>
      <c r="AA34" s="132"/>
      <c r="AB34" s="132"/>
      <c r="AC34" s="132"/>
      <c r="AD34" s="123"/>
      <c r="AE34" s="127"/>
      <c r="AF34" s="128"/>
      <c r="AG34" s="123"/>
      <c r="AH34" s="127"/>
      <c r="AI34" s="128"/>
      <c r="AJ34" s="132"/>
      <c r="AK34" s="132">
        <v>770.65700000000004</v>
      </c>
      <c r="AL34" s="132"/>
      <c r="AM34" s="123"/>
      <c r="AN34" s="127"/>
      <c r="AO34" s="128"/>
      <c r="AP34" s="123"/>
      <c r="AQ34" s="127"/>
      <c r="AR34" s="128"/>
      <c r="AS34" s="127"/>
      <c r="AT34" s="127"/>
      <c r="AU34" s="127"/>
      <c r="AV34" s="123"/>
      <c r="AW34" s="127"/>
      <c r="AX34" s="127"/>
      <c r="AY34" s="123"/>
      <c r="AZ34" s="127"/>
      <c r="BA34" s="128"/>
    </row>
    <row r="35" spans="1:53" x14ac:dyDescent="0.3">
      <c r="A35" s="24">
        <v>2047</v>
      </c>
      <c r="B35" s="123">
        <v>913.11459615931983</v>
      </c>
      <c r="C35" s="127">
        <v>1123.4529813549425</v>
      </c>
      <c r="D35" s="127">
        <v>1641.4663265486499</v>
      </c>
      <c r="E35" s="123"/>
      <c r="F35" s="127"/>
      <c r="G35" s="128"/>
      <c r="H35" s="132"/>
      <c r="I35" s="127"/>
      <c r="J35" s="127"/>
      <c r="K35" s="128"/>
      <c r="L35" s="123"/>
      <c r="M35" s="127"/>
      <c r="N35" s="128"/>
      <c r="O35" s="123"/>
      <c r="P35" s="127"/>
      <c r="Q35" s="127"/>
      <c r="R35" s="123"/>
      <c r="S35" s="127"/>
      <c r="T35" s="127"/>
      <c r="U35" s="123"/>
      <c r="V35" s="127"/>
      <c r="W35" s="127"/>
      <c r="X35" s="123"/>
      <c r="Y35" s="127"/>
      <c r="Z35" s="127"/>
      <c r="AA35" s="132"/>
      <c r="AB35" s="132"/>
      <c r="AC35" s="132"/>
      <c r="AD35" s="123"/>
      <c r="AE35" s="127"/>
      <c r="AF35" s="128"/>
      <c r="AG35" s="123"/>
      <c r="AH35" s="127"/>
      <c r="AI35" s="128"/>
      <c r="AJ35" s="132"/>
      <c r="AK35" s="132">
        <v>770.65700000000004</v>
      </c>
      <c r="AL35" s="132"/>
      <c r="AM35" s="123"/>
      <c r="AN35" s="127"/>
      <c r="AO35" s="128"/>
      <c r="AP35" s="123"/>
      <c r="AQ35" s="127"/>
      <c r="AR35" s="128"/>
      <c r="AS35" s="127"/>
      <c r="AT35" s="127"/>
      <c r="AU35" s="127"/>
      <c r="AV35" s="123"/>
      <c r="AW35" s="127"/>
      <c r="AX35" s="127"/>
      <c r="AY35" s="123"/>
      <c r="AZ35" s="127"/>
      <c r="BA35" s="128"/>
    </row>
    <row r="36" spans="1:53" x14ac:dyDescent="0.3">
      <c r="A36" s="24">
        <v>2048</v>
      </c>
      <c r="B36" s="123">
        <v>900.43039346723333</v>
      </c>
      <c r="C36" s="127">
        <v>1111.0929171240764</v>
      </c>
      <c r="D36" s="127">
        <v>1629.5589232567654</v>
      </c>
      <c r="E36" s="123"/>
      <c r="F36" s="127"/>
      <c r="G36" s="128"/>
      <c r="H36" s="132"/>
      <c r="I36" s="127"/>
      <c r="J36" s="127"/>
      <c r="K36" s="128"/>
      <c r="L36" s="123"/>
      <c r="M36" s="127"/>
      <c r="N36" s="128"/>
      <c r="O36" s="123"/>
      <c r="P36" s="127"/>
      <c r="Q36" s="127"/>
      <c r="R36" s="123"/>
      <c r="S36" s="127"/>
      <c r="T36" s="127"/>
      <c r="U36" s="123"/>
      <c r="V36" s="127"/>
      <c r="W36" s="127"/>
      <c r="X36" s="123"/>
      <c r="Y36" s="127"/>
      <c r="Z36" s="127"/>
      <c r="AA36" s="132"/>
      <c r="AB36" s="132"/>
      <c r="AC36" s="132"/>
      <c r="AD36" s="123"/>
      <c r="AE36" s="127"/>
      <c r="AF36" s="128"/>
      <c r="AG36" s="123"/>
      <c r="AH36" s="127"/>
      <c r="AI36" s="128"/>
      <c r="AJ36" s="132"/>
      <c r="AK36" s="132">
        <v>770.65700000000004</v>
      </c>
      <c r="AL36" s="132"/>
      <c r="AM36" s="123"/>
      <c r="AN36" s="127"/>
      <c r="AO36" s="128"/>
      <c r="AP36" s="123"/>
      <c r="AQ36" s="127"/>
      <c r="AR36" s="128"/>
      <c r="AS36" s="127"/>
      <c r="AT36" s="127"/>
      <c r="AU36" s="127"/>
      <c r="AV36" s="123"/>
      <c r="AW36" s="127"/>
      <c r="AX36" s="127"/>
      <c r="AY36" s="123"/>
      <c r="AZ36" s="127"/>
      <c r="BA36" s="128"/>
    </row>
    <row r="37" spans="1:53" x14ac:dyDescent="0.3">
      <c r="A37" s="24">
        <v>2049</v>
      </c>
      <c r="B37" s="123">
        <v>887.74619077514683</v>
      </c>
      <c r="C37" s="127">
        <v>1098.7328528932119</v>
      </c>
      <c r="D37" s="127">
        <v>1617.6515199648811</v>
      </c>
      <c r="E37" s="123"/>
      <c r="F37" s="127"/>
      <c r="G37" s="128"/>
      <c r="H37" s="132"/>
      <c r="I37" s="127"/>
      <c r="J37" s="127"/>
      <c r="K37" s="128"/>
      <c r="L37" s="123"/>
      <c r="M37" s="127"/>
      <c r="N37" s="128"/>
      <c r="O37" s="123"/>
      <c r="P37" s="127"/>
      <c r="Q37" s="127"/>
      <c r="R37" s="123"/>
      <c r="S37" s="127"/>
      <c r="T37" s="127"/>
      <c r="U37" s="123"/>
      <c r="V37" s="127"/>
      <c r="W37" s="127"/>
      <c r="X37" s="123"/>
      <c r="Y37" s="127"/>
      <c r="Z37" s="127"/>
      <c r="AA37" s="132"/>
      <c r="AB37" s="132"/>
      <c r="AC37" s="132"/>
      <c r="AD37" s="123"/>
      <c r="AE37" s="127"/>
      <c r="AF37" s="128"/>
      <c r="AG37" s="123"/>
      <c r="AH37" s="127"/>
      <c r="AI37" s="128"/>
      <c r="AJ37" s="132"/>
      <c r="AK37" s="132">
        <v>770.65700000000004</v>
      </c>
      <c r="AL37" s="132"/>
      <c r="AM37" s="123"/>
      <c r="AN37" s="127"/>
      <c r="AO37" s="128"/>
      <c r="AP37" s="123"/>
      <c r="AQ37" s="127"/>
      <c r="AR37" s="128"/>
      <c r="AS37" s="127"/>
      <c r="AT37" s="127"/>
      <c r="AU37" s="127"/>
      <c r="AV37" s="123"/>
      <c r="AW37" s="127"/>
      <c r="AX37" s="127"/>
      <c r="AY37" s="123"/>
      <c r="AZ37" s="127"/>
      <c r="BA37" s="128"/>
    </row>
    <row r="38" spans="1:53" ht="15" thickBot="1" x14ac:dyDescent="0.35">
      <c r="A38" s="25">
        <v>2050</v>
      </c>
      <c r="B38" s="124">
        <v>875.06198808306033</v>
      </c>
      <c r="C38" s="129">
        <v>1086.3727886623487</v>
      </c>
      <c r="D38" s="129">
        <v>1605.7441166729968</v>
      </c>
      <c r="E38" s="124">
        <v>843.53786400000013</v>
      </c>
      <c r="F38" s="129">
        <v>993.59048880000012</v>
      </c>
      <c r="G38" s="130">
        <v>1151.7542400000002</v>
      </c>
      <c r="H38" s="133"/>
      <c r="I38" s="129">
        <v>988.80000000000007</v>
      </c>
      <c r="J38" s="129">
        <v>1009.4</v>
      </c>
      <c r="K38" s="130">
        <v>1040.3</v>
      </c>
      <c r="L38" s="124">
        <v>988.80000000000007</v>
      </c>
      <c r="M38" s="129">
        <v>1009.4</v>
      </c>
      <c r="N38" s="130">
        <v>1030</v>
      </c>
      <c r="O38" s="124">
        <v>1596.5</v>
      </c>
      <c r="P38" s="129">
        <v>1617.1000000000001</v>
      </c>
      <c r="Q38" s="129">
        <v>1658.3</v>
      </c>
      <c r="R38" s="124">
        <v>196.78215822413222</v>
      </c>
      <c r="S38" s="129">
        <v>401.77576021010822</v>
      </c>
      <c r="T38" s="129">
        <v>559.63480835995961</v>
      </c>
      <c r="U38" s="124">
        <v>859.22098754784463</v>
      </c>
      <c r="V38" s="129">
        <v>1177.5112286690292</v>
      </c>
      <c r="W38" s="129">
        <v>1288.8314813160002</v>
      </c>
      <c r="X38" s="124">
        <v>3445.3276063200005</v>
      </c>
      <c r="Y38" s="129">
        <v>3939.1578965592007</v>
      </c>
      <c r="Z38" s="129">
        <v>6890.6552126400011</v>
      </c>
      <c r="AA38" s="133">
        <v>1214.1846000000003</v>
      </c>
      <c r="AB38" s="133">
        <v>1214.1846000000003</v>
      </c>
      <c r="AC38" s="133">
        <v>1270.554852</v>
      </c>
      <c r="AD38" s="124">
        <v>820.06539999999995</v>
      </c>
      <c r="AE38" s="129">
        <v>976.47604999999999</v>
      </c>
      <c r="AF38" s="130">
        <v>1132.8866999999998</v>
      </c>
      <c r="AG38" s="124">
        <v>1518.7041000000002</v>
      </c>
      <c r="AH38" s="129">
        <v>1881.4392000000003</v>
      </c>
      <c r="AI38" s="130">
        <v>2244.1743000000001</v>
      </c>
      <c r="AJ38" s="133">
        <v>1416.3234863800003</v>
      </c>
      <c r="AK38" s="133">
        <v>746.57399999999996</v>
      </c>
      <c r="AL38" s="133">
        <v>1247.0003999999999</v>
      </c>
      <c r="AM38" s="124">
        <v>879.04320000000007</v>
      </c>
      <c r="AN38" s="129">
        <v>1172.6344000000001</v>
      </c>
      <c r="AO38" s="130">
        <v>1466.2256000000002</v>
      </c>
      <c r="AP38" s="124">
        <v>750.99360000000013</v>
      </c>
      <c r="AQ38" s="129">
        <v>1002.4784000000001</v>
      </c>
      <c r="AR38" s="130">
        <v>1253.9632000000001</v>
      </c>
      <c r="AS38" s="129"/>
      <c r="AT38" s="129"/>
      <c r="AU38" s="129"/>
      <c r="AV38" s="124">
        <v>840.23378880000007</v>
      </c>
      <c r="AW38" s="129">
        <v>1219.0321920000001</v>
      </c>
      <c r="AX38" s="129">
        <v>1618.4892640000003</v>
      </c>
      <c r="AY38" s="124"/>
      <c r="AZ38" s="129"/>
      <c r="BA38" s="130"/>
    </row>
    <row r="40" spans="1:53" x14ac:dyDescent="0.3">
      <c r="A40" s="36" t="s">
        <v>256</v>
      </c>
    </row>
    <row r="41" spans="1:53" x14ac:dyDescent="0.3">
      <c r="A41" s="36" t="s">
        <v>60</v>
      </c>
    </row>
    <row r="42" spans="1:53" x14ac:dyDescent="0.3">
      <c r="A42" s="36" t="s">
        <v>308</v>
      </c>
    </row>
    <row r="43" spans="1:53" x14ac:dyDescent="0.3">
      <c r="W43" s="4"/>
    </row>
    <row r="44" spans="1:53" x14ac:dyDescent="0.3">
      <c r="W44" s="4"/>
    </row>
    <row r="45" spans="1:53" x14ac:dyDescent="0.3">
      <c r="W45" s="4"/>
    </row>
    <row r="46" spans="1:53" x14ac:dyDescent="0.3">
      <c r="W46" s="4"/>
    </row>
    <row r="47" spans="1:53" x14ac:dyDescent="0.3">
      <c r="W47" s="4"/>
    </row>
  </sheetData>
  <mergeCells count="16">
    <mergeCell ref="A1:A2"/>
    <mergeCell ref="AG1:AI1"/>
    <mergeCell ref="AM1:AO1"/>
    <mergeCell ref="AP1:AR1"/>
    <mergeCell ref="AS1:AU1"/>
    <mergeCell ref="O1:Q1"/>
    <mergeCell ref="U1:W1"/>
    <mergeCell ref="AV1:AX1"/>
    <mergeCell ref="AY1:BA1"/>
    <mergeCell ref="B1:D1"/>
    <mergeCell ref="E1:G1"/>
    <mergeCell ref="I1:K1"/>
    <mergeCell ref="L1:N1"/>
    <mergeCell ref="X1:Z1"/>
    <mergeCell ref="AD1:AF1"/>
    <mergeCell ref="R1:T1"/>
  </mergeCells>
  <pageMargins left="0.25" right="0.25" top="0.75" bottom="0.75" header="0.3" footer="0.3"/>
  <pageSetup paperSize="9" scale="24" orientation="landscape" r:id="rId1"/>
  <headerFooter>
    <oddFooter>&amp;C_x000D_&amp;1#&amp;"Calibri"&amp;7&amp;K000000 Classification: In-Confidence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2FC60-33D4-4575-BFFC-6896F157E8A9}">
  <sheetPr>
    <tabColor theme="7" tint="0.79998168889431442"/>
    <pageSetUpPr fitToPage="1"/>
  </sheetPr>
  <dimension ref="A1:AE42"/>
  <sheetViews>
    <sheetView zoomScale="70" zoomScaleNormal="70" workbookViewId="0">
      <selection activeCell="O39" sqref="O39"/>
    </sheetView>
  </sheetViews>
  <sheetFormatPr defaultRowHeight="14.4" x14ac:dyDescent="0.3"/>
  <cols>
    <col min="2" max="2" width="6.21875" bestFit="1" customWidth="1"/>
    <col min="3" max="3" width="7.6640625" customWidth="1"/>
    <col min="4" max="4" width="6.88671875" bestFit="1" customWidth="1"/>
    <col min="5" max="5" width="6.21875" bestFit="1" customWidth="1"/>
    <col min="6" max="6" width="7.6640625" bestFit="1" customWidth="1"/>
    <col min="7" max="7" width="6.88671875" bestFit="1" customWidth="1"/>
    <col min="8" max="9" width="15.44140625" bestFit="1" customWidth="1"/>
    <col min="10" max="10" width="6.21875" bestFit="1" customWidth="1"/>
    <col min="11" max="11" width="7.6640625" bestFit="1" customWidth="1"/>
    <col min="12" max="12" width="6.88671875" bestFit="1" customWidth="1"/>
    <col min="13" max="13" width="6.21875" bestFit="1" customWidth="1"/>
    <col min="14" max="14" width="7.6640625" bestFit="1" customWidth="1"/>
    <col min="15" max="15" width="6.88671875" bestFit="1" customWidth="1"/>
    <col min="16" max="16" width="6.21875" bestFit="1" customWidth="1"/>
    <col min="17" max="17" width="7.6640625" bestFit="1" customWidth="1"/>
    <col min="18" max="18" width="7.44140625" bestFit="1" customWidth="1"/>
    <col min="19" max="19" width="6.6640625" bestFit="1" customWidth="1"/>
    <col min="20" max="20" width="7.6640625" bestFit="1" customWidth="1"/>
    <col min="21" max="21" width="6.6640625" bestFit="1" customWidth="1"/>
    <col min="22" max="22" width="25.5546875" customWidth="1"/>
    <col min="23" max="23" width="7.6640625" bestFit="1" customWidth="1"/>
    <col min="24" max="24" width="6.88671875" bestFit="1" customWidth="1"/>
    <col min="25" max="25" width="18.77734375" bestFit="1" customWidth="1"/>
    <col min="26" max="26" width="21.21875" customWidth="1"/>
    <col min="27" max="27" width="18.5546875" bestFit="1" customWidth="1"/>
  </cols>
  <sheetData>
    <row r="1" spans="1:31" ht="39.6" customHeight="1" thickBot="1" x14ac:dyDescent="0.35">
      <c r="A1" s="296" t="s">
        <v>0</v>
      </c>
      <c r="B1" s="298" t="s">
        <v>312</v>
      </c>
      <c r="C1" s="299"/>
      <c r="D1" s="300"/>
      <c r="E1" s="298" t="s">
        <v>31</v>
      </c>
      <c r="F1" s="299"/>
      <c r="G1" s="300"/>
      <c r="H1" s="56" t="s">
        <v>324</v>
      </c>
      <c r="I1" s="56" t="s">
        <v>41</v>
      </c>
      <c r="J1" s="298" t="s">
        <v>7</v>
      </c>
      <c r="K1" s="299"/>
      <c r="L1" s="300"/>
      <c r="M1" s="298" t="s">
        <v>11</v>
      </c>
      <c r="N1" s="299"/>
      <c r="O1" s="300"/>
      <c r="P1" s="298" t="s">
        <v>12</v>
      </c>
      <c r="Q1" s="299"/>
      <c r="R1" s="300"/>
      <c r="S1" s="298" t="s">
        <v>26</v>
      </c>
      <c r="T1" s="299"/>
      <c r="U1" s="300"/>
      <c r="V1" s="229" t="s">
        <v>316</v>
      </c>
      <c r="W1" s="298" t="s">
        <v>42</v>
      </c>
      <c r="X1" s="299"/>
      <c r="Y1" s="299"/>
      <c r="Z1" s="56" t="s">
        <v>32</v>
      </c>
      <c r="AA1" s="56" t="s">
        <v>23</v>
      </c>
      <c r="AB1" s="313" t="s">
        <v>27</v>
      </c>
      <c r="AC1" s="314"/>
      <c r="AD1" s="314"/>
      <c r="AE1" s="315"/>
    </row>
    <row r="2" spans="1:31" ht="15" thickBot="1" x14ac:dyDescent="0.35">
      <c r="A2" s="297"/>
      <c r="B2" s="63" t="s">
        <v>18</v>
      </c>
      <c r="C2" s="62" t="s">
        <v>19</v>
      </c>
      <c r="D2" s="62" t="s">
        <v>20</v>
      </c>
      <c r="E2" s="63" t="s">
        <v>18</v>
      </c>
      <c r="F2" s="62" t="s">
        <v>19</v>
      </c>
      <c r="G2" s="62" t="s">
        <v>20</v>
      </c>
      <c r="H2" s="51" t="s">
        <v>19</v>
      </c>
      <c r="I2" s="51" t="s">
        <v>19</v>
      </c>
      <c r="J2" s="63" t="s">
        <v>18</v>
      </c>
      <c r="K2" s="62" t="s">
        <v>19</v>
      </c>
      <c r="L2" s="64" t="s">
        <v>20</v>
      </c>
      <c r="M2" s="63" t="s">
        <v>18</v>
      </c>
      <c r="N2" s="62" t="s">
        <v>19</v>
      </c>
      <c r="O2" s="64" t="s">
        <v>20</v>
      </c>
      <c r="P2" s="63" t="s">
        <v>18</v>
      </c>
      <c r="Q2" s="62" t="s">
        <v>19</v>
      </c>
      <c r="R2" s="64" t="s">
        <v>20</v>
      </c>
      <c r="S2" s="62" t="s">
        <v>21</v>
      </c>
      <c r="T2" s="62" t="s">
        <v>19</v>
      </c>
      <c r="U2" s="62" t="s">
        <v>22</v>
      </c>
      <c r="V2" s="29" t="s">
        <v>19</v>
      </c>
      <c r="W2" s="63" t="s">
        <v>18</v>
      </c>
      <c r="X2" s="62" t="s">
        <v>19</v>
      </c>
      <c r="Y2" s="62" t="s">
        <v>20</v>
      </c>
      <c r="Z2" s="51" t="s">
        <v>19</v>
      </c>
      <c r="AA2" s="63" t="s">
        <v>19</v>
      </c>
      <c r="AB2" s="60" t="s">
        <v>18</v>
      </c>
      <c r="AC2" s="61" t="s">
        <v>19</v>
      </c>
      <c r="AD2" s="59" t="s">
        <v>20</v>
      </c>
      <c r="AE2" s="65" t="s">
        <v>29</v>
      </c>
    </row>
    <row r="3" spans="1:31" x14ac:dyDescent="0.3">
      <c r="A3" s="24">
        <v>2015</v>
      </c>
      <c r="B3" s="122"/>
      <c r="C3" s="125"/>
      <c r="D3" s="125"/>
      <c r="E3" s="122"/>
      <c r="F3" s="125"/>
      <c r="G3" s="125"/>
      <c r="H3" s="131"/>
      <c r="I3" s="131"/>
      <c r="J3" s="122"/>
      <c r="K3" s="125"/>
      <c r="L3" s="126"/>
      <c r="M3" s="122"/>
      <c r="N3" s="125"/>
      <c r="O3" s="125"/>
      <c r="P3" s="122"/>
      <c r="Q3" s="125"/>
      <c r="R3" s="126"/>
      <c r="S3" s="122"/>
      <c r="T3" s="125"/>
      <c r="U3" s="126"/>
      <c r="V3" s="122"/>
      <c r="W3" s="122"/>
      <c r="X3" s="125"/>
      <c r="Y3" s="126"/>
      <c r="Z3" s="126">
        <v>59.505110559999999</v>
      </c>
      <c r="AA3" s="131">
        <v>65.290299200000007</v>
      </c>
      <c r="AB3" s="122">
        <v>49.377272999999995</v>
      </c>
      <c r="AC3" s="125">
        <v>74.806634000000017</v>
      </c>
      <c r="AD3" s="126">
        <v>140.88813800000003</v>
      </c>
      <c r="AE3" s="131">
        <v>76.722266441544846</v>
      </c>
    </row>
    <row r="4" spans="1:31" x14ac:dyDescent="0.3">
      <c r="A4" s="24">
        <v>2016</v>
      </c>
      <c r="B4" s="123"/>
      <c r="C4" s="127"/>
      <c r="D4" s="127"/>
      <c r="E4" s="123"/>
      <c r="F4" s="127"/>
      <c r="G4" s="127"/>
      <c r="H4" s="132"/>
      <c r="I4" s="132"/>
      <c r="J4" s="123"/>
      <c r="K4" s="127"/>
      <c r="L4" s="128"/>
      <c r="M4" s="123"/>
      <c r="N4" s="127"/>
      <c r="O4" s="127"/>
      <c r="P4" s="123"/>
      <c r="Q4" s="127"/>
      <c r="R4" s="128"/>
      <c r="S4" s="123"/>
      <c r="T4" s="127"/>
      <c r="U4" s="128"/>
      <c r="V4" s="123"/>
      <c r="W4" s="123"/>
      <c r="X4" s="127"/>
      <c r="Y4" s="128"/>
      <c r="Z4" s="128"/>
      <c r="AA4" s="132"/>
      <c r="AB4" s="123">
        <v>44.136839000000002</v>
      </c>
      <c r="AC4" s="127">
        <v>69.281920000000014</v>
      </c>
      <c r="AD4" s="128">
        <v>118.04459199999999</v>
      </c>
      <c r="AE4" s="132">
        <v>66.464924612881845</v>
      </c>
    </row>
    <row r="5" spans="1:31" x14ac:dyDescent="0.3">
      <c r="A5" s="24">
        <v>2017</v>
      </c>
      <c r="B5" s="123"/>
      <c r="C5" s="127"/>
      <c r="D5" s="127"/>
      <c r="E5" s="123"/>
      <c r="F5" s="127"/>
      <c r="G5" s="127"/>
      <c r="H5" s="132"/>
      <c r="I5" s="132"/>
      <c r="J5" s="123"/>
      <c r="K5" s="127"/>
      <c r="L5" s="128"/>
      <c r="M5" s="123"/>
      <c r="N5" s="127"/>
      <c r="O5" s="127"/>
      <c r="P5" s="123"/>
      <c r="Q5" s="127"/>
      <c r="R5" s="128"/>
      <c r="S5" s="123"/>
      <c r="T5" s="127"/>
      <c r="U5" s="128"/>
      <c r="V5" s="123"/>
      <c r="W5" s="123"/>
      <c r="X5" s="127"/>
      <c r="Y5" s="128"/>
      <c r="Z5" s="128"/>
      <c r="AA5" s="132"/>
      <c r="AB5" s="123">
        <v>39.581664000000004</v>
      </c>
      <c r="AC5" s="127">
        <v>65.026989999999998</v>
      </c>
      <c r="AD5" s="128">
        <v>118.332992</v>
      </c>
      <c r="AE5" s="132">
        <v>58.912242608881655</v>
      </c>
    </row>
    <row r="6" spans="1:31" x14ac:dyDescent="0.3">
      <c r="A6" s="24">
        <v>2018</v>
      </c>
      <c r="B6" s="123"/>
      <c r="C6" s="127"/>
      <c r="D6" s="127"/>
      <c r="E6" s="123"/>
      <c r="F6" s="127"/>
      <c r="G6" s="127"/>
      <c r="H6" s="132"/>
      <c r="I6" s="132"/>
      <c r="J6" s="123"/>
      <c r="K6" s="127"/>
      <c r="L6" s="128"/>
      <c r="M6" s="123"/>
      <c r="N6" s="127"/>
      <c r="O6" s="127"/>
      <c r="P6" s="123"/>
      <c r="Q6" s="127"/>
      <c r="R6" s="128"/>
      <c r="S6" s="123"/>
      <c r="T6" s="127"/>
      <c r="U6" s="128"/>
      <c r="V6" s="123"/>
      <c r="W6" s="123"/>
      <c r="X6" s="127"/>
      <c r="Y6" s="128"/>
      <c r="Z6" s="128"/>
      <c r="AA6" s="132"/>
      <c r="AB6" s="123">
        <v>34.479558999999995</v>
      </c>
      <c r="AC6" s="127">
        <v>55.184413000000006</v>
      </c>
      <c r="AD6" s="128">
        <v>94.482517999999999</v>
      </c>
      <c r="AE6" s="132">
        <v>59.55047514819843</v>
      </c>
    </row>
    <row r="7" spans="1:31" x14ac:dyDescent="0.3">
      <c r="A7" s="24">
        <v>2019</v>
      </c>
      <c r="B7" s="123"/>
      <c r="C7" s="127"/>
      <c r="D7" s="127"/>
      <c r="E7" s="123"/>
      <c r="F7" s="127"/>
      <c r="G7" s="127"/>
      <c r="H7" s="132"/>
      <c r="I7" s="132">
        <v>43.015552160000006</v>
      </c>
      <c r="J7" s="123"/>
      <c r="K7" s="127"/>
      <c r="L7" s="128"/>
      <c r="M7" s="123"/>
      <c r="N7" s="127"/>
      <c r="O7" s="127"/>
      <c r="P7" s="123"/>
      <c r="Q7" s="127"/>
      <c r="R7" s="128"/>
      <c r="S7" s="123"/>
      <c r="T7" s="127"/>
      <c r="U7" s="128"/>
      <c r="V7" s="123"/>
      <c r="W7" s="123"/>
      <c r="X7" s="127"/>
      <c r="Y7" s="128"/>
      <c r="Z7" s="128"/>
      <c r="AA7" s="132"/>
      <c r="AB7" s="123">
        <v>32.757193000000001</v>
      </c>
      <c r="AC7" s="127">
        <v>48.348303000000001</v>
      </c>
      <c r="AD7" s="128">
        <v>101.004169</v>
      </c>
      <c r="AE7" s="132">
        <v>61.657726137900504</v>
      </c>
    </row>
    <row r="8" spans="1:31" x14ac:dyDescent="0.3">
      <c r="A8" s="24">
        <v>2020</v>
      </c>
      <c r="B8" s="123"/>
      <c r="C8" s="127"/>
      <c r="D8" s="127"/>
      <c r="E8" s="123">
        <v>30.850560000000002</v>
      </c>
      <c r="F8" s="127">
        <v>62.064042560000004</v>
      </c>
      <c r="G8" s="127">
        <v>83.47797328</v>
      </c>
      <c r="H8" s="132">
        <v>55.702399999999997</v>
      </c>
      <c r="I8" s="132"/>
      <c r="J8" s="123"/>
      <c r="K8" s="127"/>
      <c r="L8" s="128"/>
      <c r="M8" s="123"/>
      <c r="N8" s="127"/>
      <c r="O8" s="127"/>
      <c r="P8" s="123">
        <v>84.470299999999995</v>
      </c>
      <c r="Q8" s="127">
        <v>97.535849999999996</v>
      </c>
      <c r="R8" s="128">
        <v>110.6014</v>
      </c>
      <c r="S8" s="123">
        <v>57.191367999999997</v>
      </c>
      <c r="T8" s="127">
        <v>47.196762999999997</v>
      </c>
      <c r="U8" s="128">
        <v>39.97842</v>
      </c>
      <c r="V8" s="127">
        <v>26.2423715375553</v>
      </c>
      <c r="W8" s="123"/>
      <c r="X8" s="127"/>
      <c r="Y8" s="128"/>
      <c r="Z8" s="128">
        <v>43.595697600000008</v>
      </c>
      <c r="AA8" s="132">
        <v>42.769258560000004</v>
      </c>
      <c r="AB8" s="123">
        <v>26.713152999999998</v>
      </c>
      <c r="AC8" s="127">
        <v>42.363179000000002</v>
      </c>
      <c r="AD8" s="128">
        <v>85.916317000000006</v>
      </c>
      <c r="AE8" s="132">
        <v>45.731688595997745</v>
      </c>
    </row>
    <row r="9" spans="1:31" x14ac:dyDescent="0.3">
      <c r="A9" s="24">
        <v>2021</v>
      </c>
      <c r="B9" s="123">
        <v>26.703586402081246</v>
      </c>
      <c r="C9" s="127">
        <v>35.940661437031821</v>
      </c>
      <c r="D9" s="127">
        <v>68.019574067306564</v>
      </c>
      <c r="E9" s="123"/>
      <c r="F9" s="127"/>
      <c r="G9" s="127"/>
      <c r="H9" s="132">
        <v>54.7740273808</v>
      </c>
      <c r="I9" s="132"/>
      <c r="J9" s="123"/>
      <c r="K9" s="127"/>
      <c r="L9" s="128"/>
      <c r="M9" s="123"/>
      <c r="N9" s="127"/>
      <c r="O9" s="127"/>
      <c r="P9" s="123"/>
      <c r="Q9" s="127"/>
      <c r="R9" s="128"/>
      <c r="S9" s="123"/>
      <c r="T9" s="127"/>
      <c r="U9" s="128"/>
      <c r="V9" s="127"/>
      <c r="W9" s="123"/>
      <c r="X9" s="127"/>
      <c r="Y9" s="128"/>
      <c r="Z9" s="128"/>
      <c r="AA9" s="132"/>
      <c r="AB9" s="191">
        <v>21.547394000000001</v>
      </c>
      <c r="AC9" s="192">
        <v>35.866454000000004</v>
      </c>
      <c r="AD9" s="193">
        <v>69.354020000000006</v>
      </c>
      <c r="AE9" s="132">
        <v>44.679488387916606</v>
      </c>
    </row>
    <row r="10" spans="1:31" x14ac:dyDescent="0.3">
      <c r="A10" s="24">
        <v>2022</v>
      </c>
      <c r="B10" s="123">
        <v>28.544372258020026</v>
      </c>
      <c r="C10" s="127">
        <v>38.938477928520697</v>
      </c>
      <c r="D10" s="127">
        <v>75.363928932192366</v>
      </c>
      <c r="E10" s="123"/>
      <c r="F10" s="127"/>
      <c r="G10" s="127"/>
      <c r="H10" s="132">
        <v>53.845654761600002</v>
      </c>
      <c r="I10" s="132"/>
      <c r="J10" s="123">
        <v>56.65</v>
      </c>
      <c r="K10" s="127">
        <v>56.65</v>
      </c>
      <c r="L10" s="128">
        <v>61.800000000000004</v>
      </c>
      <c r="M10" s="123">
        <v>46.35</v>
      </c>
      <c r="N10" s="127">
        <v>46.35</v>
      </c>
      <c r="O10" s="127">
        <v>51.5</v>
      </c>
      <c r="P10" s="123"/>
      <c r="Q10" s="127"/>
      <c r="R10" s="128"/>
      <c r="S10" s="123"/>
      <c r="T10" s="127"/>
      <c r="U10" s="128"/>
      <c r="V10" s="127"/>
      <c r="W10" s="123">
        <v>61.800000000000004</v>
      </c>
      <c r="X10" s="127">
        <v>61.800000000000004</v>
      </c>
      <c r="Y10" s="128">
        <v>66.95</v>
      </c>
      <c r="Z10" s="128"/>
      <c r="AA10" s="132"/>
      <c r="AB10" s="191">
        <v>18.835610000000003</v>
      </c>
      <c r="AC10" s="192">
        <v>34.046959000000001</v>
      </c>
      <c r="AD10" s="193">
        <v>58.715665000000001</v>
      </c>
      <c r="AE10" s="132">
        <v>45.791127750886638</v>
      </c>
    </row>
    <row r="11" spans="1:31" x14ac:dyDescent="0.3">
      <c r="A11" s="24">
        <v>2023</v>
      </c>
      <c r="B11" s="123">
        <v>26.574446931244289</v>
      </c>
      <c r="C11" s="127">
        <v>36.711927319676285</v>
      </c>
      <c r="D11" s="127">
        <v>71.923886198525011</v>
      </c>
      <c r="E11" s="123"/>
      <c r="F11" s="127"/>
      <c r="G11" s="127"/>
      <c r="H11" s="132">
        <v>52.917282142399991</v>
      </c>
      <c r="I11" s="132"/>
      <c r="J11" s="123"/>
      <c r="K11" s="127"/>
      <c r="L11" s="128"/>
      <c r="M11" s="123"/>
      <c r="N11" s="127"/>
      <c r="O11" s="127"/>
      <c r="P11" s="123"/>
      <c r="Q11" s="127"/>
      <c r="R11" s="128"/>
      <c r="S11" s="123"/>
      <c r="T11" s="127"/>
      <c r="U11" s="128"/>
      <c r="V11" s="127"/>
      <c r="W11" s="123"/>
      <c r="X11" s="127"/>
      <c r="Y11" s="128"/>
      <c r="Z11" s="128"/>
      <c r="AA11" s="132"/>
      <c r="AB11" s="123">
        <v>20.027115772837352</v>
      </c>
      <c r="AC11" s="127">
        <v>33.555703496291407</v>
      </c>
      <c r="AD11" s="128">
        <v>73.961653283588987</v>
      </c>
      <c r="AE11" s="132"/>
    </row>
    <row r="12" spans="1:31" x14ac:dyDescent="0.3">
      <c r="A12" s="24">
        <v>2024</v>
      </c>
      <c r="B12" s="123">
        <v>23.826237115817751</v>
      </c>
      <c r="C12" s="127">
        <v>33.341287544893518</v>
      </c>
      <c r="D12" s="127">
        <v>65.923455388014403</v>
      </c>
      <c r="E12" s="123"/>
      <c r="F12" s="127"/>
      <c r="G12" s="127"/>
      <c r="H12" s="132">
        <v>51.988909523199993</v>
      </c>
      <c r="I12" s="132"/>
      <c r="J12" s="123"/>
      <c r="K12" s="127"/>
      <c r="L12" s="128"/>
      <c r="M12" s="123"/>
      <c r="N12" s="127"/>
      <c r="O12" s="127"/>
      <c r="P12" s="123"/>
      <c r="Q12" s="127"/>
      <c r="R12" s="128"/>
      <c r="S12" s="123"/>
      <c r="T12" s="127"/>
      <c r="U12" s="128"/>
      <c r="V12" s="127"/>
      <c r="W12" s="123"/>
      <c r="X12" s="127">
        <v>60.512500000000003</v>
      </c>
      <c r="Y12" s="128"/>
      <c r="Z12" s="128"/>
      <c r="AA12" s="132"/>
      <c r="AB12" s="123"/>
      <c r="AC12" s="127"/>
      <c r="AD12" s="128"/>
      <c r="AE12" s="132"/>
    </row>
    <row r="13" spans="1:31" x14ac:dyDescent="0.3">
      <c r="A13" s="24">
        <v>2025</v>
      </c>
      <c r="B13" s="123">
        <v>22.918271212594973</v>
      </c>
      <c r="C13" s="127">
        <v>32.511584797843128</v>
      </c>
      <c r="D13" s="127">
        <v>65.228562019572621</v>
      </c>
      <c r="E13" s="123"/>
      <c r="F13" s="127"/>
      <c r="G13" s="127"/>
      <c r="H13" s="132">
        <v>51.060536903999996</v>
      </c>
      <c r="I13" s="132">
        <v>39.105078880000001</v>
      </c>
      <c r="J13" s="123"/>
      <c r="K13" s="127"/>
      <c r="L13" s="128"/>
      <c r="M13" s="123"/>
      <c r="N13" s="127"/>
      <c r="O13" s="127"/>
      <c r="P13" s="123"/>
      <c r="Q13" s="127"/>
      <c r="R13" s="128"/>
      <c r="S13" s="123">
        <v>53.859833000000002</v>
      </c>
      <c r="T13" s="127">
        <v>45.531047000000001</v>
      </c>
      <c r="U13" s="128">
        <v>38.867874</v>
      </c>
      <c r="V13" s="127">
        <v>27.125701168776239</v>
      </c>
      <c r="W13" s="123"/>
      <c r="X13" s="127"/>
      <c r="Y13" s="128"/>
      <c r="Z13" s="128">
        <v>38.843557760000003</v>
      </c>
      <c r="AA13" s="132">
        <v>37.190679680000002</v>
      </c>
      <c r="AB13" s="123"/>
      <c r="AC13" s="127"/>
      <c r="AD13" s="128"/>
      <c r="AE13" s="132"/>
    </row>
    <row r="14" spans="1:31" x14ac:dyDescent="0.3">
      <c r="A14" s="24">
        <v>2026</v>
      </c>
      <c r="B14" s="123">
        <v>22.034420785912072</v>
      </c>
      <c r="C14" s="127">
        <v>31.699273070994025</v>
      </c>
      <c r="D14" s="127">
        <v>64.535562093551192</v>
      </c>
      <c r="E14" s="123"/>
      <c r="F14" s="127"/>
      <c r="G14" s="127"/>
      <c r="H14" s="132">
        <v>50.132164284799984</v>
      </c>
      <c r="I14" s="132"/>
      <c r="J14" s="123"/>
      <c r="K14" s="127"/>
      <c r="L14" s="128"/>
      <c r="M14" s="123"/>
      <c r="N14" s="127"/>
      <c r="O14" s="127"/>
      <c r="P14" s="123"/>
      <c r="Q14" s="127"/>
      <c r="R14" s="128"/>
      <c r="S14" s="123"/>
      <c r="T14" s="127"/>
      <c r="U14" s="128"/>
      <c r="V14" s="123"/>
      <c r="W14" s="123"/>
      <c r="X14" s="127">
        <v>59.225000000000001</v>
      </c>
      <c r="Y14" s="128"/>
      <c r="Z14" s="128"/>
      <c r="AA14" s="132"/>
      <c r="AB14" s="123"/>
      <c r="AC14" s="127"/>
      <c r="AD14" s="128"/>
      <c r="AE14" s="132"/>
    </row>
    <row r="15" spans="1:31" x14ac:dyDescent="0.3">
      <c r="A15" s="24">
        <v>2027</v>
      </c>
      <c r="B15" s="123">
        <v>21.173867007593035</v>
      </c>
      <c r="C15" s="127">
        <v>30.903797844242902</v>
      </c>
      <c r="D15" s="127">
        <v>63.844447881614663</v>
      </c>
      <c r="E15" s="123"/>
      <c r="F15" s="127"/>
      <c r="G15" s="127"/>
      <c r="H15" s="132">
        <v>49.203791665599987</v>
      </c>
      <c r="I15" s="132"/>
      <c r="J15" s="123"/>
      <c r="K15" s="127"/>
      <c r="L15" s="128"/>
      <c r="M15" s="123"/>
      <c r="N15" s="127"/>
      <c r="O15" s="127"/>
      <c r="P15" s="123"/>
      <c r="Q15" s="127"/>
      <c r="R15" s="128"/>
      <c r="S15" s="123"/>
      <c r="T15" s="127"/>
      <c r="U15" s="128"/>
      <c r="V15" s="123"/>
      <c r="W15" s="123"/>
      <c r="X15" s="127"/>
      <c r="Y15" s="128"/>
      <c r="Z15" s="128"/>
      <c r="AA15" s="132"/>
      <c r="AB15" s="123"/>
      <c r="AC15" s="127"/>
      <c r="AD15" s="128"/>
      <c r="AE15" s="132"/>
    </row>
    <row r="16" spans="1:31" x14ac:dyDescent="0.3">
      <c r="A16" s="24">
        <v>2028</v>
      </c>
      <c r="B16" s="123">
        <v>20.335826254512398</v>
      </c>
      <c r="C16" s="127">
        <v>30.124627735892723</v>
      </c>
      <c r="D16" s="127">
        <v>63.15521169742749</v>
      </c>
      <c r="E16" s="123"/>
      <c r="F16" s="127"/>
      <c r="G16" s="127"/>
      <c r="H16" s="132">
        <v>48.275419046399989</v>
      </c>
      <c r="I16" s="132"/>
      <c r="J16" s="123"/>
      <c r="K16" s="127"/>
      <c r="L16" s="128"/>
      <c r="M16" s="123"/>
      <c r="N16" s="127"/>
      <c r="O16" s="127"/>
      <c r="P16" s="123"/>
      <c r="Q16" s="127"/>
      <c r="R16" s="128"/>
      <c r="S16" s="123"/>
      <c r="T16" s="127"/>
      <c r="U16" s="128"/>
      <c r="V16" s="123"/>
      <c r="W16" s="123"/>
      <c r="X16" s="127"/>
      <c r="Y16" s="128"/>
      <c r="Z16" s="128"/>
      <c r="AA16" s="132"/>
      <c r="AB16" s="123"/>
      <c r="AC16" s="127"/>
      <c r="AD16" s="128"/>
      <c r="AE16" s="132"/>
    </row>
    <row r="17" spans="1:31" x14ac:dyDescent="0.3">
      <c r="A17" s="24">
        <v>2029</v>
      </c>
      <c r="B17" s="123">
        <v>19.519548260187022</v>
      </c>
      <c r="C17" s="127">
        <v>29.361253311871263</v>
      </c>
      <c r="D17" s="127">
        <v>62.467845896372907</v>
      </c>
      <c r="E17" s="123"/>
      <c r="F17" s="127"/>
      <c r="G17" s="127"/>
      <c r="H17" s="132">
        <v>47.347046427199977</v>
      </c>
      <c r="I17" s="132"/>
      <c r="J17" s="123"/>
      <c r="K17" s="127"/>
      <c r="L17" s="128"/>
      <c r="M17" s="123"/>
      <c r="N17" s="127"/>
      <c r="O17" s="127"/>
      <c r="P17" s="123"/>
      <c r="Q17" s="127"/>
      <c r="R17" s="128"/>
      <c r="S17" s="123"/>
      <c r="T17" s="127"/>
      <c r="U17" s="128"/>
      <c r="V17" s="123"/>
      <c r="W17" s="123"/>
      <c r="X17" s="127"/>
      <c r="Y17" s="128"/>
      <c r="Z17" s="128"/>
      <c r="AA17" s="132"/>
      <c r="AB17" s="123"/>
      <c r="AC17" s="127"/>
      <c r="AD17" s="128"/>
      <c r="AE17" s="132"/>
    </row>
    <row r="18" spans="1:31" x14ac:dyDescent="0.3">
      <c r="A18" s="24">
        <v>2030</v>
      </c>
      <c r="B18" s="123">
        <v>18.724314381140427</v>
      </c>
      <c r="C18" s="127">
        <v>28.613185967792813</v>
      </c>
      <c r="D18" s="127">
        <v>61.782342875266465</v>
      </c>
      <c r="E18" s="123">
        <v>21.413930720000003</v>
      </c>
      <c r="F18" s="127">
        <v>53.716288079999998</v>
      </c>
      <c r="G18" s="127">
        <v>76.582016160000009</v>
      </c>
      <c r="H18" s="132">
        <v>46.41867380799998</v>
      </c>
      <c r="I18" s="132"/>
      <c r="J18" s="123">
        <v>46.35</v>
      </c>
      <c r="K18" s="127">
        <v>46.35</v>
      </c>
      <c r="L18" s="128">
        <v>51.5</v>
      </c>
      <c r="M18" s="123">
        <v>41.2</v>
      </c>
      <c r="N18" s="127">
        <v>41.2</v>
      </c>
      <c r="O18" s="127">
        <v>51.5</v>
      </c>
      <c r="P18" s="123"/>
      <c r="Q18" s="127"/>
      <c r="R18" s="128"/>
      <c r="S18" s="123">
        <v>52.749287000000002</v>
      </c>
      <c r="T18" s="127">
        <v>42.199511999999999</v>
      </c>
      <c r="U18" s="128">
        <v>33.870622999999995</v>
      </c>
      <c r="V18" s="123">
        <v>24.378010731392585</v>
      </c>
      <c r="W18" s="123">
        <v>56.65</v>
      </c>
      <c r="X18" s="127">
        <v>56.65</v>
      </c>
      <c r="Y18" s="128">
        <v>66.95</v>
      </c>
      <c r="Z18" s="128">
        <v>35.331191840000002</v>
      </c>
      <c r="AA18" s="132">
        <v>33.884808160000006</v>
      </c>
      <c r="AB18" s="123"/>
      <c r="AC18" s="127"/>
      <c r="AD18" s="128"/>
      <c r="AE18" s="132"/>
    </row>
    <row r="19" spans="1:31" x14ac:dyDescent="0.3">
      <c r="A19" s="24">
        <v>2031</v>
      </c>
      <c r="B19" s="123">
        <v>18.467680963482596</v>
      </c>
      <c r="C19" s="127">
        <v>28.328832805211892</v>
      </c>
      <c r="D19" s="127">
        <v>61.34536238987296</v>
      </c>
      <c r="E19" s="123"/>
      <c r="F19" s="127"/>
      <c r="G19" s="127"/>
      <c r="H19" s="132">
        <v>45.490301188799975</v>
      </c>
      <c r="I19" s="132"/>
      <c r="J19" s="123"/>
      <c r="K19" s="127"/>
      <c r="L19" s="128"/>
      <c r="M19" s="123"/>
      <c r="N19" s="127"/>
      <c r="O19" s="127"/>
      <c r="P19" s="123"/>
      <c r="Q19" s="127"/>
      <c r="R19" s="128"/>
      <c r="S19" s="123"/>
      <c r="T19" s="127"/>
      <c r="U19" s="128"/>
      <c r="V19" s="123"/>
      <c r="W19" s="123"/>
      <c r="X19" s="127"/>
      <c r="Y19" s="128"/>
      <c r="Z19" s="128"/>
      <c r="AA19" s="132"/>
      <c r="AB19" s="123"/>
      <c r="AC19" s="127"/>
      <c r="AD19" s="128"/>
      <c r="AE19" s="132"/>
    </row>
    <row r="20" spans="1:31" x14ac:dyDescent="0.3">
      <c r="A20" s="24">
        <v>2032</v>
      </c>
      <c r="B20" s="123">
        <v>18.211484257803914</v>
      </c>
      <c r="C20" s="127">
        <v>28.044956672398762</v>
      </c>
      <c r="D20" s="127">
        <v>60.90944511733958</v>
      </c>
      <c r="E20" s="123"/>
      <c r="F20" s="127"/>
      <c r="G20" s="127"/>
      <c r="H20" s="132">
        <v>44.561928569599971</v>
      </c>
      <c r="I20" s="132"/>
      <c r="J20" s="123"/>
      <c r="K20" s="127"/>
      <c r="L20" s="128"/>
      <c r="M20" s="123"/>
      <c r="N20" s="127"/>
      <c r="O20" s="127"/>
      <c r="P20" s="123"/>
      <c r="Q20" s="127"/>
      <c r="R20" s="128"/>
      <c r="S20" s="123"/>
      <c r="T20" s="127"/>
      <c r="U20" s="128"/>
      <c r="V20" s="123"/>
      <c r="W20" s="123"/>
      <c r="X20" s="127"/>
      <c r="Y20" s="128"/>
      <c r="Z20" s="128"/>
      <c r="AA20" s="132"/>
      <c r="AB20" s="123"/>
      <c r="AC20" s="127"/>
      <c r="AD20" s="128"/>
      <c r="AE20" s="132"/>
    </row>
    <row r="21" spans="1:31" x14ac:dyDescent="0.3">
      <c r="A21" s="24">
        <v>2033</v>
      </c>
      <c r="B21" s="123">
        <v>17.955723333238574</v>
      </c>
      <c r="C21" s="127">
        <v>27.761556254003022</v>
      </c>
      <c r="D21" s="127">
        <v>60.474587182041944</v>
      </c>
      <c r="E21" s="123"/>
      <c r="F21" s="127"/>
      <c r="G21" s="127"/>
      <c r="H21" s="132">
        <v>43.633555950399973</v>
      </c>
      <c r="I21" s="132"/>
      <c r="J21" s="123"/>
      <c r="K21" s="127"/>
      <c r="L21" s="128"/>
      <c r="M21" s="123"/>
      <c r="N21" s="127"/>
      <c r="O21" s="127"/>
      <c r="P21" s="123"/>
      <c r="Q21" s="127"/>
      <c r="R21" s="128"/>
      <c r="S21" s="123"/>
      <c r="T21" s="127"/>
      <c r="U21" s="128"/>
      <c r="V21" s="123"/>
      <c r="W21" s="123"/>
      <c r="X21" s="127"/>
      <c r="Y21" s="128"/>
      <c r="Z21" s="128"/>
      <c r="AA21" s="132"/>
      <c r="AB21" s="123"/>
      <c r="AC21" s="127"/>
      <c r="AD21" s="128"/>
      <c r="AE21" s="132"/>
    </row>
    <row r="22" spans="1:31" x14ac:dyDescent="0.3">
      <c r="A22" s="24">
        <v>2034</v>
      </c>
      <c r="B22" s="123">
        <v>17.700397261455059</v>
      </c>
      <c r="C22" s="127">
        <v>27.478630239762481</v>
      </c>
      <c r="D22" s="127">
        <v>60.040784727169303</v>
      </c>
      <c r="E22" s="123"/>
      <c r="F22" s="127"/>
      <c r="G22" s="127"/>
      <c r="H22" s="132">
        <v>42.705183331199969</v>
      </c>
      <c r="I22" s="132"/>
      <c r="J22" s="123"/>
      <c r="K22" s="127"/>
      <c r="L22" s="128"/>
      <c r="M22" s="123"/>
      <c r="N22" s="127"/>
      <c r="O22" s="127"/>
      <c r="P22" s="123"/>
      <c r="Q22" s="127"/>
      <c r="R22" s="128"/>
      <c r="S22" s="123"/>
      <c r="T22" s="127"/>
      <c r="U22" s="128"/>
      <c r="V22" s="123"/>
      <c r="W22" s="123"/>
      <c r="X22" s="127"/>
      <c r="Y22" s="128"/>
      <c r="Z22" s="128"/>
      <c r="AA22" s="132"/>
      <c r="AB22" s="123"/>
      <c r="AC22" s="127"/>
      <c r="AD22" s="128"/>
      <c r="AE22" s="132"/>
    </row>
    <row r="23" spans="1:31" x14ac:dyDescent="0.3">
      <c r="A23" s="24">
        <v>2035</v>
      </c>
      <c r="B23" s="123">
        <v>17.445505116648256</v>
      </c>
      <c r="C23" s="127">
        <v>27.196177324477535</v>
      </c>
      <c r="D23" s="127">
        <v>59.608033914611774</v>
      </c>
      <c r="E23" s="123"/>
      <c r="F23" s="127"/>
      <c r="G23" s="127"/>
      <c r="H23" s="132">
        <v>41.776810711999964</v>
      </c>
      <c r="I23" s="132">
        <v>33.239368960000007</v>
      </c>
      <c r="J23" s="123"/>
      <c r="K23" s="127"/>
      <c r="L23" s="128"/>
      <c r="M23" s="123"/>
      <c r="N23" s="127"/>
      <c r="O23" s="127"/>
      <c r="P23" s="123"/>
      <c r="Q23" s="127"/>
      <c r="R23" s="128"/>
      <c r="S23" s="123">
        <v>48.307309000000004</v>
      </c>
      <c r="T23" s="127">
        <v>40.533693</v>
      </c>
      <c r="U23" s="128">
        <v>34.981169000000001</v>
      </c>
      <c r="V23" s="123"/>
      <c r="W23" s="123"/>
      <c r="X23" s="127"/>
      <c r="Y23" s="128"/>
      <c r="Z23" s="128">
        <v>32.438539840000004</v>
      </c>
      <c r="AA23" s="132">
        <v>31.612100800000004</v>
      </c>
      <c r="AB23" s="123"/>
      <c r="AC23" s="127"/>
      <c r="AD23" s="128"/>
      <c r="AE23" s="132"/>
    </row>
    <row r="24" spans="1:31" x14ac:dyDescent="0.3">
      <c r="A24" s="24">
        <v>2036</v>
      </c>
      <c r="B24" s="123">
        <v>17.191045975530528</v>
      </c>
      <c r="C24" s="127">
        <v>26.914196207985018</v>
      </c>
      <c r="D24" s="127">
        <v>59.176330924844919</v>
      </c>
      <c r="E24" s="123"/>
      <c r="F24" s="127"/>
      <c r="G24" s="127"/>
      <c r="H24" s="132">
        <v>40.848438092799967</v>
      </c>
      <c r="I24" s="132"/>
      <c r="J24" s="123"/>
      <c r="K24" s="127"/>
      <c r="L24" s="128"/>
      <c r="M24" s="123"/>
      <c r="N24" s="127"/>
      <c r="O24" s="127"/>
      <c r="P24" s="123"/>
      <c r="Q24" s="127"/>
      <c r="R24" s="128"/>
      <c r="S24" s="123"/>
      <c r="T24" s="127"/>
      <c r="U24" s="128"/>
      <c r="V24" s="123"/>
      <c r="W24" s="123"/>
      <c r="X24" s="127"/>
      <c r="Y24" s="128"/>
      <c r="Z24" s="128"/>
      <c r="AA24" s="132"/>
      <c r="AB24" s="123"/>
      <c r="AC24" s="127"/>
      <c r="AD24" s="128"/>
      <c r="AE24" s="132"/>
    </row>
    <row r="25" spans="1:31" x14ac:dyDescent="0.3">
      <c r="A25" s="24">
        <v>2037</v>
      </c>
      <c r="B25" s="123">
        <v>16.937018917323499</v>
      </c>
      <c r="C25" s="127">
        <v>26.632685595132379</v>
      </c>
      <c r="D25" s="127">
        <v>58.745671956819237</v>
      </c>
      <c r="E25" s="123"/>
      <c r="F25" s="127"/>
      <c r="G25" s="127"/>
      <c r="H25" s="132">
        <v>39.920065473599962</v>
      </c>
      <c r="I25" s="132"/>
      <c r="J25" s="123"/>
      <c r="K25" s="127"/>
      <c r="L25" s="128"/>
      <c r="M25" s="123"/>
      <c r="N25" s="127"/>
      <c r="O25" s="127"/>
      <c r="P25" s="123"/>
      <c r="Q25" s="127"/>
      <c r="R25" s="128"/>
      <c r="S25" s="123"/>
      <c r="T25" s="127"/>
      <c r="U25" s="128"/>
      <c r="V25" s="123"/>
      <c r="W25" s="123"/>
      <c r="X25" s="127"/>
      <c r="Y25" s="128"/>
      <c r="Z25" s="128"/>
      <c r="AA25" s="132"/>
      <c r="AB25" s="123"/>
      <c r="AC25" s="127"/>
      <c r="AD25" s="128"/>
      <c r="AE25" s="132"/>
    </row>
    <row r="26" spans="1:31" x14ac:dyDescent="0.3">
      <c r="A26" s="24">
        <v>2038</v>
      </c>
      <c r="B26" s="123">
        <v>16.683423023749572</v>
      </c>
      <c r="C26" s="127">
        <v>26.351644195752154</v>
      </c>
      <c r="D26" s="127">
        <v>58.316053227846069</v>
      </c>
      <c r="E26" s="123"/>
      <c r="F26" s="127"/>
      <c r="G26" s="127"/>
      <c r="H26" s="132">
        <v>38.991692854399965</v>
      </c>
      <c r="I26" s="132"/>
      <c r="J26" s="123"/>
      <c r="K26" s="127"/>
      <c r="L26" s="128"/>
      <c r="M26" s="123"/>
      <c r="N26" s="127"/>
      <c r="O26" s="127"/>
      <c r="P26" s="123"/>
      <c r="Q26" s="127"/>
      <c r="R26" s="128"/>
      <c r="S26" s="123"/>
      <c r="T26" s="127"/>
      <c r="U26" s="128"/>
      <c r="V26" s="123"/>
      <c r="W26" s="123"/>
      <c r="X26" s="127"/>
      <c r="Y26" s="128"/>
      <c r="Z26" s="128"/>
      <c r="AA26" s="132"/>
      <c r="AB26" s="123"/>
      <c r="AC26" s="127"/>
      <c r="AD26" s="128"/>
      <c r="AE26" s="132"/>
    </row>
    <row r="27" spans="1:31" x14ac:dyDescent="0.3">
      <c r="A27" s="24">
        <v>2039</v>
      </c>
      <c r="B27" s="123">
        <v>16.430257379023505</v>
      </c>
      <c r="C27" s="127">
        <v>26.071070724636357</v>
      </c>
      <c r="D27" s="127">
        <v>57.887470973490601</v>
      </c>
      <c r="E27" s="123"/>
      <c r="F27" s="127"/>
      <c r="G27" s="127"/>
      <c r="H27" s="132">
        <v>38.06332023519996</v>
      </c>
      <c r="I27" s="132"/>
      <c r="J27" s="123"/>
      <c r="K27" s="127"/>
      <c r="L27" s="128"/>
      <c r="M27" s="123"/>
      <c r="N27" s="127"/>
      <c r="O27" s="127"/>
      <c r="P27" s="123"/>
      <c r="Q27" s="127"/>
      <c r="R27" s="128"/>
      <c r="S27" s="123"/>
      <c r="T27" s="127"/>
      <c r="U27" s="128"/>
      <c r="V27" s="123"/>
      <c r="W27" s="123"/>
      <c r="X27" s="127"/>
      <c r="Y27" s="128"/>
      <c r="Z27" s="128"/>
      <c r="AA27" s="132"/>
      <c r="AB27" s="123"/>
      <c r="AC27" s="127"/>
      <c r="AD27" s="128"/>
      <c r="AE27" s="132"/>
    </row>
    <row r="28" spans="1:31" x14ac:dyDescent="0.3">
      <c r="A28" s="24">
        <v>2040</v>
      </c>
      <c r="B28" s="123">
        <v>16.177521069844122</v>
      </c>
      <c r="C28" s="127">
        <v>25.790963901511258</v>
      </c>
      <c r="D28" s="127">
        <v>57.459921447458925</v>
      </c>
      <c r="E28" s="123"/>
      <c r="F28" s="127"/>
      <c r="G28" s="127"/>
      <c r="H28" s="132">
        <v>37.134947615999955</v>
      </c>
      <c r="I28" s="132"/>
      <c r="J28" s="123"/>
      <c r="K28" s="127"/>
      <c r="L28" s="128"/>
      <c r="M28" s="123"/>
      <c r="N28" s="127"/>
      <c r="O28" s="127"/>
      <c r="P28" s="123"/>
      <c r="Q28" s="127"/>
      <c r="R28" s="128"/>
      <c r="S28" s="123">
        <v>49.973025</v>
      </c>
      <c r="T28" s="127">
        <v>39.97842</v>
      </c>
      <c r="U28" s="128">
        <v>34.425896000000002</v>
      </c>
      <c r="V28" s="123">
        <v>22.944056320170628</v>
      </c>
      <c r="W28" s="123"/>
      <c r="X28" s="127"/>
      <c r="Y28" s="128"/>
      <c r="Z28" s="128">
        <v>30.579052000000001</v>
      </c>
      <c r="AA28" s="132">
        <v>29.545887840000002</v>
      </c>
      <c r="AB28" s="123"/>
      <c r="AC28" s="127"/>
      <c r="AD28" s="128"/>
      <c r="AE28" s="132"/>
    </row>
    <row r="29" spans="1:31" x14ac:dyDescent="0.3">
      <c r="A29" s="24">
        <v>2041</v>
      </c>
      <c r="B29" s="123">
        <v>15.925213185385882</v>
      </c>
      <c r="C29" s="127">
        <v>25.511322451012305</v>
      </c>
      <c r="D29" s="127">
        <v>57.0334009214899</v>
      </c>
      <c r="E29" s="123"/>
      <c r="F29" s="127"/>
      <c r="G29" s="127"/>
      <c r="H29" s="132">
        <v>36.206574996799958</v>
      </c>
      <c r="I29" s="132"/>
      <c r="J29" s="123"/>
      <c r="K29" s="127"/>
      <c r="L29" s="128"/>
      <c r="M29" s="123"/>
      <c r="N29" s="127"/>
      <c r="O29" s="127"/>
      <c r="P29" s="123"/>
      <c r="Q29" s="127"/>
      <c r="R29" s="128"/>
      <c r="S29" s="123"/>
      <c r="T29" s="127"/>
      <c r="U29" s="128"/>
      <c r="V29" s="123"/>
      <c r="W29" s="123"/>
      <c r="X29" s="127"/>
      <c r="Y29" s="128"/>
      <c r="Z29" s="128"/>
      <c r="AA29" s="132"/>
      <c r="AB29" s="123"/>
      <c r="AC29" s="127"/>
      <c r="AD29" s="128"/>
      <c r="AE29" s="132"/>
    </row>
    <row r="30" spans="1:31" x14ac:dyDescent="0.3">
      <c r="A30" s="24">
        <v>2042</v>
      </c>
      <c r="B30" s="123">
        <v>15.67333281729073</v>
      </c>
      <c r="C30" s="127">
        <v>25.232145102658919</v>
      </c>
      <c r="D30" s="127">
        <v>56.607905685247069</v>
      </c>
      <c r="E30" s="123"/>
      <c r="F30" s="127"/>
      <c r="G30" s="127"/>
      <c r="H30" s="132">
        <v>35.278202377599946</v>
      </c>
      <c r="I30" s="132"/>
      <c r="J30" s="123"/>
      <c r="K30" s="127"/>
      <c r="L30" s="128"/>
      <c r="M30" s="123"/>
      <c r="N30" s="127"/>
      <c r="O30" s="127"/>
      <c r="P30" s="123"/>
      <c r="Q30" s="127"/>
      <c r="R30" s="128"/>
      <c r="S30" s="123"/>
      <c r="T30" s="127"/>
      <c r="U30" s="128"/>
      <c r="V30" s="123"/>
      <c r="W30" s="123"/>
      <c r="X30" s="127"/>
      <c r="Y30" s="128"/>
      <c r="Z30" s="128"/>
      <c r="AA30" s="132"/>
      <c r="AB30" s="123"/>
      <c r="AC30" s="127"/>
      <c r="AD30" s="128"/>
      <c r="AE30" s="132"/>
    </row>
    <row r="31" spans="1:31" x14ac:dyDescent="0.3">
      <c r="A31" s="24">
        <v>2043</v>
      </c>
      <c r="B31" s="123">
        <v>15.42187905965972</v>
      </c>
      <c r="C31" s="127">
        <v>24.953430590829957</v>
      </c>
      <c r="D31" s="127">
        <v>56.183432046209738</v>
      </c>
      <c r="E31" s="123"/>
      <c r="F31" s="127"/>
      <c r="G31" s="127"/>
      <c r="H31" s="132">
        <v>34.349829758399949</v>
      </c>
      <c r="I31" s="132"/>
      <c r="J31" s="123"/>
      <c r="K31" s="127"/>
      <c r="L31" s="128"/>
      <c r="M31" s="123"/>
      <c r="N31" s="127"/>
      <c r="O31" s="127"/>
      <c r="P31" s="123"/>
      <c r="Q31" s="127"/>
      <c r="R31" s="128"/>
      <c r="S31" s="123"/>
      <c r="T31" s="127"/>
      <c r="U31" s="128"/>
      <c r="V31" s="123"/>
      <c r="W31" s="123"/>
      <c r="X31" s="127"/>
      <c r="Y31" s="128"/>
      <c r="Z31" s="128"/>
      <c r="AA31" s="132"/>
      <c r="AB31" s="123"/>
      <c r="AC31" s="127"/>
      <c r="AD31" s="128"/>
      <c r="AE31" s="132"/>
    </row>
    <row r="32" spans="1:31" x14ac:dyDescent="0.3">
      <c r="A32" s="24">
        <v>2044</v>
      </c>
      <c r="B32" s="123">
        <v>15.170851009044931</v>
      </c>
      <c r="C32" s="127">
        <v>24.675177654738803</v>
      </c>
      <c r="D32" s="127">
        <v>55.759976329568246</v>
      </c>
      <c r="E32" s="123"/>
      <c r="F32" s="127"/>
      <c r="G32" s="127"/>
      <c r="H32" s="132">
        <v>33.421457139199951</v>
      </c>
      <c r="I32" s="132"/>
      <c r="J32" s="123"/>
      <c r="K32" s="127"/>
      <c r="L32" s="128"/>
      <c r="M32" s="123"/>
      <c r="N32" s="127"/>
      <c r="O32" s="127"/>
      <c r="P32" s="123"/>
      <c r="Q32" s="127"/>
      <c r="R32" s="128"/>
      <c r="S32" s="123"/>
      <c r="T32" s="127"/>
      <c r="U32" s="128"/>
      <c r="V32" s="123"/>
      <c r="W32" s="123"/>
      <c r="X32" s="127"/>
      <c r="Y32" s="128"/>
      <c r="Z32" s="128"/>
      <c r="AA32" s="132"/>
      <c r="AB32" s="123"/>
      <c r="AC32" s="127"/>
      <c r="AD32" s="128"/>
      <c r="AE32" s="132"/>
    </row>
    <row r="33" spans="1:31" x14ac:dyDescent="0.3">
      <c r="A33" s="24">
        <v>2045</v>
      </c>
      <c r="B33" s="123">
        <v>14.920247764441131</v>
      </c>
      <c r="C33" s="127">
        <v>24.397385038409066</v>
      </c>
      <c r="D33" s="127">
        <v>55.337534878116294</v>
      </c>
      <c r="E33" s="123"/>
      <c r="F33" s="127"/>
      <c r="G33" s="127"/>
      <c r="H33" s="132">
        <v>32.493084519999954</v>
      </c>
      <c r="I33" s="132"/>
      <c r="J33" s="123"/>
      <c r="K33" s="127"/>
      <c r="L33" s="128"/>
      <c r="M33" s="123"/>
      <c r="N33" s="127"/>
      <c r="O33" s="127"/>
      <c r="P33" s="123"/>
      <c r="Q33" s="127"/>
      <c r="R33" s="128"/>
      <c r="S33" s="123">
        <v>44.420501000000002</v>
      </c>
      <c r="T33" s="127">
        <v>36.646885000000005</v>
      </c>
      <c r="U33" s="128">
        <v>32.760077000000003</v>
      </c>
      <c r="V33" s="123"/>
      <c r="W33" s="123"/>
      <c r="X33" s="127"/>
      <c r="Y33" s="128"/>
      <c r="Z33" s="128"/>
      <c r="AA33" s="132"/>
      <c r="AB33" s="123"/>
      <c r="AC33" s="127"/>
      <c r="AD33" s="128"/>
      <c r="AE33" s="132"/>
    </row>
    <row r="34" spans="1:31" x14ac:dyDescent="0.3">
      <c r="A34" s="24">
        <v>2046</v>
      </c>
      <c r="B34" s="123">
        <v>14.670068427277743</v>
      </c>
      <c r="C34" s="127">
        <v>24.120051490649978</v>
      </c>
      <c r="D34" s="127">
        <v>54.916104052146316</v>
      </c>
      <c r="E34" s="123"/>
      <c r="F34" s="127"/>
      <c r="G34" s="127"/>
      <c r="H34" s="132">
        <v>31.564711900799953</v>
      </c>
      <c r="I34" s="132"/>
      <c r="J34" s="123"/>
      <c r="K34" s="127"/>
      <c r="L34" s="128"/>
      <c r="M34" s="123"/>
      <c r="N34" s="127"/>
      <c r="O34" s="127"/>
      <c r="P34" s="123"/>
      <c r="Q34" s="127"/>
      <c r="R34" s="128"/>
      <c r="S34" s="123"/>
      <c r="T34" s="127"/>
      <c r="U34" s="128"/>
      <c r="V34" s="123"/>
      <c r="W34" s="123"/>
      <c r="X34" s="127"/>
      <c r="Y34" s="128"/>
      <c r="Z34" s="128"/>
      <c r="AA34" s="132"/>
      <c r="AB34" s="123"/>
      <c r="AC34" s="127"/>
      <c r="AD34" s="128"/>
      <c r="AE34" s="132"/>
    </row>
    <row r="35" spans="1:31" x14ac:dyDescent="0.3">
      <c r="A35" s="24">
        <v>2047</v>
      </c>
      <c r="B35" s="123">
        <v>14.42031210141058</v>
      </c>
      <c r="C35" s="127">
        <v>23.843175765032406</v>
      </c>
      <c r="D35" s="127">
        <v>54.495680229344941</v>
      </c>
      <c r="E35" s="123"/>
      <c r="F35" s="127"/>
      <c r="G35" s="127"/>
      <c r="H35" s="132">
        <v>30.636339281599952</v>
      </c>
      <c r="I35" s="132"/>
      <c r="J35" s="123"/>
      <c r="K35" s="127"/>
      <c r="L35" s="128"/>
      <c r="M35" s="123"/>
      <c r="N35" s="127"/>
      <c r="O35" s="127"/>
      <c r="P35" s="123"/>
      <c r="Q35" s="127"/>
      <c r="R35" s="128"/>
      <c r="S35" s="123"/>
      <c r="T35" s="127"/>
      <c r="U35" s="128"/>
      <c r="V35" s="123"/>
      <c r="W35" s="123"/>
      <c r="X35" s="127"/>
      <c r="Y35" s="128"/>
      <c r="Z35" s="128"/>
      <c r="AA35" s="132"/>
      <c r="AB35" s="123"/>
      <c r="AC35" s="127"/>
      <c r="AD35" s="128"/>
      <c r="AE35" s="132"/>
    </row>
    <row r="36" spans="1:31" x14ac:dyDescent="0.3">
      <c r="A36" s="24">
        <v>2048</v>
      </c>
      <c r="B36" s="123">
        <v>14.170977893113921</v>
      </c>
      <c r="C36" s="127">
        <v>23.566756619864805</v>
      </c>
      <c r="D36" s="127">
        <v>54.076259804688455</v>
      </c>
      <c r="E36" s="123"/>
      <c r="F36" s="127"/>
      <c r="G36" s="127"/>
      <c r="H36" s="132">
        <v>29.707966662399958</v>
      </c>
      <c r="I36" s="132"/>
      <c r="J36" s="123"/>
      <c r="K36" s="127"/>
      <c r="L36" s="128"/>
      <c r="M36" s="123"/>
      <c r="N36" s="127"/>
      <c r="O36" s="127"/>
      <c r="P36" s="123"/>
      <c r="Q36" s="127"/>
      <c r="R36" s="128"/>
      <c r="S36" s="123"/>
      <c r="T36" s="127"/>
      <c r="U36" s="128"/>
      <c r="V36" s="123"/>
      <c r="W36" s="123"/>
      <c r="X36" s="127"/>
      <c r="Y36" s="128"/>
      <c r="Z36" s="128"/>
      <c r="AA36" s="132"/>
      <c r="AB36" s="123"/>
      <c r="AC36" s="127"/>
      <c r="AD36" s="128"/>
      <c r="AE36" s="132"/>
    </row>
    <row r="37" spans="1:31" x14ac:dyDescent="0.3">
      <c r="A37" s="24">
        <v>2049</v>
      </c>
      <c r="B37" s="123">
        <v>13.922064911072347</v>
      </c>
      <c r="C37" s="127">
        <v>23.29079281816923</v>
      </c>
      <c r="D37" s="127">
        <v>53.657839190341022</v>
      </c>
      <c r="E37" s="123"/>
      <c r="F37" s="127"/>
      <c r="G37" s="127"/>
      <c r="H37" s="132">
        <v>28.779594043199957</v>
      </c>
      <c r="I37" s="132"/>
      <c r="J37" s="123"/>
      <c r="K37" s="127"/>
      <c r="L37" s="128"/>
      <c r="M37" s="123"/>
      <c r="N37" s="127"/>
      <c r="O37" s="127"/>
      <c r="P37" s="123"/>
      <c r="Q37" s="127"/>
      <c r="R37" s="128"/>
      <c r="S37" s="123"/>
      <c r="T37" s="127"/>
      <c r="U37" s="128"/>
      <c r="V37" s="123"/>
      <c r="W37" s="123"/>
      <c r="X37" s="127"/>
      <c r="Y37" s="128"/>
      <c r="Z37" s="128"/>
      <c r="AA37" s="132"/>
      <c r="AB37" s="123"/>
      <c r="AC37" s="127"/>
      <c r="AD37" s="128"/>
      <c r="AE37" s="132"/>
    </row>
    <row r="38" spans="1:31" ht="15" thickBot="1" x14ac:dyDescent="0.35">
      <c r="A38" s="25">
        <v>2050</v>
      </c>
      <c r="B38" s="124">
        <v>13.673572266372734</v>
      </c>
      <c r="C38" s="129">
        <v>23.015283127657604</v>
      </c>
      <c r="D38" s="129">
        <v>53.240414815551595</v>
      </c>
      <c r="E38" s="124">
        <v>18.510336000000002</v>
      </c>
      <c r="F38" s="129">
        <v>45.005503920000002</v>
      </c>
      <c r="G38" s="129">
        <v>70.048874480000009</v>
      </c>
      <c r="H38" s="133">
        <v>27.851199999999999</v>
      </c>
      <c r="I38" s="133">
        <v>28.546754880000002</v>
      </c>
      <c r="J38" s="124">
        <v>41.2</v>
      </c>
      <c r="K38" s="129">
        <v>41.2</v>
      </c>
      <c r="L38" s="130">
        <v>56.65</v>
      </c>
      <c r="M38" s="124">
        <v>36.050000000000004</v>
      </c>
      <c r="N38" s="129">
        <v>36.050000000000004</v>
      </c>
      <c r="O38" s="129">
        <v>51.5</v>
      </c>
      <c r="P38" s="124">
        <v>70.493200000000002</v>
      </c>
      <c r="Q38" s="129">
        <v>83.254900000000006</v>
      </c>
      <c r="R38" s="130">
        <v>96.016599999999997</v>
      </c>
      <c r="S38" s="124">
        <v>48.307309000000004</v>
      </c>
      <c r="T38" s="129">
        <v>38.312704000000004</v>
      </c>
      <c r="U38" s="130">
        <v>33.315350000000002</v>
      </c>
      <c r="V38" s="124">
        <v>21.96647177225212</v>
      </c>
      <c r="W38" s="124">
        <v>51.5</v>
      </c>
      <c r="X38" s="129">
        <v>51.5</v>
      </c>
      <c r="Y38" s="130">
        <v>61.800000000000004</v>
      </c>
      <c r="Z38" s="130"/>
      <c r="AA38" s="133"/>
      <c r="AB38" s="124"/>
      <c r="AC38" s="129"/>
      <c r="AD38" s="130"/>
      <c r="AE38" s="133"/>
    </row>
    <row r="40" spans="1:31" x14ac:dyDescent="0.3">
      <c r="A40" s="36" t="s">
        <v>30</v>
      </c>
    </row>
    <row r="41" spans="1:31" x14ac:dyDescent="0.3">
      <c r="A41" s="36" t="s">
        <v>60</v>
      </c>
    </row>
    <row r="42" spans="1:31" x14ac:dyDescent="0.3">
      <c r="A42" s="36" t="s">
        <v>308</v>
      </c>
    </row>
  </sheetData>
  <mergeCells count="9">
    <mergeCell ref="S1:U1"/>
    <mergeCell ref="W1:Y1"/>
    <mergeCell ref="AB1:AE1"/>
    <mergeCell ref="A1:A2"/>
    <mergeCell ref="B1:D1"/>
    <mergeCell ref="E1:G1"/>
    <mergeCell ref="J1:L1"/>
    <mergeCell ref="M1:O1"/>
    <mergeCell ref="P1:R1"/>
  </mergeCells>
  <pageMargins left="0.25" right="0.25" top="0.75" bottom="0.75" header="0.3" footer="0.3"/>
  <pageSetup paperSize="9" scale="47" orientation="landscape" r:id="rId1"/>
  <headerFooter>
    <oddFooter>&amp;C_x000D_&amp;1#&amp;"Calibri"&amp;7&amp;K000000 Classification: In-Confidence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BECA9-7761-4A36-81E3-729C1A1D37C8}">
  <sheetPr>
    <tabColor rgb="FF002060"/>
    <pageSetUpPr fitToPage="1"/>
  </sheetPr>
  <dimension ref="A1:AN43"/>
  <sheetViews>
    <sheetView topLeftCell="Q1" zoomScale="70" zoomScaleNormal="70" workbookViewId="0">
      <selection activeCell="O39" sqref="O39"/>
    </sheetView>
  </sheetViews>
  <sheetFormatPr defaultRowHeight="14.4" x14ac:dyDescent="0.3"/>
  <cols>
    <col min="2" max="7" width="9" bestFit="1" customWidth="1"/>
    <col min="8" max="8" width="18.109375" bestFit="1" customWidth="1"/>
    <col min="9" max="9" width="12.21875" bestFit="1" customWidth="1"/>
    <col min="10" max="12" width="9" bestFit="1" customWidth="1"/>
    <col min="13" max="13" width="11.33203125" customWidth="1"/>
    <col min="14" max="14" width="11.6640625" customWidth="1"/>
    <col min="15" max="15" width="11" customWidth="1"/>
    <col min="16" max="16" width="11.21875" customWidth="1"/>
    <col min="17" max="17" width="11.33203125" customWidth="1"/>
    <col min="18" max="18" width="11.21875" customWidth="1"/>
    <col min="19" max="19" width="10" customWidth="1"/>
    <col min="20" max="20" width="11.88671875" customWidth="1"/>
    <col min="21" max="21" width="11.109375" customWidth="1"/>
    <col min="22" max="24" width="9" bestFit="1" customWidth="1"/>
    <col min="25" max="25" width="17.88671875" bestFit="1" customWidth="1"/>
    <col min="26" max="26" width="17.33203125" bestFit="1" customWidth="1"/>
    <col min="27" max="27" width="18.109375" bestFit="1" customWidth="1"/>
    <col min="28" max="28" width="16.88671875" bestFit="1" customWidth="1"/>
    <col min="29" max="30" width="9" bestFit="1" customWidth="1"/>
    <col min="31" max="31" width="17.33203125" bestFit="1" customWidth="1"/>
    <col min="32" max="32" width="17.21875" bestFit="1" customWidth="1"/>
    <col min="33" max="33" width="17.6640625" bestFit="1" customWidth="1"/>
    <col min="34" max="34" width="16.77734375" bestFit="1" customWidth="1"/>
    <col min="38" max="40" width="14.44140625" bestFit="1" customWidth="1"/>
  </cols>
  <sheetData>
    <row r="1" spans="1:40" ht="43.2" customHeight="1" thickBot="1" x14ac:dyDescent="0.35">
      <c r="A1" s="319" t="s">
        <v>0</v>
      </c>
      <c r="B1" s="291" t="s">
        <v>312</v>
      </c>
      <c r="C1" s="292"/>
      <c r="D1" s="292"/>
      <c r="E1" s="291" t="s">
        <v>31</v>
      </c>
      <c r="F1" s="292"/>
      <c r="G1" s="292"/>
      <c r="H1" s="56" t="s">
        <v>10</v>
      </c>
      <c r="I1" s="28" t="s">
        <v>43</v>
      </c>
      <c r="J1" s="291" t="s">
        <v>37</v>
      </c>
      <c r="K1" s="292"/>
      <c r="L1" s="292"/>
      <c r="M1" s="291" t="s">
        <v>318</v>
      </c>
      <c r="N1" s="292"/>
      <c r="O1" s="293"/>
      <c r="P1" s="291" t="s">
        <v>319</v>
      </c>
      <c r="Q1" s="292"/>
      <c r="R1" s="293"/>
      <c r="S1" s="291" t="s">
        <v>7</v>
      </c>
      <c r="T1" s="292"/>
      <c r="U1" s="293"/>
      <c r="V1" s="291" t="s">
        <v>11</v>
      </c>
      <c r="W1" s="292"/>
      <c r="X1" s="293"/>
      <c r="Y1" s="291" t="s">
        <v>12</v>
      </c>
      <c r="Z1" s="292"/>
      <c r="AA1" s="293"/>
      <c r="AB1" s="298" t="s">
        <v>283</v>
      </c>
      <c r="AC1" s="299"/>
      <c r="AD1" s="300"/>
      <c r="AE1" s="56" t="s">
        <v>14</v>
      </c>
      <c r="AF1" s="28" t="s">
        <v>336</v>
      </c>
      <c r="AG1" s="71" t="s">
        <v>9</v>
      </c>
      <c r="AH1" s="56" t="s">
        <v>44</v>
      </c>
      <c r="AI1" s="291" t="s">
        <v>13</v>
      </c>
      <c r="AJ1" s="292"/>
      <c r="AK1" s="292"/>
      <c r="AL1" s="316" t="s">
        <v>17</v>
      </c>
      <c r="AM1" s="317"/>
      <c r="AN1" s="318"/>
    </row>
    <row r="2" spans="1:40" ht="15" thickBot="1" x14ac:dyDescent="0.35">
      <c r="A2" s="320"/>
      <c r="B2" s="53" t="s">
        <v>18</v>
      </c>
      <c r="C2" s="54" t="s">
        <v>19</v>
      </c>
      <c r="D2" s="55" t="s">
        <v>20</v>
      </c>
      <c r="E2" s="53" t="s">
        <v>18</v>
      </c>
      <c r="F2" s="54" t="s">
        <v>19</v>
      </c>
      <c r="G2" s="55" t="s">
        <v>20</v>
      </c>
      <c r="H2" s="67" t="s">
        <v>28</v>
      </c>
      <c r="I2" s="67" t="s">
        <v>19</v>
      </c>
      <c r="J2" s="53" t="s">
        <v>18</v>
      </c>
      <c r="K2" s="54" t="s">
        <v>19</v>
      </c>
      <c r="L2" s="54" t="s">
        <v>20</v>
      </c>
      <c r="M2" s="29" t="s">
        <v>18</v>
      </c>
      <c r="N2" s="30" t="s">
        <v>19</v>
      </c>
      <c r="O2" s="31" t="s">
        <v>20</v>
      </c>
      <c r="P2" s="29" t="s">
        <v>18</v>
      </c>
      <c r="Q2" s="30" t="s">
        <v>19</v>
      </c>
      <c r="R2" s="31" t="s">
        <v>20</v>
      </c>
      <c r="S2" s="53" t="s">
        <v>18</v>
      </c>
      <c r="T2" s="54" t="s">
        <v>19</v>
      </c>
      <c r="U2" s="55" t="s">
        <v>20</v>
      </c>
      <c r="V2" s="53" t="s">
        <v>18</v>
      </c>
      <c r="W2" s="54" t="s">
        <v>19</v>
      </c>
      <c r="X2" s="55" t="s">
        <v>20</v>
      </c>
      <c r="Y2" s="53" t="s">
        <v>18</v>
      </c>
      <c r="Z2" s="54" t="s">
        <v>19</v>
      </c>
      <c r="AA2" s="55" t="s">
        <v>20</v>
      </c>
      <c r="AB2" s="68" t="s">
        <v>18</v>
      </c>
      <c r="AC2" s="69" t="s">
        <v>19</v>
      </c>
      <c r="AD2" s="70" t="s">
        <v>20</v>
      </c>
      <c r="AE2" s="66" t="s">
        <v>19</v>
      </c>
      <c r="AF2" s="67" t="s">
        <v>19</v>
      </c>
      <c r="AG2" s="67" t="s">
        <v>28</v>
      </c>
      <c r="AH2" s="67" t="s">
        <v>28</v>
      </c>
      <c r="AI2" s="53" t="s">
        <v>21</v>
      </c>
      <c r="AJ2" s="54" t="s">
        <v>19</v>
      </c>
      <c r="AK2" s="54" t="s">
        <v>22</v>
      </c>
      <c r="AL2" s="72" t="s">
        <v>18</v>
      </c>
      <c r="AM2" s="73" t="s">
        <v>19</v>
      </c>
      <c r="AN2" s="74" t="s">
        <v>20</v>
      </c>
    </row>
    <row r="3" spans="1:40" x14ac:dyDescent="0.3">
      <c r="A3" s="24">
        <v>2015</v>
      </c>
      <c r="B3" s="122"/>
      <c r="C3" s="125"/>
      <c r="D3" s="125"/>
      <c r="E3" s="122"/>
      <c r="F3" s="125"/>
      <c r="G3" s="126"/>
      <c r="H3" s="126"/>
      <c r="I3" s="131"/>
      <c r="J3" s="122"/>
      <c r="K3" s="125"/>
      <c r="L3" s="126"/>
      <c r="M3" s="122"/>
      <c r="N3" s="125"/>
      <c r="O3" s="125"/>
      <c r="P3" s="122"/>
      <c r="Q3" s="125"/>
      <c r="R3" s="125"/>
      <c r="S3" s="122"/>
      <c r="T3" s="125"/>
      <c r="U3" s="126"/>
      <c r="V3" s="122"/>
      <c r="W3" s="125"/>
      <c r="X3" s="126"/>
      <c r="Y3" s="122"/>
      <c r="Z3" s="125"/>
      <c r="AA3" s="126"/>
      <c r="AB3" s="122">
        <v>5374.5915000000005</v>
      </c>
      <c r="AC3" s="125">
        <v>5939.2890000000007</v>
      </c>
      <c r="AD3" s="126">
        <v>6503.9865</v>
      </c>
      <c r="AE3" s="131"/>
      <c r="AF3" s="131"/>
      <c r="AG3" s="131">
        <v>4344.0826800000004</v>
      </c>
      <c r="AH3" s="131"/>
      <c r="AI3" s="122">
        <v>4607.6226000000006</v>
      </c>
      <c r="AJ3" s="125">
        <v>4607.6226000000006</v>
      </c>
      <c r="AK3" s="125">
        <v>4607.6226000000006</v>
      </c>
      <c r="AL3" s="122">
        <v>3508.9319</v>
      </c>
      <c r="AM3" s="125">
        <v>6078.5553</v>
      </c>
      <c r="AN3" s="126">
        <v>7413.8885</v>
      </c>
    </row>
    <row r="4" spans="1:40" x14ac:dyDescent="0.3">
      <c r="A4" s="24">
        <v>2016</v>
      </c>
      <c r="B4" s="123"/>
      <c r="C4" s="127"/>
      <c r="D4" s="127"/>
      <c r="E4" s="123"/>
      <c r="F4" s="127"/>
      <c r="G4" s="128"/>
      <c r="H4" s="128"/>
      <c r="I4" s="132"/>
      <c r="J4" s="123"/>
      <c r="K4" s="127"/>
      <c r="L4" s="128"/>
      <c r="M4" s="123"/>
      <c r="N4" s="127"/>
      <c r="O4" s="127"/>
      <c r="P4" s="123"/>
      <c r="Q4" s="127"/>
      <c r="R4" s="127"/>
      <c r="S4" s="123"/>
      <c r="T4" s="127"/>
      <c r="U4" s="128"/>
      <c r="V4" s="123"/>
      <c r="W4" s="127"/>
      <c r="X4" s="128"/>
      <c r="Y4" s="123"/>
      <c r="Z4" s="127"/>
      <c r="AA4" s="128"/>
      <c r="AB4" s="123"/>
      <c r="AC4" s="127"/>
      <c r="AD4" s="128"/>
      <c r="AE4" s="132"/>
      <c r="AF4" s="132"/>
      <c r="AG4" s="132"/>
      <c r="AH4" s="132"/>
      <c r="AI4" s="123"/>
      <c r="AJ4" s="127"/>
      <c r="AK4" s="127"/>
      <c r="AL4" s="123">
        <v>3301.9019000000003</v>
      </c>
      <c r="AM4" s="127">
        <v>4786.0906999999997</v>
      </c>
      <c r="AN4" s="128">
        <v>13508.882600000001</v>
      </c>
    </row>
    <row r="5" spans="1:40" x14ac:dyDescent="0.3">
      <c r="A5" s="24">
        <v>2017</v>
      </c>
      <c r="B5" s="123"/>
      <c r="C5" s="127"/>
      <c r="D5" s="127"/>
      <c r="E5" s="123"/>
      <c r="F5" s="127"/>
      <c r="G5" s="128"/>
      <c r="H5" s="128"/>
      <c r="I5" s="132">
        <v>4252.4658280000003</v>
      </c>
      <c r="J5" s="123"/>
      <c r="K5" s="127"/>
      <c r="L5" s="128"/>
      <c r="M5" s="123"/>
      <c r="N5" s="127"/>
      <c r="O5" s="127"/>
      <c r="P5" s="123"/>
      <c r="Q5" s="127"/>
      <c r="R5" s="127"/>
      <c r="S5" s="123"/>
      <c r="T5" s="127"/>
      <c r="U5" s="128"/>
      <c r="V5" s="123"/>
      <c r="W5" s="127"/>
      <c r="X5" s="128"/>
      <c r="Y5" s="123"/>
      <c r="Z5" s="127"/>
      <c r="AA5" s="128"/>
      <c r="AB5" s="123"/>
      <c r="AC5" s="127"/>
      <c r="AD5" s="128"/>
      <c r="AE5" s="132"/>
      <c r="AF5" s="132"/>
      <c r="AG5" s="132"/>
      <c r="AH5" s="132"/>
      <c r="AI5" s="123"/>
      <c r="AJ5" s="127"/>
      <c r="AK5" s="127"/>
      <c r="AL5" s="123">
        <v>3206.8843999999999</v>
      </c>
      <c r="AM5" s="127">
        <v>5406.7481000000007</v>
      </c>
      <c r="AN5" s="128">
        <v>6508.2713000000003</v>
      </c>
    </row>
    <row r="6" spans="1:40" x14ac:dyDescent="0.3">
      <c r="A6" s="24">
        <v>2018</v>
      </c>
      <c r="B6" s="123"/>
      <c r="C6" s="127"/>
      <c r="D6" s="127"/>
      <c r="E6" s="123"/>
      <c r="F6" s="127"/>
      <c r="G6" s="128"/>
      <c r="H6" s="128"/>
      <c r="I6" s="132"/>
      <c r="J6" s="123"/>
      <c r="K6" s="127"/>
      <c r="L6" s="128"/>
      <c r="M6" s="123"/>
      <c r="N6" s="127"/>
      <c r="O6" s="127"/>
      <c r="P6" s="123"/>
      <c r="Q6" s="127"/>
      <c r="R6" s="127"/>
      <c r="S6" s="123"/>
      <c r="T6" s="127"/>
      <c r="U6" s="128"/>
      <c r="V6" s="123"/>
      <c r="W6" s="127"/>
      <c r="X6" s="128"/>
      <c r="Y6" s="123"/>
      <c r="Z6" s="127"/>
      <c r="AA6" s="128"/>
      <c r="AB6" s="123"/>
      <c r="AC6" s="127"/>
      <c r="AD6" s="128"/>
      <c r="AE6" s="132"/>
      <c r="AF6" s="132"/>
      <c r="AG6" s="132"/>
      <c r="AH6" s="132"/>
      <c r="AI6" s="123"/>
      <c r="AJ6" s="127"/>
      <c r="AK6" s="127"/>
      <c r="AL6" s="123">
        <v>2510.4499000000001</v>
      </c>
      <c r="AM6" s="127">
        <v>5288.2466000000004</v>
      </c>
      <c r="AN6" s="128">
        <v>6653.3777</v>
      </c>
    </row>
    <row r="7" spans="1:40" x14ac:dyDescent="0.3">
      <c r="A7" s="24">
        <v>2019</v>
      </c>
      <c r="B7" s="123"/>
      <c r="C7" s="127"/>
      <c r="D7" s="127"/>
      <c r="E7" s="123"/>
      <c r="F7" s="127"/>
      <c r="G7" s="128"/>
      <c r="H7" s="128"/>
      <c r="I7" s="132"/>
      <c r="J7" s="123"/>
      <c r="K7" s="127"/>
      <c r="L7" s="128"/>
      <c r="M7" s="123"/>
      <c r="N7" s="127"/>
      <c r="O7" s="127"/>
      <c r="P7" s="123"/>
      <c r="Q7" s="127"/>
      <c r="R7" s="127"/>
      <c r="S7" s="123"/>
      <c r="T7" s="127"/>
      <c r="U7" s="128"/>
      <c r="V7" s="123"/>
      <c r="W7" s="127"/>
      <c r="X7" s="128"/>
      <c r="Y7" s="123"/>
      <c r="Z7" s="127"/>
      <c r="AA7" s="128"/>
      <c r="AB7" s="123"/>
      <c r="AC7" s="127"/>
      <c r="AD7" s="128"/>
      <c r="AE7" s="132"/>
      <c r="AF7" s="132"/>
      <c r="AG7" s="132"/>
      <c r="AH7" s="132"/>
      <c r="AI7" s="123"/>
      <c r="AJ7" s="127"/>
      <c r="AK7" s="127"/>
      <c r="AL7" s="123">
        <v>3360.8384999999998</v>
      </c>
      <c r="AM7" s="127">
        <v>4237.3993999999993</v>
      </c>
      <c r="AN7" s="128">
        <v>6898.1675000000005</v>
      </c>
    </row>
    <row r="8" spans="1:40" x14ac:dyDescent="0.3">
      <c r="A8" s="24">
        <v>2020</v>
      </c>
      <c r="B8" s="123"/>
      <c r="C8" s="127"/>
      <c r="D8" s="127"/>
      <c r="E8" s="123">
        <v>2932.6645171200003</v>
      </c>
      <c r="F8" s="127">
        <v>2932.6645171200003</v>
      </c>
      <c r="G8" s="128">
        <v>2932.6645171200003</v>
      </c>
      <c r="H8" s="128">
        <v>6927.7799999999979</v>
      </c>
      <c r="I8" s="132"/>
      <c r="J8" s="123"/>
      <c r="K8" s="127"/>
      <c r="L8" s="128"/>
      <c r="M8" s="123"/>
      <c r="N8" s="127"/>
      <c r="O8" s="127"/>
      <c r="P8" s="123"/>
      <c r="Q8" s="127"/>
      <c r="R8" s="127"/>
      <c r="S8" s="123"/>
      <c r="T8" s="127"/>
      <c r="U8" s="128"/>
      <c r="V8" s="123"/>
      <c r="W8" s="127"/>
      <c r="X8" s="128"/>
      <c r="Y8" s="123"/>
      <c r="Z8" s="127"/>
      <c r="AA8" s="128"/>
      <c r="AB8" s="123">
        <v>4849.7550000000001</v>
      </c>
      <c r="AC8" s="127">
        <v>5348.0174999999999</v>
      </c>
      <c r="AD8" s="128">
        <v>5846.28</v>
      </c>
      <c r="AE8" s="132"/>
      <c r="AF8" s="132">
        <v>3937.2574</v>
      </c>
      <c r="AG8" s="132">
        <v>3885.3907200000003</v>
      </c>
      <c r="AH8" s="132">
        <v>4119.2579879999994</v>
      </c>
      <c r="AI8" s="123">
        <v>2590.6457</v>
      </c>
      <c r="AJ8" s="127">
        <v>3402.9140000000002</v>
      </c>
      <c r="AK8" s="127">
        <v>4425.0860000000002</v>
      </c>
      <c r="AL8" s="191">
        <v>2654.2584999999999</v>
      </c>
      <c r="AM8" s="127">
        <v>3587.6445000000003</v>
      </c>
      <c r="AN8" s="128">
        <v>8087.2201000000005</v>
      </c>
    </row>
    <row r="9" spans="1:40" x14ac:dyDescent="0.3">
      <c r="A9" s="24">
        <v>2021</v>
      </c>
      <c r="B9" s="123">
        <v>3726.6281535253652</v>
      </c>
      <c r="C9" s="127">
        <v>4017.9788199465997</v>
      </c>
      <c r="D9" s="127">
        <v>4579.4251238366433</v>
      </c>
      <c r="E9" s="123"/>
      <c r="F9" s="127"/>
      <c r="G9" s="128"/>
      <c r="H9" s="128"/>
      <c r="I9" s="132"/>
      <c r="J9" s="123"/>
      <c r="K9" s="127"/>
      <c r="L9" s="128"/>
      <c r="M9" s="123"/>
      <c r="N9" s="127"/>
      <c r="O9" s="127"/>
      <c r="P9" s="123"/>
      <c r="Q9" s="127"/>
      <c r="R9" s="127"/>
      <c r="S9" s="123"/>
      <c r="T9" s="127"/>
      <c r="U9" s="128"/>
      <c r="V9" s="123"/>
      <c r="W9" s="127"/>
      <c r="X9" s="128"/>
      <c r="Y9" s="123"/>
      <c r="Z9" s="127"/>
      <c r="AA9" s="128"/>
      <c r="AB9" s="123"/>
      <c r="AC9" s="127"/>
      <c r="AD9" s="128"/>
      <c r="AE9" s="132"/>
      <c r="AF9" s="132"/>
      <c r="AG9" s="132"/>
      <c r="AH9" s="132"/>
      <c r="AI9" s="123"/>
      <c r="AJ9" s="127"/>
      <c r="AK9" s="127"/>
      <c r="AL9" s="191">
        <v>2248.1913</v>
      </c>
      <c r="AM9" s="127">
        <v>3143.9926</v>
      </c>
      <c r="AN9" s="128">
        <v>6278.5504000000001</v>
      </c>
    </row>
    <row r="10" spans="1:40" x14ac:dyDescent="0.3">
      <c r="A10" s="24">
        <v>2022</v>
      </c>
      <c r="B10" s="123">
        <v>3958.3963468858324</v>
      </c>
      <c r="C10" s="127">
        <v>4298.7310770305594</v>
      </c>
      <c r="D10" s="127">
        <v>4979.5995864774168</v>
      </c>
      <c r="E10" s="123"/>
      <c r="F10" s="127"/>
      <c r="G10" s="128"/>
      <c r="H10" s="128"/>
      <c r="I10" s="132"/>
      <c r="J10" s="123">
        <v>3522.6</v>
      </c>
      <c r="K10" s="127">
        <v>3522.6</v>
      </c>
      <c r="L10" s="128">
        <v>3522.6</v>
      </c>
      <c r="M10" s="123"/>
      <c r="N10" s="127"/>
      <c r="O10" s="127"/>
      <c r="P10" s="123"/>
      <c r="Q10" s="127"/>
      <c r="R10" s="127"/>
      <c r="S10" s="123">
        <v>3151.8</v>
      </c>
      <c r="T10" s="127">
        <v>3151.8</v>
      </c>
      <c r="U10" s="128">
        <v>3151.8</v>
      </c>
      <c r="V10" s="123">
        <v>2904.6</v>
      </c>
      <c r="W10" s="127">
        <v>2904.6</v>
      </c>
      <c r="X10" s="128">
        <v>2904.6</v>
      </c>
      <c r="Y10" s="123">
        <v>2430.8000000000002</v>
      </c>
      <c r="Z10" s="127">
        <v>3342.35</v>
      </c>
      <c r="AA10" s="128">
        <v>4253.9000000000005</v>
      </c>
      <c r="AB10" s="123"/>
      <c r="AC10" s="127"/>
      <c r="AD10" s="128"/>
      <c r="AE10" s="132"/>
      <c r="AF10" s="132">
        <v>3355.8018000000002</v>
      </c>
      <c r="AG10" s="132"/>
      <c r="AH10" s="132"/>
      <c r="AI10" s="123"/>
      <c r="AJ10" s="127"/>
      <c r="AK10" s="127"/>
      <c r="AL10" s="191">
        <v>2263.3014000000003</v>
      </c>
      <c r="AM10" s="127">
        <v>3565.3141000000001</v>
      </c>
      <c r="AN10" s="128">
        <v>7447.4458999999997</v>
      </c>
    </row>
    <row r="11" spans="1:40" x14ac:dyDescent="0.3">
      <c r="A11" s="24">
        <v>2023</v>
      </c>
      <c r="B11" s="123">
        <v>3649.2694824273713</v>
      </c>
      <c r="C11" s="127">
        <v>3985.2671597983076</v>
      </c>
      <c r="D11" s="127">
        <v>4673.8585819758464</v>
      </c>
      <c r="E11" s="123"/>
      <c r="F11" s="127"/>
      <c r="G11" s="128"/>
      <c r="H11" s="128"/>
      <c r="I11" s="132"/>
      <c r="J11" s="123"/>
      <c r="K11" s="127"/>
      <c r="L11" s="128"/>
      <c r="M11" s="123"/>
      <c r="N11" s="127"/>
      <c r="O11" s="127"/>
      <c r="P11" s="123"/>
      <c r="Q11" s="127"/>
      <c r="R11" s="127"/>
      <c r="S11" s="123"/>
      <c r="T11" s="127"/>
      <c r="U11" s="128"/>
      <c r="V11" s="123"/>
      <c r="W11" s="127"/>
      <c r="X11" s="128"/>
      <c r="Y11" s="123"/>
      <c r="Z11" s="127"/>
      <c r="AA11" s="128"/>
      <c r="AB11" s="123"/>
      <c r="AC11" s="127"/>
      <c r="AD11" s="128"/>
      <c r="AE11" s="132"/>
      <c r="AF11" s="132"/>
      <c r="AG11" s="132"/>
      <c r="AH11" s="132"/>
      <c r="AI11" s="123"/>
      <c r="AJ11" s="127"/>
      <c r="AK11" s="127"/>
      <c r="AL11" s="123">
        <v>1652.8914651485225</v>
      </c>
      <c r="AM11" s="127">
        <v>2884.2975448540951</v>
      </c>
      <c r="AN11" s="128">
        <v>5769.490481531956</v>
      </c>
    </row>
    <row r="12" spans="1:40" x14ac:dyDescent="0.3">
      <c r="A12" s="24">
        <v>2024</v>
      </c>
      <c r="B12" s="123">
        <v>3271.9719650112843</v>
      </c>
      <c r="C12" s="127">
        <v>3589.8969807261692</v>
      </c>
      <c r="D12" s="127">
        <v>4252.9258031383988</v>
      </c>
      <c r="E12" s="123"/>
      <c r="F12" s="127"/>
      <c r="G12" s="128"/>
      <c r="H12" s="128"/>
      <c r="I12" s="132"/>
      <c r="J12" s="123"/>
      <c r="K12" s="127"/>
      <c r="L12" s="128"/>
      <c r="M12" s="123"/>
      <c r="N12" s="127"/>
      <c r="O12" s="127"/>
      <c r="P12" s="123"/>
      <c r="Q12" s="127"/>
      <c r="R12" s="127"/>
      <c r="S12" s="123"/>
      <c r="T12" s="127"/>
      <c r="U12" s="128"/>
      <c r="V12" s="123"/>
      <c r="W12" s="127"/>
      <c r="X12" s="128"/>
      <c r="Y12" s="123"/>
      <c r="Z12" s="127"/>
      <c r="AA12" s="128"/>
      <c r="AB12" s="123"/>
      <c r="AC12" s="127"/>
      <c r="AD12" s="128"/>
      <c r="AE12" s="132"/>
      <c r="AF12" s="132">
        <v>3305.9703999999997</v>
      </c>
      <c r="AG12" s="132"/>
      <c r="AH12" s="132"/>
      <c r="AI12" s="123"/>
      <c r="AJ12" s="127"/>
      <c r="AK12" s="127"/>
      <c r="AL12" s="123"/>
      <c r="AM12" s="127"/>
      <c r="AN12" s="128"/>
    </row>
    <row r="13" spans="1:40" x14ac:dyDescent="0.3">
      <c r="A13" s="24">
        <v>2025</v>
      </c>
      <c r="B13" s="123">
        <v>3181.5054556247451</v>
      </c>
      <c r="C13" s="127">
        <v>3504.7181781399527</v>
      </c>
      <c r="D13" s="127">
        <v>4187.9596713516939</v>
      </c>
      <c r="E13" s="123"/>
      <c r="F13" s="127"/>
      <c r="G13" s="128"/>
      <c r="H13" s="128">
        <v>4964.4471479999993</v>
      </c>
      <c r="I13" s="132">
        <v>3766.305828</v>
      </c>
      <c r="J13" s="123"/>
      <c r="K13" s="127"/>
      <c r="L13" s="128"/>
      <c r="M13" s="123">
        <v>2702.3830538393649</v>
      </c>
      <c r="N13" s="127">
        <v>3002.6478375992933</v>
      </c>
      <c r="O13" s="127">
        <v>3302.912621359224</v>
      </c>
      <c r="P13" s="123">
        <v>3731.8623124448372</v>
      </c>
      <c r="Q13" s="1">
        <v>4146.5136804942631</v>
      </c>
      <c r="R13" s="127">
        <v>4561.1650485436894</v>
      </c>
      <c r="S13" s="123"/>
      <c r="T13" s="127"/>
      <c r="U13" s="128"/>
      <c r="V13" s="123"/>
      <c r="W13" s="127"/>
      <c r="X13" s="128"/>
      <c r="Y13" s="123"/>
      <c r="Z13" s="127"/>
      <c r="AA13" s="128"/>
      <c r="AB13" s="123">
        <v>4285.0574999999999</v>
      </c>
      <c r="AC13" s="127">
        <v>4667.0587500000001</v>
      </c>
      <c r="AD13" s="128">
        <v>5049.0600000000004</v>
      </c>
      <c r="AE13" s="132"/>
      <c r="AF13" s="132"/>
      <c r="AG13" s="132">
        <v>3642.5538000000006</v>
      </c>
      <c r="AH13" s="132">
        <v>3548.4089159999999</v>
      </c>
      <c r="AI13" s="123">
        <v>2015.6688000000001</v>
      </c>
      <c r="AJ13" s="127">
        <v>2955.7085999999999</v>
      </c>
      <c r="AK13" s="127">
        <v>4251.6855000000005</v>
      </c>
      <c r="AL13" s="123"/>
      <c r="AM13" s="127"/>
      <c r="AN13" s="128"/>
    </row>
    <row r="14" spans="1:40" x14ac:dyDescent="0.3">
      <c r="A14" s="24">
        <v>2026</v>
      </c>
      <c r="B14" s="123">
        <v>3105.0171117955274</v>
      </c>
      <c r="C14" s="127">
        <v>3432.7005267089926</v>
      </c>
      <c r="D14" s="127">
        <v>4133.0315895780968</v>
      </c>
      <c r="E14" s="123"/>
      <c r="F14" s="127"/>
      <c r="G14" s="128"/>
      <c r="H14" s="128"/>
      <c r="I14" s="132"/>
      <c r="J14" s="123"/>
      <c r="K14" s="127"/>
      <c r="L14" s="128"/>
      <c r="M14" s="123"/>
      <c r="N14" s="127"/>
      <c r="O14" s="127"/>
      <c r="P14" s="123"/>
      <c r="Q14" s="127"/>
      <c r="R14" s="127"/>
      <c r="S14" s="123"/>
      <c r="T14" s="127"/>
      <c r="U14" s="128"/>
      <c r="V14" s="123"/>
      <c r="W14" s="127"/>
      <c r="X14" s="128"/>
      <c r="Y14" s="123"/>
      <c r="Z14" s="127"/>
      <c r="AA14" s="128"/>
      <c r="AB14" s="123"/>
      <c r="AC14" s="127"/>
      <c r="AD14" s="128"/>
      <c r="AE14" s="132"/>
      <c r="AF14" s="132">
        <v>3305.9703999999997</v>
      </c>
      <c r="AG14" s="132"/>
      <c r="AH14" s="132"/>
      <c r="AI14" s="123"/>
      <c r="AJ14" s="127"/>
      <c r="AK14" s="127"/>
      <c r="AL14" s="123"/>
      <c r="AM14" s="127"/>
      <c r="AN14" s="128"/>
    </row>
    <row r="15" spans="1:40" x14ac:dyDescent="0.3">
      <c r="A15" s="24">
        <v>2027</v>
      </c>
      <c r="B15" s="123">
        <v>3038.7598946200728</v>
      </c>
      <c r="C15" s="127">
        <v>3370.3159994406078</v>
      </c>
      <c r="D15" s="127">
        <v>4085.4507209005064</v>
      </c>
      <c r="E15" s="123"/>
      <c r="F15" s="127"/>
      <c r="G15" s="128"/>
      <c r="H15" s="128"/>
      <c r="I15" s="132"/>
      <c r="J15" s="123"/>
      <c r="K15" s="127"/>
      <c r="L15" s="128"/>
      <c r="M15" s="123"/>
      <c r="N15" s="127"/>
      <c r="O15" s="127"/>
      <c r="P15" s="123"/>
      <c r="Q15" s="127"/>
      <c r="R15" s="127"/>
      <c r="S15" s="123"/>
      <c r="T15" s="127"/>
      <c r="U15" s="128"/>
      <c r="V15" s="123"/>
      <c r="W15" s="127"/>
      <c r="X15" s="128"/>
      <c r="Y15" s="123"/>
      <c r="Z15" s="127"/>
      <c r="AA15" s="128"/>
      <c r="AB15" s="123"/>
      <c r="AC15" s="127"/>
      <c r="AD15" s="128"/>
      <c r="AE15" s="132"/>
      <c r="AF15" s="132"/>
      <c r="AG15" s="132"/>
      <c r="AH15" s="132"/>
      <c r="AI15" s="123"/>
      <c r="AJ15" s="127"/>
      <c r="AK15" s="127"/>
      <c r="AL15" s="123"/>
      <c r="AM15" s="127"/>
      <c r="AN15" s="128"/>
    </row>
    <row r="16" spans="1:40" x14ac:dyDescent="0.3">
      <c r="A16" s="24">
        <v>2028</v>
      </c>
      <c r="B16" s="123">
        <v>2980.3168871767703</v>
      </c>
      <c r="C16" s="127">
        <v>3315.2889465863018</v>
      </c>
      <c r="D16" s="127">
        <v>4043.4814203348124</v>
      </c>
      <c r="E16" s="123"/>
      <c r="F16" s="127"/>
      <c r="G16" s="128"/>
      <c r="H16" s="128"/>
      <c r="I16" s="132"/>
      <c r="J16" s="123"/>
      <c r="K16" s="127"/>
      <c r="L16" s="128"/>
      <c r="M16" s="123"/>
      <c r="N16" s="127"/>
      <c r="O16" s="127"/>
      <c r="P16" s="123"/>
      <c r="Q16" s="127"/>
      <c r="R16" s="127"/>
      <c r="S16" s="123"/>
      <c r="T16" s="127"/>
      <c r="U16" s="128"/>
      <c r="V16" s="123"/>
      <c r="W16" s="127"/>
      <c r="X16" s="128"/>
      <c r="Y16" s="123"/>
      <c r="Z16" s="127"/>
      <c r="AA16" s="128"/>
      <c r="AB16" s="123"/>
      <c r="AC16" s="127"/>
      <c r="AD16" s="128"/>
      <c r="AE16" s="132"/>
      <c r="AF16" s="132">
        <v>3189.6731</v>
      </c>
      <c r="AG16" s="132"/>
      <c r="AH16" s="132"/>
      <c r="AI16" s="123"/>
      <c r="AJ16" s="127"/>
      <c r="AK16" s="127"/>
      <c r="AL16" s="123"/>
      <c r="AM16" s="127"/>
      <c r="AN16" s="128"/>
    </row>
    <row r="17" spans="1:40" x14ac:dyDescent="0.3">
      <c r="A17" s="24">
        <v>2029</v>
      </c>
      <c r="B17" s="123">
        <v>2928.0378355586377</v>
      </c>
      <c r="C17" s="127">
        <v>3266.0655704731739</v>
      </c>
      <c r="D17" s="127">
        <v>4005.9386016703302</v>
      </c>
      <c r="E17" s="123"/>
      <c r="F17" s="127"/>
      <c r="G17" s="128"/>
      <c r="H17" s="128"/>
      <c r="I17" s="132"/>
      <c r="J17" s="123"/>
      <c r="K17" s="127"/>
      <c r="L17" s="128"/>
      <c r="M17" s="123"/>
      <c r="N17" s="127"/>
      <c r="O17" s="127"/>
      <c r="P17" s="123"/>
      <c r="Q17" s="127"/>
      <c r="R17" s="127"/>
      <c r="S17" s="123"/>
      <c r="T17" s="127"/>
      <c r="U17" s="128"/>
      <c r="V17" s="123"/>
      <c r="W17" s="127"/>
      <c r="X17" s="128"/>
      <c r="Y17" s="123"/>
      <c r="Z17" s="127"/>
      <c r="AA17" s="128"/>
      <c r="AB17" s="123"/>
      <c r="AC17" s="127"/>
      <c r="AD17" s="128"/>
      <c r="AE17" s="132"/>
      <c r="AF17" s="132"/>
      <c r="AG17" s="132"/>
      <c r="AH17" s="132"/>
      <c r="AI17" s="123"/>
      <c r="AJ17" s="127"/>
      <c r="AK17" s="127"/>
      <c r="AL17" s="123"/>
      <c r="AM17" s="127"/>
      <c r="AN17" s="128"/>
    </row>
    <row r="18" spans="1:40" x14ac:dyDescent="0.3">
      <c r="A18" s="24">
        <v>2030</v>
      </c>
      <c r="B18" s="123">
        <v>2880.7456808210327</v>
      </c>
      <c r="C18" s="127">
        <v>3221.5376104624761</v>
      </c>
      <c r="D18" s="127">
        <v>3971.9769911473354</v>
      </c>
      <c r="E18" s="123">
        <v>1779.39774272</v>
      </c>
      <c r="F18" s="127">
        <v>2299.3539379200001</v>
      </c>
      <c r="G18" s="128">
        <v>2657.5392230399998</v>
      </c>
      <c r="H18" s="128">
        <v>3799.1945519999995</v>
      </c>
      <c r="I18" s="132"/>
      <c r="J18" s="123">
        <v>2204.2000000000003</v>
      </c>
      <c r="K18" s="127">
        <v>2266</v>
      </c>
      <c r="L18" s="128">
        <v>2348.4</v>
      </c>
      <c r="M18" s="123"/>
      <c r="N18" s="127">
        <v>2584.5852463405968</v>
      </c>
      <c r="O18" s="127"/>
      <c r="P18" s="123"/>
      <c r="Q18" s="1">
        <v>3718.0143587652042</v>
      </c>
      <c r="R18" s="127"/>
      <c r="S18" s="123">
        <v>1895.2</v>
      </c>
      <c r="T18" s="127">
        <v>2039.4</v>
      </c>
      <c r="U18" s="128">
        <v>2121.8000000000002</v>
      </c>
      <c r="V18" s="123">
        <v>1812.8</v>
      </c>
      <c r="W18" s="127">
        <v>1874.6000000000001</v>
      </c>
      <c r="X18" s="128">
        <v>1936.4</v>
      </c>
      <c r="Y18" s="123"/>
      <c r="Z18" s="127"/>
      <c r="AA18" s="128"/>
      <c r="AB18" s="123">
        <v>3720.36</v>
      </c>
      <c r="AC18" s="127">
        <v>3986.1</v>
      </c>
      <c r="AD18" s="128">
        <v>4251.84</v>
      </c>
      <c r="AE18" s="132">
        <v>2240.5844306999993</v>
      </c>
      <c r="AF18" s="132">
        <v>3006.9304999999999</v>
      </c>
      <c r="AG18" s="132">
        <v>3480.6625200000003</v>
      </c>
      <c r="AH18" s="132">
        <v>3168.7665719999995</v>
      </c>
      <c r="AI18" s="123">
        <v>1440.6919</v>
      </c>
      <c r="AJ18" s="127">
        <v>2581.5198999999998</v>
      </c>
      <c r="AK18" s="127">
        <v>4133.0397999999996</v>
      </c>
      <c r="AL18" s="123"/>
      <c r="AM18" s="127"/>
      <c r="AN18" s="128"/>
    </row>
    <row r="19" spans="1:40" x14ac:dyDescent="0.3">
      <c r="A19" s="24">
        <v>2031</v>
      </c>
      <c r="B19" s="123">
        <v>2837.571326172098</v>
      </c>
      <c r="C19" s="127">
        <v>3180.8867678869583</v>
      </c>
      <c r="D19" s="127">
        <v>3940.9724698836262</v>
      </c>
      <c r="E19" s="123"/>
      <c r="F19" s="127"/>
      <c r="G19" s="128"/>
      <c r="H19" s="128"/>
      <c r="I19" s="132"/>
      <c r="J19" s="123"/>
      <c r="K19" s="127"/>
      <c r="L19" s="128"/>
      <c r="M19" s="123"/>
      <c r="N19" s="127"/>
      <c r="O19" s="127"/>
      <c r="P19" s="123"/>
      <c r="Q19" s="127"/>
      <c r="R19" s="127"/>
      <c r="S19" s="123"/>
      <c r="T19" s="127"/>
      <c r="U19" s="128"/>
      <c r="V19" s="123"/>
      <c r="W19" s="127"/>
      <c r="X19" s="128"/>
      <c r="Y19" s="123"/>
      <c r="Z19" s="127"/>
      <c r="AA19" s="128"/>
      <c r="AB19" s="123"/>
      <c r="AC19" s="127"/>
      <c r="AD19" s="128"/>
      <c r="AE19" s="132"/>
      <c r="AF19" s="132"/>
      <c r="AG19" s="132"/>
      <c r="AH19" s="132"/>
      <c r="AI19" s="123"/>
      <c r="AJ19" s="127"/>
      <c r="AK19" s="127"/>
      <c r="AL19" s="123"/>
      <c r="AM19" s="127"/>
      <c r="AN19" s="128"/>
    </row>
    <row r="20" spans="1:40" x14ac:dyDescent="0.3">
      <c r="A20" s="24">
        <v>2032</v>
      </c>
      <c r="B20" s="123">
        <v>2797.8547699271589</v>
      </c>
      <c r="C20" s="127">
        <v>3143.4916177177683</v>
      </c>
      <c r="D20" s="127">
        <v>3912.4510751197568</v>
      </c>
      <c r="E20" s="123"/>
      <c r="F20" s="127"/>
      <c r="G20" s="128"/>
      <c r="H20" s="128"/>
      <c r="I20" s="132"/>
      <c r="J20" s="123"/>
      <c r="K20" s="127"/>
      <c r="L20" s="128"/>
      <c r="M20" s="123"/>
      <c r="N20" s="127"/>
      <c r="O20" s="127"/>
      <c r="P20" s="123"/>
      <c r="Q20" s="127"/>
      <c r="R20" s="127"/>
      <c r="S20" s="123"/>
      <c r="T20" s="127"/>
      <c r="U20" s="128"/>
      <c r="V20" s="123"/>
      <c r="W20" s="127"/>
      <c r="X20" s="128"/>
      <c r="Y20" s="123"/>
      <c r="Z20" s="127"/>
      <c r="AA20" s="128"/>
      <c r="AB20" s="123"/>
      <c r="AC20" s="127"/>
      <c r="AD20" s="128"/>
      <c r="AE20" s="132"/>
      <c r="AF20" s="132"/>
      <c r="AG20" s="132"/>
      <c r="AH20" s="132"/>
      <c r="AI20" s="123"/>
      <c r="AJ20" s="127"/>
      <c r="AK20" s="127"/>
      <c r="AL20" s="123"/>
      <c r="AM20" s="127"/>
      <c r="AN20" s="128"/>
    </row>
    <row r="21" spans="1:40" x14ac:dyDescent="0.3">
      <c r="A21" s="24">
        <v>2033</v>
      </c>
      <c r="B21" s="123">
        <v>2761.0829823428799</v>
      </c>
      <c r="C21" s="127">
        <v>3108.8691164559973</v>
      </c>
      <c r="D21" s="127">
        <v>3886.0443881100286</v>
      </c>
      <c r="E21" s="123"/>
      <c r="F21" s="127"/>
      <c r="G21" s="128"/>
      <c r="H21" s="128"/>
      <c r="I21" s="132"/>
      <c r="J21" s="123"/>
      <c r="K21" s="127"/>
      <c r="L21" s="128"/>
      <c r="M21" s="123"/>
      <c r="N21" s="127"/>
      <c r="O21" s="127"/>
      <c r="P21" s="123"/>
      <c r="Q21" s="127"/>
      <c r="R21" s="127"/>
      <c r="S21" s="123"/>
      <c r="T21" s="127"/>
      <c r="U21" s="128"/>
      <c r="V21" s="123"/>
      <c r="W21" s="127"/>
      <c r="X21" s="128"/>
      <c r="Y21" s="123"/>
      <c r="Z21" s="127"/>
      <c r="AA21" s="128"/>
      <c r="AB21" s="123"/>
      <c r="AC21" s="127"/>
      <c r="AD21" s="128"/>
      <c r="AE21" s="132"/>
      <c r="AF21" s="132"/>
      <c r="AG21" s="132"/>
      <c r="AH21" s="132"/>
      <c r="AI21" s="123"/>
      <c r="AJ21" s="127"/>
      <c r="AK21" s="127"/>
      <c r="AL21" s="123"/>
      <c r="AM21" s="127"/>
      <c r="AN21" s="128"/>
    </row>
    <row r="22" spans="1:40" x14ac:dyDescent="0.3">
      <c r="A22" s="24">
        <v>2034</v>
      </c>
      <c r="B22" s="123">
        <v>2726.8492671106642</v>
      </c>
      <c r="C22" s="127">
        <v>3076.636338919523</v>
      </c>
      <c r="D22" s="127">
        <v>3861.4603506534495</v>
      </c>
      <c r="E22" s="123"/>
      <c r="F22" s="127"/>
      <c r="G22" s="128"/>
      <c r="H22" s="128"/>
      <c r="I22" s="132"/>
      <c r="J22" s="123"/>
      <c r="K22" s="127"/>
      <c r="L22" s="128"/>
      <c r="M22" s="123"/>
      <c r="N22" s="127"/>
      <c r="O22" s="127"/>
      <c r="P22" s="123"/>
      <c r="Q22" s="127"/>
      <c r="R22" s="127"/>
      <c r="S22" s="123"/>
      <c r="T22" s="127"/>
      <c r="U22" s="128"/>
      <c r="V22" s="123"/>
      <c r="W22" s="127"/>
      <c r="X22" s="128"/>
      <c r="Y22" s="123"/>
      <c r="Z22" s="127"/>
      <c r="AA22" s="128"/>
      <c r="AB22" s="123"/>
      <c r="AC22" s="127"/>
      <c r="AD22" s="128"/>
      <c r="AE22" s="132"/>
      <c r="AF22" s="132"/>
      <c r="AG22" s="132"/>
      <c r="AH22" s="132"/>
      <c r="AI22" s="123"/>
      <c r="AJ22" s="127"/>
      <c r="AK22" s="127"/>
      <c r="AL22" s="123"/>
      <c r="AM22" s="127"/>
      <c r="AN22" s="128"/>
    </row>
    <row r="23" spans="1:40" x14ac:dyDescent="0.3">
      <c r="A23" s="24">
        <v>2035</v>
      </c>
      <c r="B23" s="123">
        <v>2694.8257651674257</v>
      </c>
      <c r="C23" s="127">
        <v>3046.484589187613</v>
      </c>
      <c r="D23" s="127">
        <v>3838.4635194324387</v>
      </c>
      <c r="E23" s="123"/>
      <c r="F23" s="127"/>
      <c r="G23" s="128"/>
      <c r="H23" s="128">
        <v>3071.7776519999993</v>
      </c>
      <c r="I23" s="132">
        <v>3034.2096379999998</v>
      </c>
      <c r="J23" s="123"/>
      <c r="K23" s="127"/>
      <c r="L23" s="128"/>
      <c r="M23" s="123"/>
      <c r="N23" s="127">
        <v>2428.0822490014566</v>
      </c>
      <c r="O23" s="127"/>
      <c r="P23" s="123"/>
      <c r="Q23" s="1">
        <v>3503.0457477744844</v>
      </c>
      <c r="R23" s="127"/>
      <c r="S23" s="123"/>
      <c r="T23" s="127"/>
      <c r="U23" s="128"/>
      <c r="V23" s="123"/>
      <c r="W23" s="127"/>
      <c r="X23" s="128"/>
      <c r="Y23" s="123"/>
      <c r="Z23" s="127"/>
      <c r="AA23" s="128"/>
      <c r="AB23" s="123">
        <v>3487.8375000000001</v>
      </c>
      <c r="AC23" s="127">
        <v>3720.36</v>
      </c>
      <c r="AD23" s="128">
        <v>3952.8825000000002</v>
      </c>
      <c r="AE23" s="132"/>
      <c r="AF23" s="132"/>
      <c r="AG23" s="132">
        <v>3318.7712400000005</v>
      </c>
      <c r="AH23" s="132">
        <v>3070.3920959999996</v>
      </c>
      <c r="AI23" s="123">
        <v>1331.1823000000002</v>
      </c>
      <c r="AJ23" s="127">
        <v>2417.2452000000003</v>
      </c>
      <c r="AK23" s="127">
        <v>4123.9140000000007</v>
      </c>
      <c r="AL23" s="123"/>
      <c r="AM23" s="127"/>
      <c r="AN23" s="128"/>
    </row>
    <row r="24" spans="1:40" x14ac:dyDescent="0.3">
      <c r="A24" s="24">
        <v>2036</v>
      </c>
      <c r="B24" s="123">
        <v>2664.7443090025345</v>
      </c>
      <c r="C24" s="127">
        <v>3018.1613739607815</v>
      </c>
      <c r="D24" s="127">
        <v>3816.8613170395715</v>
      </c>
      <c r="E24" s="123"/>
      <c r="F24" s="127"/>
      <c r="G24" s="128"/>
      <c r="H24" s="128"/>
      <c r="I24" s="132"/>
      <c r="J24" s="123"/>
      <c r="K24" s="127"/>
      <c r="L24" s="128"/>
      <c r="M24" s="123"/>
      <c r="N24" s="127"/>
      <c r="O24" s="127"/>
      <c r="P24" s="123"/>
      <c r="Q24" s="127"/>
      <c r="R24" s="127"/>
      <c r="S24" s="123"/>
      <c r="T24" s="127"/>
      <c r="U24" s="128"/>
      <c r="V24" s="123"/>
      <c r="W24" s="127"/>
      <c r="X24" s="128"/>
      <c r="Y24" s="123"/>
      <c r="Z24" s="127"/>
      <c r="AA24" s="128"/>
      <c r="AB24" s="123"/>
      <c r="AC24" s="127"/>
      <c r="AD24" s="128"/>
      <c r="AE24" s="132"/>
      <c r="AF24" s="132"/>
      <c r="AG24" s="132"/>
      <c r="AH24" s="132"/>
      <c r="AI24" s="123"/>
      <c r="AJ24" s="127"/>
      <c r="AK24" s="127"/>
      <c r="AL24" s="123"/>
      <c r="AM24" s="127"/>
      <c r="AN24" s="128"/>
    </row>
    <row r="25" spans="1:40" x14ac:dyDescent="0.3">
      <c r="A25" s="24">
        <v>2037</v>
      </c>
      <c r="B25" s="123">
        <v>2636.3827577241241</v>
      </c>
      <c r="C25" s="127">
        <v>2991.4575363333074</v>
      </c>
      <c r="D25" s="127">
        <v>3796.4942188667446</v>
      </c>
      <c r="E25" s="123"/>
      <c r="F25" s="127"/>
      <c r="G25" s="128"/>
      <c r="H25" s="128"/>
      <c r="I25" s="132"/>
      <c r="J25" s="123"/>
      <c r="K25" s="127"/>
      <c r="L25" s="128"/>
      <c r="M25" s="123"/>
      <c r="N25" s="127"/>
      <c r="O25" s="127"/>
      <c r="P25" s="123"/>
      <c r="Q25" s="127"/>
      <c r="R25" s="127"/>
      <c r="S25" s="123"/>
      <c r="T25" s="127"/>
      <c r="U25" s="128"/>
      <c r="V25" s="123"/>
      <c r="W25" s="127"/>
      <c r="X25" s="128"/>
      <c r="Y25" s="123"/>
      <c r="Z25" s="127"/>
      <c r="AA25" s="128"/>
      <c r="AB25" s="123"/>
      <c r="AC25" s="127"/>
      <c r="AD25" s="128"/>
      <c r="AE25" s="132"/>
      <c r="AF25" s="132"/>
      <c r="AG25" s="132"/>
      <c r="AH25" s="132"/>
      <c r="AI25" s="123"/>
      <c r="AJ25" s="127"/>
      <c r="AK25" s="127"/>
      <c r="AL25" s="123"/>
      <c r="AM25" s="127"/>
      <c r="AN25" s="128"/>
    </row>
    <row r="26" spans="1:40" x14ac:dyDescent="0.3">
      <c r="A26" s="24">
        <v>2038</v>
      </c>
      <c r="B26" s="123">
        <v>2609.5550316638464</v>
      </c>
      <c r="C26" s="127">
        <v>2966.1978728686586</v>
      </c>
      <c r="D26" s="127">
        <v>3777.2285967200701</v>
      </c>
      <c r="E26" s="123"/>
      <c r="F26" s="127"/>
      <c r="G26" s="128"/>
      <c r="H26" s="128"/>
      <c r="I26" s="132"/>
      <c r="J26" s="123"/>
      <c r="K26" s="127"/>
      <c r="L26" s="128"/>
      <c r="M26" s="123"/>
      <c r="N26" s="127"/>
      <c r="O26" s="127"/>
      <c r="P26" s="123"/>
      <c r="Q26" s="127"/>
      <c r="R26" s="127"/>
      <c r="S26" s="123"/>
      <c r="T26" s="127"/>
      <c r="U26" s="128"/>
      <c r="V26" s="123"/>
      <c r="W26" s="127"/>
      <c r="X26" s="128"/>
      <c r="Y26" s="123"/>
      <c r="Z26" s="127"/>
      <c r="AA26" s="128"/>
      <c r="AB26" s="123"/>
      <c r="AC26" s="127"/>
      <c r="AD26" s="128"/>
      <c r="AE26" s="132"/>
      <c r="AF26" s="132"/>
      <c r="AG26" s="132"/>
      <c r="AH26" s="132"/>
      <c r="AI26" s="123"/>
      <c r="AJ26" s="127"/>
      <c r="AK26" s="127"/>
      <c r="AL26" s="123"/>
      <c r="AM26" s="127"/>
      <c r="AN26" s="128"/>
    </row>
    <row r="27" spans="1:40" x14ac:dyDescent="0.3">
      <c r="A27" s="24">
        <v>2039</v>
      </c>
      <c r="B27" s="123">
        <v>2584.1037061059919</v>
      </c>
      <c r="C27" s="127">
        <v>2942.2341602201786</v>
      </c>
      <c r="D27" s="127">
        <v>3758.9514002022629</v>
      </c>
      <c r="E27" s="123"/>
      <c r="F27" s="127"/>
      <c r="G27" s="128"/>
      <c r="H27" s="128"/>
      <c r="I27" s="132"/>
      <c r="J27" s="123"/>
      <c r="K27" s="127"/>
      <c r="L27" s="128"/>
      <c r="M27" s="123"/>
      <c r="N27" s="127"/>
      <c r="O27" s="127"/>
      <c r="P27" s="123"/>
      <c r="Q27" s="127"/>
      <c r="R27" s="127"/>
      <c r="S27" s="123"/>
      <c r="T27" s="127"/>
      <c r="U27" s="128"/>
      <c r="V27" s="123"/>
      <c r="W27" s="127"/>
      <c r="X27" s="128"/>
      <c r="Y27" s="123"/>
      <c r="Z27" s="127"/>
      <c r="AA27" s="128"/>
      <c r="AB27" s="123"/>
      <c r="AC27" s="127"/>
      <c r="AD27" s="128"/>
      <c r="AE27" s="132"/>
      <c r="AF27" s="132"/>
      <c r="AG27" s="132"/>
      <c r="AH27" s="132"/>
      <c r="AI27" s="123"/>
      <c r="AJ27" s="127"/>
      <c r="AK27" s="127"/>
      <c r="AL27" s="123"/>
      <c r="AM27" s="127"/>
      <c r="AN27" s="128"/>
    </row>
    <row r="28" spans="1:40" x14ac:dyDescent="0.3">
      <c r="A28" s="24">
        <v>2040</v>
      </c>
      <c r="B28" s="123">
        <v>2559.8944138949064</v>
      </c>
      <c r="C28" s="127">
        <v>2919.4398849023464</v>
      </c>
      <c r="D28" s="127">
        <v>3741.5661370931475</v>
      </c>
      <c r="E28" s="123"/>
      <c r="F28" s="127"/>
      <c r="G28" s="128"/>
      <c r="H28" s="128">
        <v>3002.4998519999995</v>
      </c>
      <c r="I28" s="132"/>
      <c r="J28" s="123"/>
      <c r="K28" s="127"/>
      <c r="L28" s="128"/>
      <c r="M28" s="123"/>
      <c r="N28" s="127">
        <v>2311.8113793251018</v>
      </c>
      <c r="O28" s="127"/>
      <c r="P28" s="123"/>
      <c r="Q28" s="1">
        <v>3347.9224127375273</v>
      </c>
      <c r="R28" s="127"/>
      <c r="S28" s="123"/>
      <c r="T28" s="127"/>
      <c r="U28" s="128"/>
      <c r="V28" s="123"/>
      <c r="W28" s="127"/>
      <c r="X28" s="128"/>
      <c r="Y28" s="123"/>
      <c r="Z28" s="127"/>
      <c r="AA28" s="128"/>
      <c r="AB28" s="123">
        <v>3255.3150000000001</v>
      </c>
      <c r="AC28" s="127">
        <v>3454.62</v>
      </c>
      <c r="AD28" s="128">
        <v>3653.9250000000002</v>
      </c>
      <c r="AE28" s="132"/>
      <c r="AF28" s="132"/>
      <c r="AG28" s="132">
        <v>3210.8437200000003</v>
      </c>
      <c r="AH28" s="132">
        <v>3003.8854080000001</v>
      </c>
      <c r="AI28" s="123">
        <v>1203.4005</v>
      </c>
      <c r="AJ28" s="127">
        <v>2298.5995000000003</v>
      </c>
      <c r="AK28" s="127">
        <v>4050.8973000000001</v>
      </c>
      <c r="AL28" s="123"/>
      <c r="AM28" s="127"/>
      <c r="AN28" s="128"/>
    </row>
    <row r="29" spans="1:40" x14ac:dyDescent="0.3">
      <c r="A29" s="24">
        <v>2041</v>
      </c>
      <c r="B29" s="123">
        <v>2536.8115513683861</v>
      </c>
      <c r="C29" s="127">
        <v>2897.7062002094804</v>
      </c>
      <c r="D29" s="127">
        <v>3724.9897896792681</v>
      </c>
      <c r="E29" s="123"/>
      <c r="F29" s="127"/>
      <c r="G29" s="128"/>
      <c r="H29" s="128"/>
      <c r="I29" s="132"/>
      <c r="J29" s="123"/>
      <c r="K29" s="127"/>
      <c r="L29" s="128"/>
      <c r="M29" s="123"/>
      <c r="N29" s="127"/>
      <c r="O29" s="127"/>
      <c r="P29" s="123"/>
      <c r="Q29" s="127"/>
      <c r="R29" s="127"/>
      <c r="S29" s="123"/>
      <c r="T29" s="127"/>
      <c r="U29" s="128"/>
      <c r="V29" s="123"/>
      <c r="W29" s="127"/>
      <c r="X29" s="128"/>
      <c r="Y29" s="123"/>
      <c r="Z29" s="127"/>
      <c r="AA29" s="128"/>
      <c r="AB29" s="123"/>
      <c r="AC29" s="127"/>
      <c r="AD29" s="128"/>
      <c r="AE29" s="132"/>
      <c r="AF29" s="132"/>
      <c r="AG29" s="132"/>
      <c r="AH29" s="132"/>
      <c r="AI29" s="123"/>
      <c r="AJ29" s="127"/>
      <c r="AK29" s="127"/>
      <c r="AL29" s="123"/>
      <c r="AM29" s="127"/>
      <c r="AN29" s="128"/>
    </row>
    <row r="30" spans="1:40" x14ac:dyDescent="0.3">
      <c r="A30" s="24">
        <v>2042</v>
      </c>
      <c r="B30" s="123">
        <v>2514.754939596432</v>
      </c>
      <c r="C30" s="127">
        <v>2876.9387826028537</v>
      </c>
      <c r="D30" s="127">
        <v>3709.1504171107699</v>
      </c>
      <c r="E30" s="123"/>
      <c r="F30" s="127"/>
      <c r="G30" s="128"/>
      <c r="H30" s="128"/>
      <c r="I30" s="132"/>
      <c r="J30" s="123"/>
      <c r="K30" s="127"/>
      <c r="L30" s="128"/>
      <c r="M30" s="123"/>
      <c r="N30" s="127"/>
      <c r="O30" s="127"/>
      <c r="P30" s="123"/>
      <c r="Q30" s="127"/>
      <c r="R30" s="127"/>
      <c r="S30" s="123"/>
      <c r="T30" s="127"/>
      <c r="U30" s="128"/>
      <c r="V30" s="123"/>
      <c r="W30" s="127"/>
      <c r="X30" s="128"/>
      <c r="Y30" s="123"/>
      <c r="Z30" s="127"/>
      <c r="AA30" s="128"/>
      <c r="AB30" s="123"/>
      <c r="AC30" s="127"/>
      <c r="AD30" s="128"/>
      <c r="AE30" s="132"/>
      <c r="AF30" s="132"/>
      <c r="AG30" s="132"/>
      <c r="AH30" s="132"/>
      <c r="AI30" s="123"/>
      <c r="AJ30" s="127"/>
      <c r="AK30" s="127"/>
      <c r="AL30" s="123"/>
      <c r="AM30" s="127"/>
      <c r="AN30" s="128"/>
    </row>
    <row r="31" spans="1:40" x14ac:dyDescent="0.3">
      <c r="A31" s="24">
        <v>2043</v>
      </c>
      <c r="B31" s="123">
        <v>2493.6371967194514</v>
      </c>
      <c r="C31" s="127">
        <v>2857.0553576339626</v>
      </c>
      <c r="D31" s="127">
        <v>3693.985268415558</v>
      </c>
      <c r="E31" s="123"/>
      <c r="F31" s="127"/>
      <c r="G31" s="128"/>
      <c r="H31" s="128"/>
      <c r="I31" s="132"/>
      <c r="J31" s="123"/>
      <c r="K31" s="127"/>
      <c r="L31" s="128"/>
      <c r="M31" s="123"/>
      <c r="N31" s="127"/>
      <c r="O31" s="127"/>
      <c r="P31" s="123"/>
      <c r="Q31" s="127"/>
      <c r="R31" s="127"/>
      <c r="S31" s="123"/>
      <c r="T31" s="127"/>
      <c r="U31" s="128"/>
      <c r="V31" s="123"/>
      <c r="W31" s="127"/>
      <c r="X31" s="128"/>
      <c r="Y31" s="123"/>
      <c r="Z31" s="127"/>
      <c r="AA31" s="128"/>
      <c r="AB31" s="123"/>
      <c r="AC31" s="127"/>
      <c r="AD31" s="128"/>
      <c r="AE31" s="132"/>
      <c r="AF31" s="132"/>
      <c r="AG31" s="132"/>
      <c r="AH31" s="132"/>
      <c r="AI31" s="123"/>
      <c r="AJ31" s="127"/>
      <c r="AK31" s="127"/>
      <c r="AL31" s="123"/>
      <c r="AM31" s="127"/>
      <c r="AN31" s="128"/>
    </row>
    <row r="32" spans="1:40" x14ac:dyDescent="0.3">
      <c r="A32" s="24">
        <v>2044</v>
      </c>
      <c r="B32" s="123">
        <v>2473.3816470445572</v>
      </c>
      <c r="C32" s="127">
        <v>2837.9837312527438</v>
      </c>
      <c r="D32" s="127">
        <v>3679.4392809720862</v>
      </c>
      <c r="E32" s="123"/>
      <c r="F32" s="127"/>
      <c r="G32" s="128"/>
      <c r="H32" s="128"/>
      <c r="I32" s="132"/>
      <c r="J32" s="123"/>
      <c r="K32" s="127"/>
      <c r="L32" s="128"/>
      <c r="M32" s="123"/>
      <c r="N32" s="127"/>
      <c r="O32" s="127"/>
      <c r="P32" s="123"/>
      <c r="Q32" s="127"/>
      <c r="R32" s="127"/>
      <c r="S32" s="123"/>
      <c r="T32" s="127"/>
      <c r="U32" s="128"/>
      <c r="V32" s="123"/>
      <c r="W32" s="127"/>
      <c r="X32" s="128"/>
      <c r="Y32" s="123"/>
      <c r="Z32" s="127"/>
      <c r="AA32" s="128"/>
      <c r="AB32" s="123"/>
      <c r="AC32" s="127"/>
      <c r="AD32" s="128"/>
      <c r="AE32" s="132"/>
      <c r="AF32" s="132"/>
      <c r="AG32" s="132"/>
      <c r="AH32" s="132"/>
      <c r="AI32" s="123"/>
      <c r="AJ32" s="127"/>
      <c r="AK32" s="127"/>
      <c r="AL32" s="123"/>
      <c r="AM32" s="127"/>
      <c r="AN32" s="128"/>
    </row>
    <row r="33" spans="1:40" x14ac:dyDescent="0.3">
      <c r="A33" s="24">
        <v>2045</v>
      </c>
      <c r="B33" s="123">
        <v>2453.9206404745119</v>
      </c>
      <c r="C33" s="127">
        <v>2819.6602074647726</v>
      </c>
      <c r="D33" s="127">
        <v>3665.4638736516886</v>
      </c>
      <c r="E33" s="123"/>
      <c r="F33" s="127"/>
      <c r="G33" s="128"/>
      <c r="H33" s="128">
        <v>2967.8609519999995</v>
      </c>
      <c r="I33" s="132">
        <v>2302.1134479999996</v>
      </c>
      <c r="J33" s="123"/>
      <c r="K33" s="127"/>
      <c r="L33" s="128"/>
      <c r="M33" s="123"/>
      <c r="N33" s="127"/>
      <c r="O33" s="127"/>
      <c r="P33" s="123"/>
      <c r="Q33" s="127"/>
      <c r="R33" s="127"/>
      <c r="S33" s="123"/>
      <c r="T33" s="127"/>
      <c r="U33" s="128"/>
      <c r="V33" s="123"/>
      <c r="W33" s="127"/>
      <c r="X33" s="128"/>
      <c r="Y33" s="123"/>
      <c r="Z33" s="127"/>
      <c r="AA33" s="128"/>
      <c r="AB33" s="123">
        <v>3045.3804000000005</v>
      </c>
      <c r="AC33" s="127">
        <v>3214.7896500000002</v>
      </c>
      <c r="AD33" s="128">
        <v>3384.1989000000003</v>
      </c>
      <c r="AE33" s="132"/>
      <c r="AF33" s="132"/>
      <c r="AG33" s="132">
        <v>3129.8980800000004</v>
      </c>
      <c r="AH33" s="132">
        <v>2972.0176199999996</v>
      </c>
      <c r="AI33" s="123">
        <v>1084.7548000000002</v>
      </c>
      <c r="AJ33" s="127">
        <v>2170.8177000000001</v>
      </c>
      <c r="AK33" s="127">
        <v>3987.0167000000001</v>
      </c>
      <c r="AL33" s="123"/>
      <c r="AM33" s="127"/>
      <c r="AN33" s="128"/>
    </row>
    <row r="34" spans="1:40" x14ac:dyDescent="0.3">
      <c r="A34" s="24">
        <v>2046</v>
      </c>
      <c r="B34" s="123">
        <v>2435.1941892761502</v>
      </c>
      <c r="C34" s="127">
        <v>2802.0283047796561</v>
      </c>
      <c r="D34" s="127">
        <v>3652.015967849864</v>
      </c>
      <c r="E34" s="123"/>
      <c r="F34" s="127"/>
      <c r="G34" s="128"/>
      <c r="H34" s="128"/>
      <c r="I34" s="132"/>
      <c r="J34" s="123"/>
      <c r="K34" s="127"/>
      <c r="L34" s="128"/>
      <c r="M34" s="123"/>
      <c r="N34" s="127"/>
      <c r="O34" s="127"/>
      <c r="P34" s="123"/>
      <c r="Q34" s="127"/>
      <c r="R34" s="127"/>
      <c r="S34" s="123"/>
      <c r="T34" s="127"/>
      <c r="U34" s="128"/>
      <c r="V34" s="123"/>
      <c r="W34" s="127"/>
      <c r="X34" s="128"/>
      <c r="Y34" s="123"/>
      <c r="Z34" s="127"/>
      <c r="AA34" s="128"/>
      <c r="AB34" s="123"/>
      <c r="AC34" s="127"/>
      <c r="AD34" s="128"/>
      <c r="AE34" s="132"/>
      <c r="AF34" s="132"/>
      <c r="AG34" s="132"/>
      <c r="AH34" s="132"/>
      <c r="AI34" s="123"/>
      <c r="AJ34" s="127"/>
      <c r="AK34" s="127"/>
      <c r="AL34" s="123"/>
      <c r="AM34" s="127"/>
      <c r="AN34" s="128"/>
    </row>
    <row r="35" spans="1:40" x14ac:dyDescent="0.3">
      <c r="A35" s="24">
        <v>2047</v>
      </c>
      <c r="B35" s="123">
        <v>2417.1488528902341</v>
      </c>
      <c r="C35" s="127">
        <v>2785.037706203002</v>
      </c>
      <c r="D35" s="127">
        <v>3639.0571866419605</v>
      </c>
      <c r="E35" s="123"/>
      <c r="F35" s="127"/>
      <c r="G35" s="128"/>
      <c r="H35" s="128"/>
      <c r="I35" s="132"/>
      <c r="J35" s="123"/>
      <c r="K35" s="127"/>
      <c r="L35" s="128"/>
      <c r="M35" s="123"/>
      <c r="N35" s="127"/>
      <c r="O35" s="127"/>
      <c r="P35" s="123"/>
      <c r="Q35" s="127"/>
      <c r="R35" s="127"/>
      <c r="S35" s="123"/>
      <c r="T35" s="127"/>
      <c r="U35" s="128"/>
      <c r="V35" s="123"/>
      <c r="W35" s="127"/>
      <c r="X35" s="128"/>
      <c r="Y35" s="123"/>
      <c r="Z35" s="127"/>
      <c r="AA35" s="128"/>
      <c r="AB35" s="123"/>
      <c r="AC35" s="127"/>
      <c r="AD35" s="128"/>
      <c r="AE35" s="132"/>
      <c r="AF35" s="132"/>
      <c r="AG35" s="132"/>
      <c r="AH35" s="132"/>
      <c r="AI35" s="123"/>
      <c r="AJ35" s="127"/>
      <c r="AK35" s="127"/>
      <c r="AL35" s="123"/>
      <c r="AM35" s="127"/>
      <c r="AN35" s="128"/>
    </row>
    <row r="36" spans="1:40" x14ac:dyDescent="0.3">
      <c r="A36" s="24">
        <v>2048</v>
      </c>
      <c r="B36" s="123">
        <v>2399.7368185213086</v>
      </c>
      <c r="C36" s="127">
        <v>2768.6433935651835</v>
      </c>
      <c r="D36" s="127">
        <v>3626.5531945330913</v>
      </c>
      <c r="E36" s="123"/>
      <c r="F36" s="127"/>
      <c r="G36" s="128"/>
      <c r="H36" s="128"/>
      <c r="I36" s="132"/>
      <c r="J36" s="123"/>
      <c r="K36" s="127"/>
      <c r="L36" s="128"/>
      <c r="M36" s="123"/>
      <c r="N36" s="127"/>
      <c r="O36" s="127"/>
      <c r="P36" s="123"/>
      <c r="Q36" s="127"/>
      <c r="R36" s="127"/>
      <c r="S36" s="123"/>
      <c r="T36" s="127"/>
      <c r="U36" s="128"/>
      <c r="V36" s="123"/>
      <c r="W36" s="127"/>
      <c r="X36" s="128"/>
      <c r="Y36" s="123"/>
      <c r="Z36" s="127"/>
      <c r="AA36" s="128"/>
      <c r="AB36" s="123"/>
      <c r="AC36" s="127"/>
      <c r="AD36" s="128"/>
      <c r="AE36" s="132"/>
      <c r="AF36" s="132"/>
      <c r="AG36" s="132"/>
      <c r="AH36" s="132"/>
      <c r="AI36" s="123"/>
      <c r="AJ36" s="127"/>
      <c r="AK36" s="127"/>
      <c r="AL36" s="123"/>
      <c r="AM36" s="127"/>
      <c r="AN36" s="128"/>
    </row>
    <row r="37" spans="1:40" x14ac:dyDescent="0.3">
      <c r="A37" s="24">
        <v>2049</v>
      </c>
      <c r="B37" s="123">
        <v>2382.9151376580176</v>
      </c>
      <c r="C37" s="127">
        <v>2752.8049286665278</v>
      </c>
      <c r="D37" s="127">
        <v>3614.4731491853809</v>
      </c>
      <c r="E37" s="123"/>
      <c r="F37" s="127"/>
      <c r="G37" s="128"/>
      <c r="H37" s="128"/>
      <c r="I37" s="132"/>
      <c r="J37" s="123"/>
      <c r="K37" s="127"/>
      <c r="L37" s="128"/>
      <c r="M37" s="123"/>
      <c r="N37" s="127"/>
      <c r="O37" s="127"/>
      <c r="P37" s="123"/>
      <c r="Q37" s="127"/>
      <c r="R37" s="127"/>
      <c r="S37" s="123"/>
      <c r="T37" s="127"/>
      <c r="U37" s="128"/>
      <c r="V37" s="123"/>
      <c r="W37" s="127"/>
      <c r="X37" s="128"/>
      <c r="Y37" s="123"/>
      <c r="Z37" s="127"/>
      <c r="AA37" s="128"/>
      <c r="AB37" s="123"/>
      <c r="AC37" s="127"/>
      <c r="AD37" s="128"/>
      <c r="AE37" s="132"/>
      <c r="AF37" s="132"/>
      <c r="AG37" s="132"/>
      <c r="AH37" s="132"/>
      <c r="AI37" s="123"/>
      <c r="AJ37" s="127"/>
      <c r="AK37" s="127"/>
      <c r="AL37" s="123"/>
      <c r="AM37" s="127"/>
      <c r="AN37" s="128"/>
    </row>
    <row r="38" spans="1:40" ht="15" thickBot="1" x14ac:dyDescent="0.35">
      <c r="A38" s="25">
        <v>2050</v>
      </c>
      <c r="B38" s="124">
        <v>2366.6450878275882</v>
      </c>
      <c r="C38" s="129">
        <v>2737.4858523368262</v>
      </c>
      <c r="D38" s="129">
        <v>3602.7892430788288</v>
      </c>
      <c r="E38" s="124">
        <v>1455.8687769599999</v>
      </c>
      <c r="F38" s="129">
        <v>1894.9442304000002</v>
      </c>
      <c r="G38" s="130">
        <v>2449.5550310399999</v>
      </c>
      <c r="H38" s="130">
        <v>2955.3909479999998</v>
      </c>
      <c r="I38" s="133"/>
      <c r="J38" s="124">
        <v>1545</v>
      </c>
      <c r="K38" s="129">
        <v>1586.2</v>
      </c>
      <c r="L38" s="130">
        <v>1792.2</v>
      </c>
      <c r="M38" s="124">
        <v>1393.9564803834742</v>
      </c>
      <c r="N38" s="129">
        <v>2144.5484313591905</v>
      </c>
      <c r="O38" s="129">
        <v>2895.1403823349074</v>
      </c>
      <c r="P38" s="124">
        <v>2012.8291366430888</v>
      </c>
      <c r="Q38" s="129">
        <v>3096.6602102201355</v>
      </c>
      <c r="R38" s="129">
        <v>4180.4912837971842</v>
      </c>
      <c r="S38" s="124">
        <v>1297.8</v>
      </c>
      <c r="T38" s="129">
        <v>1380.2</v>
      </c>
      <c r="U38" s="130">
        <v>1545</v>
      </c>
      <c r="V38" s="124">
        <v>1256.6000000000001</v>
      </c>
      <c r="W38" s="129">
        <v>1318.4</v>
      </c>
      <c r="X38" s="130">
        <v>1462.6000000000001</v>
      </c>
      <c r="Y38" s="124">
        <v>1183.7996000000001</v>
      </c>
      <c r="Z38" s="129">
        <v>1429.3103999999998</v>
      </c>
      <c r="AA38" s="130">
        <v>1674.8212000000001</v>
      </c>
      <c r="AB38" s="124">
        <v>2858.0337</v>
      </c>
      <c r="AC38" s="129">
        <v>3000.2046</v>
      </c>
      <c r="AD38" s="130">
        <v>3142.3755000000001</v>
      </c>
      <c r="AE38" s="133">
        <v>2029.8719911799999</v>
      </c>
      <c r="AF38" s="133"/>
      <c r="AG38" s="133">
        <v>3075.9343200000003</v>
      </c>
      <c r="AH38" s="133">
        <v>2951.2342800000001</v>
      </c>
      <c r="AI38" s="124">
        <v>956.98742000000004</v>
      </c>
      <c r="AJ38" s="129">
        <v>2061.3081000000002</v>
      </c>
      <c r="AK38" s="129">
        <v>3923.1258000000003</v>
      </c>
      <c r="AL38" s="124"/>
      <c r="AM38" s="129"/>
      <c r="AN38" s="130"/>
    </row>
    <row r="40" spans="1:40" x14ac:dyDescent="0.3">
      <c r="A40" s="36" t="s">
        <v>24</v>
      </c>
    </row>
    <row r="41" spans="1:40" x14ac:dyDescent="0.3">
      <c r="A41" s="36" t="s">
        <v>257</v>
      </c>
    </row>
    <row r="42" spans="1:40" x14ac:dyDescent="0.3">
      <c r="A42" s="36" t="s">
        <v>60</v>
      </c>
    </row>
    <row r="43" spans="1:40" x14ac:dyDescent="0.3">
      <c r="A43" s="36" t="s">
        <v>308</v>
      </c>
    </row>
  </sheetData>
  <mergeCells count="12">
    <mergeCell ref="AB1:AD1"/>
    <mergeCell ref="AI1:AK1"/>
    <mergeCell ref="AL1:AN1"/>
    <mergeCell ref="A1:A2"/>
    <mergeCell ref="B1:D1"/>
    <mergeCell ref="E1:G1"/>
    <mergeCell ref="J1:L1"/>
    <mergeCell ref="S1:U1"/>
    <mergeCell ref="V1:X1"/>
    <mergeCell ref="Y1:AA1"/>
    <mergeCell ref="M1:O1"/>
    <mergeCell ref="P1:R1"/>
  </mergeCells>
  <pageMargins left="0.25" right="0.25" top="0.75" bottom="0.75" header="0.3" footer="0.3"/>
  <pageSetup paperSize="9" scale="30" orientation="landscape" r:id="rId1"/>
  <headerFooter>
    <oddFooter>&amp;C_x000D_&amp;1#&amp;"Calibri"&amp;7&amp;K000000 Classification: In-Confidence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72A8-84B3-49DC-98CD-1DD1E2B069A7}">
  <sheetPr>
    <tabColor rgb="FF002060"/>
    <pageSetUpPr fitToPage="1"/>
  </sheetPr>
  <dimension ref="A1:AD42"/>
  <sheetViews>
    <sheetView zoomScale="70" zoomScaleNormal="70" workbookViewId="0">
      <selection activeCell="O39" sqref="O39"/>
    </sheetView>
  </sheetViews>
  <sheetFormatPr defaultRowHeight="14.4" x14ac:dyDescent="0.3"/>
  <cols>
    <col min="2" max="2" width="6.6640625" bestFit="1" customWidth="1"/>
    <col min="3" max="3" width="7.44140625" bestFit="1" customWidth="1"/>
    <col min="4" max="4" width="7.88671875" bestFit="1" customWidth="1"/>
    <col min="5" max="5" width="6.21875" customWidth="1"/>
    <col min="6" max="6" width="6.6640625" bestFit="1" customWidth="1"/>
    <col min="7" max="7" width="7.44140625" bestFit="1" customWidth="1"/>
    <col min="8" max="10" width="6.6640625" bestFit="1" customWidth="1"/>
    <col min="11" max="11" width="6.33203125" customWidth="1"/>
    <col min="12" max="12" width="7.6640625" bestFit="1" customWidth="1"/>
    <col min="13" max="13" width="7.44140625" bestFit="1" customWidth="1"/>
    <col min="14" max="14" width="13.6640625" bestFit="1" customWidth="1"/>
    <col min="15" max="15" width="15.6640625" bestFit="1" customWidth="1"/>
    <col min="16" max="18" width="6.6640625" bestFit="1" customWidth="1"/>
    <col min="19" max="24" width="7.44140625" bestFit="1" customWidth="1"/>
    <col min="25" max="26" width="31.21875" bestFit="1" customWidth="1"/>
    <col min="27" max="27" width="16.21875" bestFit="1" customWidth="1"/>
    <col min="28" max="28" width="9" bestFit="1" customWidth="1"/>
  </cols>
  <sheetData>
    <row r="1" spans="1:30" ht="45" customHeight="1" thickBot="1" x14ac:dyDescent="0.35">
      <c r="A1" s="296" t="s">
        <v>0</v>
      </c>
      <c r="B1" s="291" t="s">
        <v>312</v>
      </c>
      <c r="C1" s="292"/>
      <c r="D1" s="292"/>
      <c r="E1" s="291" t="s">
        <v>31</v>
      </c>
      <c r="F1" s="292"/>
      <c r="G1" s="293"/>
      <c r="H1" s="292" t="s">
        <v>45</v>
      </c>
      <c r="I1" s="292"/>
      <c r="J1" s="292"/>
      <c r="K1" s="298" t="s">
        <v>12</v>
      </c>
      <c r="L1" s="299"/>
      <c r="M1" s="300"/>
      <c r="N1" s="28" t="s">
        <v>46</v>
      </c>
      <c r="O1" s="28" t="s">
        <v>41</v>
      </c>
      <c r="P1" s="291" t="s">
        <v>37</v>
      </c>
      <c r="Q1" s="292"/>
      <c r="R1" s="292"/>
      <c r="S1" s="291" t="s">
        <v>7</v>
      </c>
      <c r="T1" s="292"/>
      <c r="U1" s="293"/>
      <c r="V1" s="291" t="s">
        <v>11</v>
      </c>
      <c r="W1" s="292"/>
      <c r="X1" s="293"/>
      <c r="Y1" s="229" t="s">
        <v>318</v>
      </c>
      <c r="Z1" s="229" t="s">
        <v>319</v>
      </c>
      <c r="AA1" s="28" t="s">
        <v>47</v>
      </c>
      <c r="AB1" s="316" t="s">
        <v>27</v>
      </c>
      <c r="AC1" s="317"/>
      <c r="AD1" s="318"/>
    </row>
    <row r="2" spans="1:30" ht="15" thickBot="1" x14ac:dyDescent="0.35">
      <c r="A2" s="297"/>
      <c r="B2" s="53" t="s">
        <v>18</v>
      </c>
      <c r="C2" s="54" t="s">
        <v>19</v>
      </c>
      <c r="D2" s="55" t="s">
        <v>20</v>
      </c>
      <c r="E2" s="53" t="s">
        <v>18</v>
      </c>
      <c r="F2" s="54" t="s">
        <v>19</v>
      </c>
      <c r="G2" s="55" t="s">
        <v>20</v>
      </c>
      <c r="H2" s="54" t="s">
        <v>18</v>
      </c>
      <c r="I2" s="54" t="s">
        <v>19</v>
      </c>
      <c r="J2" s="54" t="s">
        <v>20</v>
      </c>
      <c r="K2" s="68" t="s">
        <v>18</v>
      </c>
      <c r="L2" s="69" t="s">
        <v>19</v>
      </c>
      <c r="M2" s="70" t="s">
        <v>20</v>
      </c>
      <c r="N2" s="67" t="s">
        <v>19</v>
      </c>
      <c r="O2" s="67" t="s">
        <v>19</v>
      </c>
      <c r="P2" s="53" t="s">
        <v>18</v>
      </c>
      <c r="Q2" s="54" t="s">
        <v>19</v>
      </c>
      <c r="R2" s="55" t="s">
        <v>20</v>
      </c>
      <c r="S2" s="53" t="s">
        <v>18</v>
      </c>
      <c r="T2" s="54" t="s">
        <v>19</v>
      </c>
      <c r="U2" s="55" t="s">
        <v>20</v>
      </c>
      <c r="V2" s="53" t="s">
        <v>18</v>
      </c>
      <c r="W2" s="54" t="s">
        <v>19</v>
      </c>
      <c r="X2" s="55" t="s">
        <v>20</v>
      </c>
      <c r="Y2" s="29" t="s">
        <v>19</v>
      </c>
      <c r="Z2" s="29" t="s">
        <v>19</v>
      </c>
      <c r="AA2" s="67" t="s">
        <v>19</v>
      </c>
      <c r="AB2" s="72" t="s">
        <v>18</v>
      </c>
      <c r="AC2" s="73" t="s">
        <v>19</v>
      </c>
      <c r="AD2" s="74" t="s">
        <v>20</v>
      </c>
    </row>
    <row r="3" spans="1:30" x14ac:dyDescent="0.3">
      <c r="A3" s="24">
        <v>2015</v>
      </c>
      <c r="B3" s="122"/>
      <c r="C3" s="125"/>
      <c r="D3" s="125"/>
      <c r="E3" s="123"/>
      <c r="F3" s="127"/>
      <c r="G3" s="127"/>
      <c r="H3" s="123"/>
      <c r="I3" s="127"/>
      <c r="J3" s="127"/>
      <c r="K3" s="122"/>
      <c r="L3" s="125"/>
      <c r="M3" s="126"/>
      <c r="N3" s="131"/>
      <c r="O3" s="131"/>
      <c r="P3" s="122"/>
      <c r="Q3" s="125"/>
      <c r="R3" s="125"/>
      <c r="S3" s="122"/>
      <c r="T3" s="125"/>
      <c r="U3" s="126"/>
      <c r="V3" s="122"/>
      <c r="W3" s="125"/>
      <c r="X3" s="126"/>
      <c r="Y3" s="122"/>
      <c r="Z3" s="122"/>
      <c r="AA3" s="131">
        <v>63.016847156739395</v>
      </c>
      <c r="AB3" s="122">
        <v>112.696832</v>
      </c>
      <c r="AC3" s="125">
        <v>152.73767000000001</v>
      </c>
      <c r="AD3" s="126">
        <v>193.57098999999999</v>
      </c>
    </row>
    <row r="4" spans="1:30" x14ac:dyDescent="0.3">
      <c r="A4" s="24">
        <v>2016</v>
      </c>
      <c r="B4" s="123"/>
      <c r="C4" s="127"/>
      <c r="D4" s="127"/>
      <c r="E4" s="123"/>
      <c r="F4" s="127"/>
      <c r="G4" s="127"/>
      <c r="H4" s="123"/>
      <c r="I4" s="127"/>
      <c r="J4" s="127"/>
      <c r="K4" s="123"/>
      <c r="L4" s="127"/>
      <c r="M4" s="128"/>
      <c r="N4" s="132"/>
      <c r="O4" s="132"/>
      <c r="P4" s="123"/>
      <c r="Q4" s="127"/>
      <c r="R4" s="127"/>
      <c r="S4" s="123"/>
      <c r="T4" s="127"/>
      <c r="U4" s="128"/>
      <c r="V4" s="123"/>
      <c r="W4" s="127"/>
      <c r="X4" s="128"/>
      <c r="Y4" s="123"/>
      <c r="Z4" s="123"/>
      <c r="AA4" s="132"/>
      <c r="AB4" s="123">
        <v>108.33766600000001</v>
      </c>
      <c r="AC4" s="127">
        <v>126.51593</v>
      </c>
      <c r="AD4" s="128">
        <v>373.07939000000005</v>
      </c>
    </row>
    <row r="5" spans="1:30" x14ac:dyDescent="0.3">
      <c r="A5" s="24">
        <v>2017</v>
      </c>
      <c r="B5" s="123"/>
      <c r="C5" s="127"/>
      <c r="D5" s="127"/>
      <c r="E5" s="123"/>
      <c r="F5" s="127"/>
      <c r="G5" s="127"/>
      <c r="H5" s="123"/>
      <c r="I5" s="127"/>
      <c r="J5" s="127"/>
      <c r="K5" s="123"/>
      <c r="L5" s="127"/>
      <c r="M5" s="128"/>
      <c r="N5" s="132"/>
      <c r="O5" s="132"/>
      <c r="P5" s="123"/>
      <c r="Q5" s="127"/>
      <c r="R5" s="127"/>
      <c r="S5" s="123"/>
      <c r="T5" s="127"/>
      <c r="U5" s="128"/>
      <c r="V5" s="123"/>
      <c r="W5" s="127"/>
      <c r="X5" s="128"/>
      <c r="Y5" s="123"/>
      <c r="Z5" s="123"/>
      <c r="AA5" s="132"/>
      <c r="AB5" s="123">
        <v>100.044415</v>
      </c>
      <c r="AC5" s="127">
        <v>115.56497</v>
      </c>
      <c r="AD5" s="128">
        <v>164.23865000000001</v>
      </c>
    </row>
    <row r="6" spans="1:30" x14ac:dyDescent="0.3">
      <c r="A6" s="24">
        <v>2018</v>
      </c>
      <c r="B6" s="123"/>
      <c r="C6" s="127"/>
      <c r="D6" s="127"/>
      <c r="E6" s="123"/>
      <c r="F6" s="127"/>
      <c r="G6" s="127"/>
      <c r="H6" s="123"/>
      <c r="I6" s="127"/>
      <c r="J6" s="127"/>
      <c r="K6" s="123"/>
      <c r="L6" s="127"/>
      <c r="M6" s="128"/>
      <c r="N6" s="132"/>
      <c r="O6" s="132"/>
      <c r="P6" s="123"/>
      <c r="Q6" s="127"/>
      <c r="R6" s="127"/>
      <c r="S6" s="123"/>
      <c r="T6" s="127"/>
      <c r="U6" s="128"/>
      <c r="V6" s="123"/>
      <c r="W6" s="127"/>
      <c r="X6" s="128"/>
      <c r="Y6" s="123"/>
      <c r="Z6" s="123"/>
      <c r="AA6" s="132"/>
      <c r="AB6" s="123">
        <v>73.892921000000001</v>
      </c>
      <c r="AC6" s="127">
        <v>108.86275999999999</v>
      </c>
      <c r="AD6" s="128">
        <v>227.44048000000001</v>
      </c>
    </row>
    <row r="7" spans="1:30" x14ac:dyDescent="0.3">
      <c r="A7" s="24">
        <v>2019</v>
      </c>
      <c r="B7" s="123"/>
      <c r="C7" s="127"/>
      <c r="D7" s="127"/>
      <c r="E7" s="123"/>
      <c r="F7" s="127"/>
      <c r="G7" s="127"/>
      <c r="H7" s="123"/>
      <c r="I7" s="127"/>
      <c r="J7" s="127"/>
      <c r="K7" s="123"/>
      <c r="L7" s="127"/>
      <c r="M7" s="128"/>
      <c r="N7" s="132"/>
      <c r="O7" s="132">
        <v>84.089303000000001</v>
      </c>
      <c r="P7" s="123"/>
      <c r="Q7" s="127"/>
      <c r="R7" s="127"/>
      <c r="S7" s="123"/>
      <c r="T7" s="127"/>
      <c r="U7" s="128"/>
      <c r="V7" s="123"/>
      <c r="W7" s="127"/>
      <c r="X7" s="128"/>
      <c r="Y7" s="123"/>
      <c r="Z7" s="123"/>
      <c r="AA7" s="132"/>
      <c r="AB7" s="123">
        <v>71.788630999999995</v>
      </c>
      <c r="AC7" s="127">
        <v>93.918490000000006</v>
      </c>
      <c r="AD7" s="128">
        <v>176.33599999999998</v>
      </c>
    </row>
    <row r="8" spans="1:30" x14ac:dyDescent="0.3">
      <c r="A8" s="24">
        <v>2020</v>
      </c>
      <c r="B8" s="123"/>
      <c r="C8" s="127"/>
      <c r="D8" s="127"/>
      <c r="E8" s="123">
        <v>61.338214579199999</v>
      </c>
      <c r="F8" s="127">
        <v>87.47038709760001</v>
      </c>
      <c r="G8" s="127">
        <v>123.40224000000001</v>
      </c>
      <c r="H8" s="123">
        <v>99.802562492199996</v>
      </c>
      <c r="I8" s="127">
        <v>100.44644847485999</v>
      </c>
      <c r="J8" s="127">
        <v>101.09033445751999</v>
      </c>
      <c r="K8" s="123">
        <v>99.49799999999999</v>
      </c>
      <c r="L8" s="127">
        <v>131.89150000000001</v>
      </c>
      <c r="M8" s="128">
        <v>164.285</v>
      </c>
      <c r="N8" s="132">
        <v>107.1988877</v>
      </c>
      <c r="O8" s="132"/>
      <c r="P8" s="123"/>
      <c r="Q8" s="127"/>
      <c r="R8" s="127"/>
      <c r="S8" s="123"/>
      <c r="T8" s="127"/>
      <c r="U8" s="128"/>
      <c r="V8" s="123"/>
      <c r="W8" s="127"/>
      <c r="X8" s="128"/>
      <c r="Y8" s="127">
        <v>45.418912766662615</v>
      </c>
      <c r="Z8" s="123"/>
      <c r="AA8" s="132">
        <v>49.787120200058546</v>
      </c>
      <c r="AB8" s="191">
        <v>71.079578999999995</v>
      </c>
      <c r="AC8" s="192">
        <v>90.739909999999995</v>
      </c>
      <c r="AD8" s="193">
        <v>248.73984999999999</v>
      </c>
    </row>
    <row r="9" spans="1:30" x14ac:dyDescent="0.3">
      <c r="A9" s="24">
        <v>2021</v>
      </c>
      <c r="B9" s="123">
        <v>74.924321845982206</v>
      </c>
      <c r="C9" s="127">
        <v>107.57933276266367</v>
      </c>
      <c r="D9" s="127">
        <v>199.07243410860434</v>
      </c>
      <c r="E9" s="123"/>
      <c r="F9" s="127"/>
      <c r="G9" s="127"/>
      <c r="H9" s="123"/>
      <c r="I9" s="127"/>
      <c r="J9" s="127"/>
      <c r="K9" s="123"/>
      <c r="L9" s="127">
        <v>131.1001201</v>
      </c>
      <c r="M9" s="128"/>
      <c r="N9" s="132">
        <v>102.32610602</v>
      </c>
      <c r="O9" s="132">
        <v>76.956759000000005</v>
      </c>
      <c r="P9" s="123"/>
      <c r="Q9" s="127"/>
      <c r="R9" s="127"/>
      <c r="S9" s="123"/>
      <c r="T9" s="127"/>
      <c r="U9" s="128"/>
      <c r="V9" s="123"/>
      <c r="W9" s="127"/>
      <c r="X9" s="128"/>
      <c r="Y9" s="127"/>
      <c r="Z9" s="123"/>
      <c r="AA9" s="132"/>
      <c r="AB9" s="191">
        <v>57.467511000000002</v>
      </c>
      <c r="AC9" s="192">
        <v>81.209319999999991</v>
      </c>
      <c r="AD9" s="193">
        <v>118.62509999999999</v>
      </c>
    </row>
    <row r="10" spans="1:30" x14ac:dyDescent="0.3">
      <c r="A10" s="24">
        <v>2022</v>
      </c>
      <c r="B10" s="217">
        <v>75.298427206891972</v>
      </c>
      <c r="C10" s="218">
        <v>111.03067960659838</v>
      </c>
      <c r="D10" s="218">
        <v>211.08306110153927</v>
      </c>
      <c r="E10" s="123"/>
      <c r="F10" s="127"/>
      <c r="G10" s="127"/>
      <c r="H10" s="123"/>
      <c r="I10" s="127"/>
      <c r="J10" s="127"/>
      <c r="K10" s="123"/>
      <c r="L10" s="127">
        <v>130.30874020000002</v>
      </c>
      <c r="M10" s="128"/>
      <c r="N10" s="132">
        <v>97.896459179999994</v>
      </c>
      <c r="O10" s="132"/>
      <c r="P10" s="123">
        <v>77.25</v>
      </c>
      <c r="Q10" s="127">
        <v>77.25</v>
      </c>
      <c r="R10" s="127">
        <v>77.25</v>
      </c>
      <c r="S10" s="123">
        <v>139.05000000000001</v>
      </c>
      <c r="T10" s="127">
        <v>139.05000000000001</v>
      </c>
      <c r="U10" s="128">
        <v>139.05000000000001</v>
      </c>
      <c r="V10" s="123">
        <v>103</v>
      </c>
      <c r="W10" s="127">
        <v>103</v>
      </c>
      <c r="X10" s="128">
        <v>108.15</v>
      </c>
      <c r="Y10" s="127"/>
      <c r="Z10" s="123"/>
      <c r="AA10" s="132"/>
      <c r="AB10" s="191">
        <v>59.745150000000002</v>
      </c>
      <c r="AC10" s="192">
        <v>83.070530000000005</v>
      </c>
      <c r="AD10" s="193">
        <v>222.60772000000003</v>
      </c>
    </row>
    <row r="11" spans="1:30" x14ac:dyDescent="0.3">
      <c r="A11" s="24">
        <v>2023</v>
      </c>
      <c r="B11" s="217">
        <v>69.352267323617568</v>
      </c>
      <c r="C11" s="218">
        <v>103.44094480036345</v>
      </c>
      <c r="D11" s="218">
        <v>198.93591709620409</v>
      </c>
      <c r="E11" s="123"/>
      <c r="F11" s="127"/>
      <c r="G11" s="127"/>
      <c r="H11" s="123"/>
      <c r="I11" s="127"/>
      <c r="J11" s="127"/>
      <c r="K11" s="123"/>
      <c r="L11" s="127">
        <v>129.51736030000001</v>
      </c>
      <c r="M11" s="128"/>
      <c r="N11" s="132">
        <v>93.466812340000004</v>
      </c>
      <c r="O11" s="132">
        <v>69.824112000000014</v>
      </c>
      <c r="P11" s="123"/>
      <c r="Q11" s="127"/>
      <c r="R11" s="127"/>
      <c r="S11" s="123"/>
      <c r="T11" s="127"/>
      <c r="U11" s="128"/>
      <c r="V11" s="123"/>
      <c r="W11" s="127"/>
      <c r="X11" s="128"/>
      <c r="Y11" s="127"/>
      <c r="Z11" s="123"/>
      <c r="AA11" s="132"/>
      <c r="AB11" s="123">
        <v>54.452238072463565</v>
      </c>
      <c r="AC11" s="127">
        <v>76.740791508464525</v>
      </c>
      <c r="AD11" s="128">
        <v>176.57503857276041</v>
      </c>
    </row>
    <row r="12" spans="1:30" x14ac:dyDescent="0.3">
      <c r="A12" s="24">
        <v>2024</v>
      </c>
      <c r="B12" s="123">
        <v>63.116061321269385</v>
      </c>
      <c r="C12" s="127">
        <v>94.746636036250777</v>
      </c>
      <c r="D12" s="127">
        <v>183.26733708872322</v>
      </c>
      <c r="E12" s="123"/>
      <c r="F12" s="127"/>
      <c r="G12" s="127"/>
      <c r="H12" s="123"/>
      <c r="I12" s="127"/>
      <c r="J12" s="127"/>
      <c r="K12" s="123"/>
      <c r="L12" s="127">
        <v>128.7259804</v>
      </c>
      <c r="M12" s="128"/>
      <c r="N12" s="132"/>
      <c r="O12" s="132"/>
      <c r="P12" s="123"/>
      <c r="Q12" s="127"/>
      <c r="R12" s="127"/>
      <c r="S12" s="123"/>
      <c r="T12" s="127"/>
      <c r="U12" s="128"/>
      <c r="V12" s="123"/>
      <c r="W12" s="127"/>
      <c r="X12" s="128"/>
      <c r="Y12" s="127"/>
      <c r="Z12" s="123"/>
      <c r="AA12" s="132"/>
      <c r="AB12" s="123"/>
      <c r="AC12" s="127"/>
      <c r="AD12" s="128"/>
    </row>
    <row r="13" spans="1:30" x14ac:dyDescent="0.3">
      <c r="A13" s="24">
        <v>2025</v>
      </c>
      <c r="B13" s="123">
        <v>60.543619907405009</v>
      </c>
      <c r="C13" s="127">
        <v>91.947935995160805</v>
      </c>
      <c r="D13" s="127">
        <v>179.83906039764315</v>
      </c>
      <c r="E13" s="123"/>
      <c r="F13" s="127">
        <v>78.207900000000009</v>
      </c>
      <c r="G13" s="127"/>
      <c r="H13" s="123">
        <v>83.705334532399988</v>
      </c>
      <c r="I13" s="127">
        <v>86.495508865999994</v>
      </c>
      <c r="J13" s="127">
        <v>89.285683199599987</v>
      </c>
      <c r="K13" s="123"/>
      <c r="L13" s="127">
        <v>127.93460049999999</v>
      </c>
      <c r="M13" s="128"/>
      <c r="N13" s="132">
        <v>84.607397120000002</v>
      </c>
      <c r="O13" s="132">
        <v>62.316133000000001</v>
      </c>
      <c r="P13" s="123"/>
      <c r="Q13" s="127"/>
      <c r="R13" s="127"/>
      <c r="S13" s="123"/>
      <c r="T13" s="127"/>
      <c r="U13" s="128"/>
      <c r="V13" s="123"/>
      <c r="W13" s="127"/>
      <c r="X13" s="128"/>
      <c r="Y13" s="127">
        <v>50.926160740229989</v>
      </c>
      <c r="Z13" s="123">
        <v>63.498280116065331</v>
      </c>
      <c r="AA13" s="132">
        <v>44.994982732915837</v>
      </c>
      <c r="AB13" s="123"/>
      <c r="AC13" s="127"/>
      <c r="AD13" s="128"/>
    </row>
    <row r="14" spans="1:30" x14ac:dyDescent="0.3">
      <c r="A14" s="24">
        <v>2026</v>
      </c>
      <c r="B14" s="123">
        <v>58.316002155884483</v>
      </c>
      <c r="C14" s="127">
        <v>89.516038911599466</v>
      </c>
      <c r="D14" s="127">
        <v>176.85275032971381</v>
      </c>
      <c r="E14" s="123"/>
      <c r="F14" s="127"/>
      <c r="G14" s="127"/>
      <c r="H14" s="123"/>
      <c r="I14" s="127"/>
      <c r="J14" s="127"/>
      <c r="K14" s="123"/>
      <c r="L14" s="127">
        <v>127.14322059999998</v>
      </c>
      <c r="M14" s="128"/>
      <c r="N14" s="132"/>
      <c r="O14" s="132"/>
      <c r="P14" s="123"/>
      <c r="Q14" s="127"/>
      <c r="R14" s="127"/>
      <c r="S14" s="123"/>
      <c r="T14" s="127"/>
      <c r="U14" s="128"/>
      <c r="V14" s="123"/>
      <c r="W14" s="127"/>
      <c r="X14" s="128"/>
      <c r="Y14" s="123"/>
      <c r="Z14" s="123"/>
      <c r="AA14" s="132"/>
      <c r="AB14" s="123"/>
      <c r="AC14" s="127"/>
      <c r="AD14" s="128"/>
    </row>
    <row r="15" spans="1:30" x14ac:dyDescent="0.3">
      <c r="A15" s="24">
        <v>2027</v>
      </c>
      <c r="B15" s="123">
        <v>56.349137477419184</v>
      </c>
      <c r="C15" s="127">
        <v>87.360284842207804</v>
      </c>
      <c r="D15" s="127">
        <v>174.19568722868502</v>
      </c>
      <c r="E15" s="123"/>
      <c r="F15" s="127"/>
      <c r="G15" s="127"/>
      <c r="H15" s="123"/>
      <c r="I15" s="127"/>
      <c r="J15" s="127"/>
      <c r="K15" s="123"/>
      <c r="L15" s="127">
        <v>126.35184069999997</v>
      </c>
      <c r="M15" s="128"/>
      <c r="N15" s="132">
        <v>75.747981899999999</v>
      </c>
      <c r="O15" s="132">
        <v>60.439164000000005</v>
      </c>
      <c r="P15" s="123"/>
      <c r="Q15" s="127"/>
      <c r="R15" s="127"/>
      <c r="S15" s="123"/>
      <c r="T15" s="127"/>
      <c r="U15" s="128"/>
      <c r="V15" s="123"/>
      <c r="W15" s="127"/>
      <c r="X15" s="128"/>
      <c r="Y15" s="123"/>
      <c r="Z15" s="123"/>
      <c r="AA15" s="132"/>
      <c r="AB15" s="123"/>
      <c r="AC15" s="127"/>
      <c r="AD15" s="128"/>
    </row>
    <row r="16" spans="1:30" x14ac:dyDescent="0.3">
      <c r="A16" s="24">
        <v>2028</v>
      </c>
      <c r="B16" s="123">
        <v>54.586851766763026</v>
      </c>
      <c r="C16" s="127">
        <v>85.420564178150386</v>
      </c>
      <c r="D16" s="127">
        <v>171.79398643606532</v>
      </c>
      <c r="E16" s="123"/>
      <c r="F16" s="127"/>
      <c r="G16" s="127"/>
      <c r="H16" s="123"/>
      <c r="I16" s="127"/>
      <c r="J16" s="127"/>
      <c r="K16" s="123"/>
      <c r="L16" s="127">
        <v>125.56046079999997</v>
      </c>
      <c r="M16" s="128"/>
      <c r="N16" s="132"/>
      <c r="O16" s="132"/>
      <c r="P16" s="123"/>
      <c r="Q16" s="127"/>
      <c r="R16" s="127"/>
      <c r="S16" s="123"/>
      <c r="T16" s="127"/>
      <c r="U16" s="128"/>
      <c r="V16" s="123"/>
      <c r="W16" s="127"/>
      <c r="X16" s="128"/>
      <c r="Y16" s="123"/>
      <c r="Z16" s="123"/>
      <c r="AA16" s="132"/>
      <c r="AB16" s="123"/>
      <c r="AC16" s="127"/>
      <c r="AD16" s="128"/>
    </row>
    <row r="17" spans="1:30" x14ac:dyDescent="0.3">
      <c r="A17" s="24">
        <v>2029</v>
      </c>
      <c r="B17" s="123">
        <v>52.989660790250433</v>
      </c>
      <c r="C17" s="127">
        <v>83.65487044949046</v>
      </c>
      <c r="D17" s="127">
        <v>169.59650532280907</v>
      </c>
      <c r="E17" s="123"/>
      <c r="F17" s="127"/>
      <c r="G17" s="127"/>
      <c r="H17" s="123"/>
      <c r="I17" s="127"/>
      <c r="J17" s="127"/>
      <c r="K17" s="123"/>
      <c r="L17" s="127">
        <v>124.76908089999996</v>
      </c>
      <c r="M17" s="128"/>
      <c r="N17" s="132">
        <v>67.331458439999992</v>
      </c>
      <c r="O17" s="132">
        <v>57.811427999999999</v>
      </c>
      <c r="P17" s="123"/>
      <c r="Q17" s="127"/>
      <c r="R17" s="127"/>
      <c r="S17" s="123"/>
      <c r="T17" s="127"/>
      <c r="U17" s="128"/>
      <c r="V17" s="123"/>
      <c r="W17" s="127"/>
      <c r="X17" s="128"/>
      <c r="Y17" s="123"/>
      <c r="Z17" s="123"/>
      <c r="AA17" s="132"/>
      <c r="AB17" s="123"/>
      <c r="AC17" s="127"/>
      <c r="AD17" s="128"/>
    </row>
    <row r="18" spans="1:30" x14ac:dyDescent="0.3">
      <c r="A18" s="24">
        <v>2030</v>
      </c>
      <c r="B18" s="123">
        <v>51.528706457880212</v>
      </c>
      <c r="C18" s="127">
        <v>82.032637044191475</v>
      </c>
      <c r="D18" s="127">
        <v>167.56633163349005</v>
      </c>
      <c r="E18" s="123">
        <v>37.383577420799995</v>
      </c>
      <c r="F18" s="127">
        <v>68.960051097600001</v>
      </c>
      <c r="G18" s="127">
        <v>111.062016</v>
      </c>
      <c r="H18" s="123">
        <v>77.051833850400001</v>
      </c>
      <c r="I18" s="127">
        <v>80.915160198799995</v>
      </c>
      <c r="J18" s="127">
        <v>84.778486547200004</v>
      </c>
      <c r="K18" s="123"/>
      <c r="L18" s="127">
        <v>123.97770099999995</v>
      </c>
      <c r="M18" s="128"/>
      <c r="N18" s="132">
        <v>62.901811599999995</v>
      </c>
      <c r="O18" s="132"/>
      <c r="P18" s="123">
        <v>46.35</v>
      </c>
      <c r="Q18" s="127">
        <v>46.35</v>
      </c>
      <c r="R18" s="127">
        <v>56.65</v>
      </c>
      <c r="S18" s="123">
        <v>77.25</v>
      </c>
      <c r="T18" s="127">
        <v>87.55</v>
      </c>
      <c r="U18" s="128">
        <v>92.7</v>
      </c>
      <c r="V18" s="123">
        <v>56.65</v>
      </c>
      <c r="W18" s="127">
        <v>56.65</v>
      </c>
      <c r="X18" s="128">
        <v>66.95</v>
      </c>
      <c r="Y18" s="123">
        <v>41.312425999814174</v>
      </c>
      <c r="Z18" s="123">
        <v>53.510852161553061</v>
      </c>
      <c r="AA18" s="132">
        <v>42.195916431375728</v>
      </c>
      <c r="AB18" s="123"/>
      <c r="AC18" s="127"/>
      <c r="AD18" s="128"/>
    </row>
    <row r="19" spans="1:30" x14ac:dyDescent="0.3">
      <c r="A19" s="24">
        <v>2031</v>
      </c>
      <c r="B19" s="123">
        <v>50.442629603856069</v>
      </c>
      <c r="C19" s="127">
        <v>80.81788395353</v>
      </c>
      <c r="D19" s="127">
        <v>165.93960314716395</v>
      </c>
      <c r="E19" s="123"/>
      <c r="F19" s="127"/>
      <c r="G19" s="127"/>
      <c r="H19" s="123"/>
      <c r="I19" s="127"/>
      <c r="J19" s="127"/>
      <c r="K19" s="123"/>
      <c r="L19" s="127">
        <v>123.18632109999994</v>
      </c>
      <c r="M19" s="128"/>
      <c r="N19" s="132"/>
      <c r="O19" s="132">
        <v>55.183589000000005</v>
      </c>
      <c r="P19" s="123"/>
      <c r="Q19" s="127"/>
      <c r="R19" s="127"/>
      <c r="S19" s="123"/>
      <c r="T19" s="127"/>
      <c r="U19" s="128"/>
      <c r="V19" s="123"/>
      <c r="W19" s="127"/>
      <c r="X19" s="128"/>
      <c r="Y19" s="123"/>
      <c r="Z19" s="123"/>
      <c r="AA19" s="132"/>
      <c r="AB19" s="123"/>
      <c r="AC19" s="127"/>
      <c r="AD19" s="128"/>
    </row>
    <row r="20" spans="1:30" x14ac:dyDescent="0.3">
      <c r="A20" s="24">
        <v>2032</v>
      </c>
      <c r="B20" s="123">
        <v>49.43879577645</v>
      </c>
      <c r="C20" s="127">
        <v>79.691716741763614</v>
      </c>
      <c r="D20" s="127">
        <v>164.42481727366388</v>
      </c>
      <c r="E20" s="123"/>
      <c r="F20" s="127"/>
      <c r="G20" s="127"/>
      <c r="H20" s="123"/>
      <c r="I20" s="127"/>
      <c r="J20" s="127"/>
      <c r="K20" s="123"/>
      <c r="L20" s="127">
        <v>122.39494119999995</v>
      </c>
      <c r="M20" s="128"/>
      <c r="N20" s="132"/>
      <c r="O20" s="132"/>
      <c r="P20" s="123"/>
      <c r="Q20" s="127"/>
      <c r="R20" s="127"/>
      <c r="S20" s="123"/>
      <c r="T20" s="127"/>
      <c r="U20" s="128"/>
      <c r="V20" s="123"/>
      <c r="W20" s="127"/>
      <c r="X20" s="128"/>
      <c r="Y20" s="123"/>
      <c r="Z20" s="123"/>
      <c r="AA20" s="132"/>
      <c r="AB20" s="123"/>
      <c r="AC20" s="127"/>
      <c r="AD20" s="128"/>
    </row>
    <row r="21" spans="1:30" x14ac:dyDescent="0.3">
      <c r="A21" s="24">
        <v>2033</v>
      </c>
      <c r="B21" s="123">
        <v>48.50554967396468</v>
      </c>
      <c r="C21" s="127">
        <v>78.641565972983628</v>
      </c>
      <c r="D21" s="127">
        <v>163.00597921044789</v>
      </c>
      <c r="E21" s="123"/>
      <c r="F21" s="127"/>
      <c r="G21" s="127"/>
      <c r="H21" s="123"/>
      <c r="I21" s="127"/>
      <c r="J21" s="127"/>
      <c r="K21" s="123"/>
      <c r="L21" s="127">
        <v>121.60356129999994</v>
      </c>
      <c r="M21" s="128"/>
      <c r="N21" s="132"/>
      <c r="O21" s="132">
        <v>53.306620000000002</v>
      </c>
      <c r="P21" s="123"/>
      <c r="Q21" s="127"/>
      <c r="R21" s="127"/>
      <c r="S21" s="123"/>
      <c r="T21" s="127"/>
      <c r="U21" s="128"/>
      <c r="V21" s="123"/>
      <c r="W21" s="127"/>
      <c r="X21" s="128"/>
      <c r="Y21" s="123"/>
      <c r="Z21" s="123"/>
      <c r="AA21" s="132"/>
      <c r="AB21" s="123"/>
      <c r="AC21" s="127"/>
      <c r="AD21" s="128"/>
    </row>
    <row r="22" spans="1:30" x14ac:dyDescent="0.3">
      <c r="A22" s="24">
        <v>2034</v>
      </c>
      <c r="B22" s="123">
        <v>47.633556636110633</v>
      </c>
      <c r="C22" s="127">
        <v>77.657380168490903</v>
      </c>
      <c r="D22" s="127">
        <v>161.67033002927516</v>
      </c>
      <c r="E22" s="123"/>
      <c r="F22" s="127"/>
      <c r="G22" s="127"/>
      <c r="H22" s="123"/>
      <c r="I22" s="127"/>
      <c r="J22" s="127"/>
      <c r="K22" s="123"/>
      <c r="L22" s="127">
        <v>120.81218139999993</v>
      </c>
      <c r="M22" s="128"/>
      <c r="N22" s="132"/>
      <c r="O22" s="132"/>
      <c r="P22" s="123"/>
      <c r="Q22" s="127"/>
      <c r="R22" s="127"/>
      <c r="S22" s="123"/>
      <c r="T22" s="127"/>
      <c r="U22" s="128"/>
      <c r="V22" s="123"/>
      <c r="W22" s="127"/>
      <c r="X22" s="128"/>
      <c r="Y22" s="123"/>
      <c r="Z22" s="123"/>
      <c r="AA22" s="132"/>
      <c r="AB22" s="123"/>
      <c r="AC22" s="127"/>
      <c r="AD22" s="128"/>
    </row>
    <row r="23" spans="1:30" x14ac:dyDescent="0.3">
      <c r="A23" s="24">
        <v>2035</v>
      </c>
      <c r="B23" s="123">
        <v>46.815224341863455</v>
      </c>
      <c r="C23" s="127">
        <v>76.730993696245335</v>
      </c>
      <c r="D23" s="127">
        <v>160.40752635051814</v>
      </c>
      <c r="E23" s="123"/>
      <c r="F23" s="127"/>
      <c r="G23" s="127"/>
      <c r="H23" s="123">
        <v>71.256896590000011</v>
      </c>
      <c r="I23" s="127">
        <v>74.79828778640001</v>
      </c>
      <c r="J23" s="127">
        <v>78.339678982799995</v>
      </c>
      <c r="K23" s="123"/>
      <c r="L23" s="127">
        <v>120.02080149999992</v>
      </c>
      <c r="M23" s="128"/>
      <c r="N23" s="132"/>
      <c r="O23" s="132">
        <v>50.678781000000001</v>
      </c>
      <c r="P23" s="123"/>
      <c r="Q23" s="127"/>
      <c r="R23" s="127"/>
      <c r="S23" s="123"/>
      <c r="T23" s="127"/>
      <c r="U23" s="128"/>
      <c r="V23" s="123"/>
      <c r="W23" s="127"/>
      <c r="X23" s="128"/>
      <c r="Y23" s="123">
        <v>38.36061105369636</v>
      </c>
      <c r="Z23" s="123">
        <v>49.803790120358627</v>
      </c>
      <c r="AA23" s="132">
        <v>40.716084151831502</v>
      </c>
      <c r="AB23" s="123"/>
      <c r="AC23" s="127"/>
      <c r="AD23" s="128"/>
    </row>
    <row r="24" spans="1:30" x14ac:dyDescent="0.3">
      <c r="A24" s="24">
        <v>2036</v>
      </c>
      <c r="B24" s="123">
        <v>46.044294278537492</v>
      </c>
      <c r="C24" s="127">
        <v>75.855681660707532</v>
      </c>
      <c r="D24" s="127">
        <v>159.20906497846676</v>
      </c>
      <c r="E24" s="123"/>
      <c r="F24" s="127"/>
      <c r="G24" s="127"/>
      <c r="H24" s="123"/>
      <c r="I24" s="127"/>
      <c r="J24" s="127"/>
      <c r="K24" s="123"/>
      <c r="L24" s="127">
        <v>119.22942159999991</v>
      </c>
      <c r="M24" s="128"/>
      <c r="N24" s="132"/>
      <c r="O24" s="132"/>
      <c r="P24" s="123"/>
      <c r="Q24" s="127"/>
      <c r="R24" s="127"/>
      <c r="S24" s="123"/>
      <c r="T24" s="127"/>
      <c r="U24" s="128"/>
      <c r="V24" s="123"/>
      <c r="W24" s="127"/>
      <c r="X24" s="128"/>
      <c r="Y24" s="123"/>
      <c r="Z24" s="123"/>
      <c r="AA24" s="132"/>
      <c r="AB24" s="123"/>
      <c r="AC24" s="127"/>
      <c r="AD24" s="128"/>
    </row>
    <row r="25" spans="1:30" x14ac:dyDescent="0.3">
      <c r="A25" s="24">
        <v>2037</v>
      </c>
      <c r="B25" s="123">
        <v>45.315546416410491</v>
      </c>
      <c r="C25" s="127">
        <v>75.025839010204621</v>
      </c>
      <c r="D25" s="127">
        <v>158.06786953141861</v>
      </c>
      <c r="E25" s="123"/>
      <c r="F25" s="127"/>
      <c r="G25" s="127"/>
      <c r="H25" s="123"/>
      <c r="I25" s="127"/>
      <c r="J25" s="127"/>
      <c r="K25" s="123"/>
      <c r="L25" s="127">
        <v>118.43804169999991</v>
      </c>
      <c r="M25" s="128"/>
      <c r="N25" s="132"/>
      <c r="O25" s="132"/>
      <c r="P25" s="123"/>
      <c r="Q25" s="127"/>
      <c r="R25" s="127"/>
      <c r="S25" s="123"/>
      <c r="T25" s="127"/>
      <c r="U25" s="128"/>
      <c r="V25" s="123"/>
      <c r="W25" s="127"/>
      <c r="X25" s="128"/>
      <c r="Y25" s="123"/>
      <c r="Z25" s="123"/>
      <c r="AA25" s="132"/>
      <c r="AB25" s="123"/>
      <c r="AC25" s="127"/>
      <c r="AD25" s="128"/>
    </row>
    <row r="26" spans="1:30" x14ac:dyDescent="0.3">
      <c r="A26" s="24">
        <v>2038</v>
      </c>
      <c r="B26" s="123">
        <v>44.624581383384331</v>
      </c>
      <c r="C26" s="127">
        <v>74.23674440288994</v>
      </c>
      <c r="D26" s="127">
        <v>156.97798717380573</v>
      </c>
      <c r="E26" s="123"/>
      <c r="F26" s="127"/>
      <c r="G26" s="127"/>
      <c r="H26" s="123"/>
      <c r="I26" s="127"/>
      <c r="J26" s="127"/>
      <c r="K26" s="123"/>
      <c r="L26" s="127">
        <v>117.6466617999999</v>
      </c>
      <c r="M26" s="128"/>
      <c r="N26" s="132"/>
      <c r="O26" s="132"/>
      <c r="P26" s="123"/>
      <c r="Q26" s="127"/>
      <c r="R26" s="127"/>
      <c r="S26" s="123"/>
      <c r="T26" s="127"/>
      <c r="U26" s="128"/>
      <c r="V26" s="123"/>
      <c r="W26" s="127"/>
      <c r="X26" s="128"/>
      <c r="Y26" s="123"/>
      <c r="Z26" s="123"/>
      <c r="AA26" s="132"/>
      <c r="AB26" s="123"/>
      <c r="AC26" s="127"/>
      <c r="AD26" s="128"/>
    </row>
    <row r="27" spans="1:30" x14ac:dyDescent="0.3">
      <c r="A27" s="24">
        <v>2039</v>
      </c>
      <c r="B27" s="123">
        <v>43.967656931255398</v>
      </c>
      <c r="C27" s="127">
        <v>73.484383279746666</v>
      </c>
      <c r="D27" s="127">
        <v>155.93436199156147</v>
      </c>
      <c r="E27" s="123"/>
      <c r="F27" s="127"/>
      <c r="G27" s="127"/>
      <c r="H27" s="123"/>
      <c r="I27" s="127"/>
      <c r="J27" s="127"/>
      <c r="K27" s="123"/>
      <c r="L27" s="127">
        <v>116.85528189999989</v>
      </c>
      <c r="M27" s="128"/>
      <c r="N27" s="132"/>
      <c r="O27" s="132"/>
      <c r="P27" s="123"/>
      <c r="Q27" s="127"/>
      <c r="R27" s="127"/>
      <c r="S27" s="123"/>
      <c r="T27" s="127"/>
      <c r="U27" s="128"/>
      <c r="V27" s="123"/>
      <c r="W27" s="127"/>
      <c r="X27" s="128"/>
      <c r="Y27" s="123"/>
      <c r="Z27" s="123"/>
      <c r="AA27" s="132"/>
      <c r="AB27" s="123"/>
      <c r="AC27" s="127"/>
      <c r="AD27" s="128"/>
    </row>
    <row r="28" spans="1:30" x14ac:dyDescent="0.3">
      <c r="A28" s="24">
        <v>2040</v>
      </c>
      <c r="B28" s="123">
        <v>43.341563215774251</v>
      </c>
      <c r="C28" s="127">
        <v>72.765313160409505</v>
      </c>
      <c r="D28" s="127">
        <v>154.93266285584596</v>
      </c>
      <c r="E28" s="123"/>
      <c r="F28" s="127"/>
      <c r="G28" s="127"/>
      <c r="H28" s="123">
        <v>70.613026285999993</v>
      </c>
      <c r="I28" s="127">
        <v>73.188559764199994</v>
      </c>
      <c r="J28" s="127">
        <v>75.764093242399994</v>
      </c>
      <c r="K28" s="123"/>
      <c r="L28" s="127">
        <v>116.06390199999989</v>
      </c>
      <c r="M28" s="128"/>
      <c r="N28" s="132"/>
      <c r="O28" s="132"/>
      <c r="P28" s="123"/>
      <c r="Q28" s="127"/>
      <c r="R28" s="127"/>
      <c r="S28" s="123"/>
      <c r="T28" s="127"/>
      <c r="U28" s="128"/>
      <c r="V28" s="123"/>
      <c r="W28" s="127"/>
      <c r="X28" s="128"/>
      <c r="Y28" s="123">
        <v>36.045793050469598</v>
      </c>
      <c r="Z28" s="123">
        <v>47.018591426486367</v>
      </c>
      <c r="AA28" s="132">
        <v>39.653447004414836</v>
      </c>
      <c r="AB28" s="123"/>
      <c r="AC28" s="127"/>
      <c r="AD28" s="128"/>
    </row>
    <row r="29" spans="1:30" x14ac:dyDescent="0.3">
      <c r="A29" s="24">
        <v>2041</v>
      </c>
      <c r="B29" s="123">
        <v>42.743526331177975</v>
      </c>
      <c r="C29" s="127">
        <v>72.076559608434323</v>
      </c>
      <c r="D29" s="127">
        <v>153.96915075634635</v>
      </c>
      <c r="E29" s="123"/>
      <c r="F29" s="127"/>
      <c r="G29" s="127"/>
      <c r="H29" s="123"/>
      <c r="I29" s="127"/>
      <c r="J29" s="127"/>
      <c r="K29" s="123"/>
      <c r="L29" s="127">
        <v>115.27252209999989</v>
      </c>
      <c r="M29" s="128"/>
      <c r="N29" s="132"/>
      <c r="O29" s="132"/>
      <c r="P29" s="123"/>
      <c r="Q29" s="127"/>
      <c r="R29" s="127"/>
      <c r="S29" s="123"/>
      <c r="T29" s="127"/>
      <c r="U29" s="128"/>
      <c r="V29" s="123"/>
      <c r="W29" s="127"/>
      <c r="X29" s="128"/>
      <c r="Y29" s="123"/>
      <c r="Z29" s="123"/>
      <c r="AA29" s="132"/>
      <c r="AB29" s="123"/>
      <c r="AC29" s="127"/>
      <c r="AD29" s="128"/>
    </row>
    <row r="30" spans="1:30" x14ac:dyDescent="0.3">
      <c r="A30" s="24">
        <v>2042</v>
      </c>
      <c r="B30" s="123">
        <v>42.1711327481597</v>
      </c>
      <c r="C30" s="127">
        <v>71.415534843581142</v>
      </c>
      <c r="D30" s="127">
        <v>153.04057520771107</v>
      </c>
      <c r="E30" s="123"/>
      <c r="F30" s="127"/>
      <c r="G30" s="127"/>
      <c r="H30" s="123"/>
      <c r="I30" s="127"/>
      <c r="J30" s="127"/>
      <c r="K30" s="123"/>
      <c r="L30" s="127">
        <v>114.48114219999988</v>
      </c>
      <c r="M30" s="128"/>
      <c r="N30" s="132"/>
      <c r="O30" s="132"/>
      <c r="P30" s="123"/>
      <c r="Q30" s="127"/>
      <c r="R30" s="127"/>
      <c r="S30" s="123"/>
      <c r="T30" s="127"/>
      <c r="U30" s="128"/>
      <c r="V30" s="123"/>
      <c r="W30" s="127"/>
      <c r="X30" s="128"/>
      <c r="Y30" s="123"/>
      <c r="Z30" s="123"/>
      <c r="AA30" s="132"/>
      <c r="AB30" s="123"/>
      <c r="AC30" s="127"/>
      <c r="AD30" s="128"/>
    </row>
    <row r="31" spans="1:30" x14ac:dyDescent="0.3">
      <c r="A31" s="24">
        <v>2043</v>
      </c>
      <c r="B31" s="123">
        <v>41.622269444003379</v>
      </c>
      <c r="C31" s="127">
        <v>70.779973326797247</v>
      </c>
      <c r="D31" s="127">
        <v>152.14409239623606</v>
      </c>
      <c r="E31" s="123"/>
      <c r="F31" s="127"/>
      <c r="G31" s="127"/>
      <c r="H31" s="123"/>
      <c r="I31" s="127"/>
      <c r="J31" s="127"/>
      <c r="K31" s="123"/>
      <c r="L31" s="127">
        <v>113.68976229999987</v>
      </c>
      <c r="M31" s="128"/>
      <c r="N31" s="132"/>
      <c r="O31" s="132"/>
      <c r="P31" s="123"/>
      <c r="Q31" s="127"/>
      <c r="R31" s="127"/>
      <c r="S31" s="123"/>
      <c r="T31" s="127"/>
      <c r="U31" s="128"/>
      <c r="V31" s="123"/>
      <c r="W31" s="127"/>
      <c r="X31" s="128"/>
      <c r="Y31" s="123"/>
      <c r="Z31" s="123"/>
      <c r="AA31" s="132"/>
      <c r="AB31" s="123"/>
      <c r="AC31" s="127"/>
      <c r="AD31" s="128"/>
    </row>
    <row r="32" spans="1:30" x14ac:dyDescent="0.3">
      <c r="A32" s="24">
        <v>2044</v>
      </c>
      <c r="B32" s="123">
        <v>41.095075969518632</v>
      </c>
      <c r="C32" s="127">
        <v>70.167880237114119</v>
      </c>
      <c r="D32" s="127">
        <v>151.27719980659344</v>
      </c>
      <c r="E32" s="123"/>
      <c r="F32" s="127"/>
      <c r="G32" s="127"/>
      <c r="H32" s="123"/>
      <c r="I32" s="127"/>
      <c r="J32" s="127"/>
      <c r="K32" s="123"/>
      <c r="L32" s="127">
        <v>112.89838239999986</v>
      </c>
      <c r="M32" s="128"/>
      <c r="N32" s="132"/>
      <c r="O32" s="132"/>
      <c r="P32" s="123"/>
      <c r="Q32" s="127"/>
      <c r="R32" s="127"/>
      <c r="S32" s="123"/>
      <c r="T32" s="127"/>
      <c r="U32" s="128"/>
      <c r="V32" s="123"/>
      <c r="W32" s="127"/>
      <c r="X32" s="128"/>
      <c r="Y32" s="123"/>
      <c r="Z32" s="123"/>
      <c r="AA32" s="132"/>
      <c r="AB32" s="123"/>
      <c r="AC32" s="127"/>
      <c r="AD32" s="128"/>
    </row>
    <row r="33" spans="1:30" x14ac:dyDescent="0.3">
      <c r="A33" s="24">
        <v>2045</v>
      </c>
      <c r="B33" s="123">
        <v>40.58790570605548</v>
      </c>
      <c r="C33" s="127">
        <v>69.577489861093596</v>
      </c>
      <c r="D33" s="127">
        <v>150.43768349698934</v>
      </c>
      <c r="E33" s="123"/>
      <c r="F33" s="127"/>
      <c r="G33" s="127"/>
      <c r="H33" s="123">
        <v>71.256896590000011</v>
      </c>
      <c r="I33" s="127">
        <v>73.295854060799982</v>
      </c>
      <c r="J33" s="127">
        <v>75.334811531599982</v>
      </c>
      <c r="K33" s="123"/>
      <c r="L33" s="127">
        <v>112.10700249999987</v>
      </c>
      <c r="M33" s="128"/>
      <c r="N33" s="132"/>
      <c r="O33" s="132"/>
      <c r="P33" s="123"/>
      <c r="Q33" s="127"/>
      <c r="R33" s="127"/>
      <c r="S33" s="123"/>
      <c r="T33" s="127"/>
      <c r="U33" s="128"/>
      <c r="V33" s="123"/>
      <c r="W33" s="127"/>
      <c r="X33" s="128"/>
      <c r="Y33" s="123"/>
      <c r="Z33" s="123"/>
      <c r="AA33" s="132">
        <v>38.596376626375267</v>
      </c>
      <c r="AB33" s="123"/>
      <c r="AC33" s="127"/>
      <c r="AD33" s="128"/>
    </row>
    <row r="34" spans="1:30" x14ac:dyDescent="0.3">
      <c r="A34" s="24">
        <v>2046</v>
      </c>
      <c r="B34" s="123">
        <v>40.099294276212653</v>
      </c>
      <c r="C34" s="127">
        <v>69.007231689504891</v>
      </c>
      <c r="D34" s="127">
        <v>149.62357519254792</v>
      </c>
      <c r="E34" s="123"/>
      <c r="F34" s="127"/>
      <c r="G34" s="127"/>
      <c r="H34" s="123"/>
      <c r="I34" s="127"/>
      <c r="J34" s="127"/>
      <c r="K34" s="123"/>
      <c r="L34" s="127">
        <v>111.31562259999986</v>
      </c>
      <c r="M34" s="128"/>
      <c r="N34" s="132"/>
      <c r="O34" s="132"/>
      <c r="P34" s="123"/>
      <c r="Q34" s="127"/>
      <c r="R34" s="127"/>
      <c r="S34" s="123"/>
      <c r="T34" s="127"/>
      <c r="U34" s="128"/>
      <c r="V34" s="123"/>
      <c r="W34" s="127"/>
      <c r="X34" s="128"/>
      <c r="Y34" s="123"/>
      <c r="Z34" s="123"/>
      <c r="AA34" s="132"/>
      <c r="AB34" s="123"/>
      <c r="AC34" s="127"/>
      <c r="AD34" s="128"/>
    </row>
    <row r="35" spans="1:30" x14ac:dyDescent="0.3">
      <c r="A35" s="24">
        <v>2047</v>
      </c>
      <c r="B35" s="123">
        <v>39.627933579646353</v>
      </c>
      <c r="C35" s="127">
        <v>68.455702568214988</v>
      </c>
      <c r="D35" s="127">
        <v>148.83311707957901</v>
      </c>
      <c r="E35" s="123"/>
      <c r="F35" s="127"/>
      <c r="G35" s="127"/>
      <c r="H35" s="123"/>
      <c r="I35" s="127"/>
      <c r="J35" s="127"/>
      <c r="K35" s="123"/>
      <c r="L35" s="127">
        <v>110.52424269999985</v>
      </c>
      <c r="M35" s="128"/>
      <c r="N35" s="132"/>
      <c r="O35" s="132"/>
      <c r="P35" s="123"/>
      <c r="Q35" s="127"/>
      <c r="R35" s="127"/>
      <c r="S35" s="123"/>
      <c r="T35" s="127"/>
      <c r="U35" s="128"/>
      <c r="V35" s="123"/>
      <c r="W35" s="127"/>
      <c r="X35" s="128"/>
      <c r="Y35" s="123"/>
      <c r="Z35" s="123"/>
      <c r="AA35" s="132"/>
      <c r="AB35" s="123"/>
      <c r="AC35" s="127"/>
      <c r="AD35" s="128"/>
    </row>
    <row r="36" spans="1:30" x14ac:dyDescent="0.3">
      <c r="A36" s="24">
        <v>2048</v>
      </c>
      <c r="B36" s="123">
        <v>39.172650293396607</v>
      </c>
      <c r="C36" s="127">
        <v>67.92164364985679</v>
      </c>
      <c r="D36" s="127">
        <v>148.06473269802149</v>
      </c>
      <c r="E36" s="123"/>
      <c r="F36" s="127"/>
      <c r="G36" s="127"/>
      <c r="H36" s="123"/>
      <c r="I36" s="127"/>
      <c r="J36" s="127"/>
      <c r="K36" s="123"/>
      <c r="L36" s="127">
        <v>109.73286279999984</v>
      </c>
      <c r="M36" s="128"/>
      <c r="N36" s="132"/>
      <c r="O36" s="132"/>
      <c r="P36" s="123"/>
      <c r="Q36" s="127"/>
      <c r="R36" s="127"/>
      <c r="S36" s="123"/>
      <c r="T36" s="127"/>
      <c r="U36" s="128"/>
      <c r="V36" s="123"/>
      <c r="W36" s="127"/>
      <c r="X36" s="128"/>
      <c r="Y36" s="123"/>
      <c r="Z36" s="123"/>
      <c r="AA36" s="132"/>
      <c r="AB36" s="123"/>
      <c r="AC36" s="127"/>
      <c r="AD36" s="128"/>
    </row>
    <row r="37" spans="1:30" x14ac:dyDescent="0.3">
      <c r="A37" s="24">
        <v>2049</v>
      </c>
      <c r="B37" s="123">
        <v>38.732387946247968</v>
      </c>
      <c r="C37" s="127">
        <v>67.403921185664558</v>
      </c>
      <c r="D37" s="127">
        <v>147.31700270575223</v>
      </c>
      <c r="E37" s="123"/>
      <c r="F37" s="127"/>
      <c r="G37" s="127"/>
      <c r="H37" s="123"/>
      <c r="I37" s="127"/>
      <c r="J37" s="127"/>
      <c r="K37" s="123"/>
      <c r="L37" s="127">
        <v>108.94148289999984</v>
      </c>
      <c r="M37" s="128"/>
      <c r="N37" s="132"/>
      <c r="O37" s="132"/>
      <c r="P37" s="123"/>
      <c r="Q37" s="127"/>
      <c r="R37" s="127"/>
      <c r="S37" s="123"/>
      <c r="T37" s="127"/>
      <c r="U37" s="128"/>
      <c r="V37" s="123"/>
      <c r="W37" s="127"/>
      <c r="X37" s="128"/>
      <c r="Y37" s="123"/>
      <c r="Z37" s="123"/>
      <c r="AA37" s="132"/>
      <c r="AB37" s="123"/>
      <c r="AC37" s="127"/>
      <c r="AD37" s="128"/>
    </row>
    <row r="38" spans="1:30" ht="15" thickBot="1" x14ac:dyDescent="0.35">
      <c r="A38" s="25">
        <v>2050</v>
      </c>
      <c r="B38" s="124">
        <v>38.306191877195886</v>
      </c>
      <c r="C38" s="129">
        <v>66.901510413986884</v>
      </c>
      <c r="D38" s="129">
        <v>146.58864456702679</v>
      </c>
      <c r="E38" s="124">
        <v>30.487654579199997</v>
      </c>
      <c r="F38" s="129">
        <v>55.893913420800004</v>
      </c>
      <c r="G38" s="129">
        <v>102.35125754880002</v>
      </c>
      <c r="H38" s="124">
        <v>72.544637198000004</v>
      </c>
      <c r="I38" s="129">
        <v>74.798235524199995</v>
      </c>
      <c r="J38" s="129">
        <v>77.051833850400001</v>
      </c>
      <c r="K38" s="124">
        <v>83.43</v>
      </c>
      <c r="L38" s="129">
        <v>108.15</v>
      </c>
      <c r="M38" s="130">
        <v>132.87</v>
      </c>
      <c r="N38" s="133"/>
      <c r="O38" s="133"/>
      <c r="P38" s="124">
        <v>30.900000000000002</v>
      </c>
      <c r="Q38" s="129">
        <v>30.900000000000002</v>
      </c>
      <c r="R38" s="129">
        <v>41.2</v>
      </c>
      <c r="S38" s="124">
        <v>51.5</v>
      </c>
      <c r="T38" s="129">
        <v>56.65</v>
      </c>
      <c r="U38" s="130">
        <v>66.95</v>
      </c>
      <c r="V38" s="124">
        <v>36.050000000000004</v>
      </c>
      <c r="W38" s="129">
        <v>36.050000000000004</v>
      </c>
      <c r="X38" s="130">
        <v>41.2</v>
      </c>
      <c r="Y38" s="124">
        <v>33.481026530529334</v>
      </c>
      <c r="Z38" s="124">
        <v>43.589492198409204</v>
      </c>
      <c r="AA38" s="133">
        <v>37.474197907734023</v>
      </c>
      <c r="AB38" s="124"/>
      <c r="AC38" s="129"/>
      <c r="AD38" s="130"/>
    </row>
    <row r="40" spans="1:30" x14ac:dyDescent="0.3">
      <c r="A40" s="36" t="s">
        <v>30</v>
      </c>
    </row>
    <row r="41" spans="1:30" x14ac:dyDescent="0.3">
      <c r="A41" s="36" t="s">
        <v>60</v>
      </c>
    </row>
    <row r="42" spans="1:30" x14ac:dyDescent="0.3">
      <c r="A42" s="36" t="s">
        <v>308</v>
      </c>
    </row>
  </sheetData>
  <mergeCells count="9">
    <mergeCell ref="V1:X1"/>
    <mergeCell ref="AB1:AD1"/>
    <mergeCell ref="A1:A2"/>
    <mergeCell ref="B1:D1"/>
    <mergeCell ref="E1:G1"/>
    <mergeCell ref="H1:J1"/>
    <mergeCell ref="K1:M1"/>
    <mergeCell ref="P1:R1"/>
    <mergeCell ref="S1:U1"/>
  </mergeCells>
  <pageMargins left="0.25" right="0.25" top="0.75" bottom="0.75" header="0.3" footer="0.3"/>
  <pageSetup paperSize="9" scale="48" orientation="landscape" r:id="rId1"/>
  <headerFooter>
    <oddFooter>&amp;C_x000D_&amp;1#&amp;"Calibri"&amp;7&amp;K000000 Classification: In-Confidence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4275-4835-4957-9ED1-6FA84BCFB8CD}">
  <sheetPr>
    <tabColor rgb="FF7030A0"/>
    <pageSetUpPr fitToPage="1"/>
  </sheetPr>
  <dimension ref="A1:AR42"/>
  <sheetViews>
    <sheetView zoomScale="70" zoomScaleNormal="70" workbookViewId="0">
      <selection activeCell="O39" sqref="O39"/>
    </sheetView>
  </sheetViews>
  <sheetFormatPr defaultRowHeight="14.4" x14ac:dyDescent="0.3"/>
  <cols>
    <col min="2" max="4" width="8.5546875" bestFit="1" customWidth="1"/>
    <col min="5" max="5" width="12.5546875" customWidth="1"/>
    <col min="6" max="11" width="8.5546875" bestFit="1" customWidth="1"/>
    <col min="12" max="14" width="7.88671875" bestFit="1" customWidth="1"/>
    <col min="15" max="17" width="8.5546875" bestFit="1" customWidth="1"/>
    <col min="18" max="18" width="15.33203125" customWidth="1"/>
    <col min="19" max="19" width="8.5546875" bestFit="1" customWidth="1"/>
    <col min="20" max="20" width="8.33203125" bestFit="1" customWidth="1"/>
    <col min="21" max="21" width="9" bestFit="1" customWidth="1"/>
    <col min="22" max="22" width="7.44140625" bestFit="1" customWidth="1"/>
    <col min="23" max="23" width="7.77734375" bestFit="1" customWidth="1"/>
    <col min="24" max="24" width="7.44140625" bestFit="1" customWidth="1"/>
    <col min="25" max="25" width="16.77734375" customWidth="1"/>
    <col min="26" max="28" width="8.88671875" customWidth="1"/>
    <col min="29" max="29" width="20.44140625" bestFit="1" customWidth="1"/>
    <col min="30" max="31" width="17.6640625" bestFit="1" customWidth="1"/>
    <col min="32" max="32" width="20.44140625" bestFit="1" customWidth="1"/>
    <col min="33" max="33" width="15.44140625" bestFit="1" customWidth="1"/>
    <col min="34" max="39" width="7.88671875" bestFit="1" customWidth="1"/>
    <col min="40" max="41" width="15.44140625" bestFit="1" customWidth="1"/>
  </cols>
  <sheetData>
    <row r="1" spans="1:44" ht="43.2" customHeight="1" thickBot="1" x14ac:dyDescent="0.35">
      <c r="A1" s="321" t="s">
        <v>0</v>
      </c>
      <c r="B1" s="298" t="s">
        <v>312</v>
      </c>
      <c r="C1" s="299"/>
      <c r="D1" s="300"/>
      <c r="E1" s="56" t="s">
        <v>48</v>
      </c>
      <c r="F1" s="298" t="s">
        <v>288</v>
      </c>
      <c r="G1" s="299"/>
      <c r="H1" s="300"/>
      <c r="I1" s="298" t="s">
        <v>49</v>
      </c>
      <c r="J1" s="299"/>
      <c r="K1" s="300"/>
      <c r="L1" s="298" t="s">
        <v>50</v>
      </c>
      <c r="M1" s="299"/>
      <c r="N1" s="299"/>
      <c r="O1" s="298" t="s">
        <v>51</v>
      </c>
      <c r="P1" s="299"/>
      <c r="Q1" s="299"/>
      <c r="R1" s="56" t="s">
        <v>52</v>
      </c>
      <c r="S1" s="298" t="s">
        <v>53</v>
      </c>
      <c r="T1" s="299"/>
      <c r="U1" s="300"/>
      <c r="V1" s="298" t="s">
        <v>54</v>
      </c>
      <c r="W1" s="299"/>
      <c r="X1" s="300"/>
      <c r="Y1" s="57" t="s">
        <v>15</v>
      </c>
      <c r="Z1" s="291" t="s">
        <v>316</v>
      </c>
      <c r="AA1" s="292"/>
      <c r="AB1" s="293"/>
      <c r="AC1" s="57" t="s">
        <v>44</v>
      </c>
      <c r="AD1" s="57" t="s">
        <v>10</v>
      </c>
      <c r="AE1" s="57" t="s">
        <v>9</v>
      </c>
      <c r="AF1" s="28" t="s">
        <v>287</v>
      </c>
      <c r="AG1" s="56" t="s">
        <v>289</v>
      </c>
      <c r="AH1" s="298" t="s">
        <v>35</v>
      </c>
      <c r="AI1" s="299"/>
      <c r="AJ1" s="300"/>
      <c r="AK1" s="298" t="s">
        <v>26</v>
      </c>
      <c r="AL1" s="299"/>
      <c r="AM1" s="300"/>
      <c r="AN1" s="56" t="s">
        <v>55</v>
      </c>
      <c r="AO1" s="56" t="s">
        <v>56</v>
      </c>
      <c r="AP1" s="323" t="s">
        <v>17</v>
      </c>
      <c r="AQ1" s="324"/>
      <c r="AR1" s="325"/>
    </row>
    <row r="2" spans="1:44" ht="15" thickBot="1" x14ac:dyDescent="0.35">
      <c r="A2" s="322"/>
      <c r="B2" s="68" t="s">
        <v>18</v>
      </c>
      <c r="C2" s="69" t="s">
        <v>19</v>
      </c>
      <c r="D2" s="69" t="s">
        <v>20</v>
      </c>
      <c r="E2" s="66" t="s">
        <v>19</v>
      </c>
      <c r="F2" s="68" t="s">
        <v>18</v>
      </c>
      <c r="G2" s="69" t="s">
        <v>19</v>
      </c>
      <c r="H2" s="69" t="s">
        <v>20</v>
      </c>
      <c r="I2" s="68" t="s">
        <v>18</v>
      </c>
      <c r="J2" s="69" t="s">
        <v>19</v>
      </c>
      <c r="K2" s="69" t="s">
        <v>20</v>
      </c>
      <c r="L2" s="68" t="s">
        <v>18</v>
      </c>
      <c r="M2" s="69" t="s">
        <v>19</v>
      </c>
      <c r="N2" s="69" t="s">
        <v>20</v>
      </c>
      <c r="O2" s="68" t="s">
        <v>18</v>
      </c>
      <c r="P2" s="69" t="s">
        <v>19</v>
      </c>
      <c r="Q2" s="69" t="s">
        <v>20</v>
      </c>
      <c r="R2" s="66" t="s">
        <v>19</v>
      </c>
      <c r="S2" s="68" t="s">
        <v>18</v>
      </c>
      <c r="T2" s="69" t="s">
        <v>19</v>
      </c>
      <c r="U2" s="70" t="s">
        <v>20</v>
      </c>
      <c r="V2" s="68" t="s">
        <v>18</v>
      </c>
      <c r="W2" s="69" t="s">
        <v>19</v>
      </c>
      <c r="X2" s="70" t="s">
        <v>20</v>
      </c>
      <c r="Y2" s="70" t="s">
        <v>19</v>
      </c>
      <c r="Z2" s="29" t="s">
        <v>18</v>
      </c>
      <c r="AA2" s="30" t="s">
        <v>19</v>
      </c>
      <c r="AB2" s="31" t="s">
        <v>20</v>
      </c>
      <c r="AC2" s="70" t="s">
        <v>19</v>
      </c>
      <c r="AD2" s="70" t="s">
        <v>19</v>
      </c>
      <c r="AE2" s="70" t="s">
        <v>19</v>
      </c>
      <c r="AF2" s="32" t="s">
        <v>19</v>
      </c>
      <c r="AG2" s="66" t="s">
        <v>19</v>
      </c>
      <c r="AH2" s="68" t="s">
        <v>18</v>
      </c>
      <c r="AI2" s="69" t="s">
        <v>19</v>
      </c>
      <c r="AJ2" s="70" t="s">
        <v>20</v>
      </c>
      <c r="AK2" s="68" t="s">
        <v>18</v>
      </c>
      <c r="AL2" s="69" t="s">
        <v>19</v>
      </c>
      <c r="AM2" s="70" t="s">
        <v>20</v>
      </c>
      <c r="AN2" s="66" t="s">
        <v>19</v>
      </c>
      <c r="AO2" s="66" t="s">
        <v>19</v>
      </c>
      <c r="AP2" s="75" t="s">
        <v>18</v>
      </c>
      <c r="AQ2" s="76" t="s">
        <v>19</v>
      </c>
      <c r="AR2" s="77" t="s">
        <v>20</v>
      </c>
    </row>
    <row r="3" spans="1:44" x14ac:dyDescent="0.3">
      <c r="A3" s="24">
        <v>2015</v>
      </c>
      <c r="B3" s="122"/>
      <c r="C3" s="125"/>
      <c r="D3" s="126"/>
      <c r="E3" s="132"/>
      <c r="F3" s="122"/>
      <c r="G3" s="125"/>
      <c r="H3" s="125"/>
      <c r="I3" s="122"/>
      <c r="J3" s="125"/>
      <c r="K3" s="125"/>
      <c r="L3" s="122"/>
      <c r="M3" s="125"/>
      <c r="N3" s="126"/>
      <c r="O3" s="122"/>
      <c r="P3" s="125"/>
      <c r="Q3" s="126"/>
      <c r="R3" s="131"/>
      <c r="S3" s="122">
        <v>441.37226279999999</v>
      </c>
      <c r="T3" s="125">
        <v>454.47204999999997</v>
      </c>
      <c r="U3" s="126">
        <v>617.42962720000003</v>
      </c>
      <c r="V3" s="122"/>
      <c r="W3" s="125"/>
      <c r="X3" s="126"/>
      <c r="Y3" s="131">
        <v>884.91420000000028</v>
      </c>
      <c r="Z3" s="122"/>
      <c r="AA3" s="125">
        <v>369.90000000000003</v>
      </c>
      <c r="AB3" s="125"/>
      <c r="AC3" s="131"/>
      <c r="AD3" s="131"/>
      <c r="AE3" s="131">
        <v>589.94280000000015</v>
      </c>
      <c r="AF3" s="131"/>
      <c r="AG3" s="131"/>
      <c r="AH3" s="122"/>
      <c r="AI3" s="125"/>
      <c r="AJ3" s="126"/>
      <c r="AK3" s="122"/>
      <c r="AL3" s="125"/>
      <c r="AM3" s="126"/>
      <c r="AN3" s="132"/>
      <c r="AO3" s="132"/>
      <c r="AP3" s="123">
        <v>415.29599999999999</v>
      </c>
      <c r="AQ3" s="127">
        <v>461.44</v>
      </c>
      <c r="AR3" s="128">
        <v>553.72800000000007</v>
      </c>
    </row>
    <row r="4" spans="1:44" x14ac:dyDescent="0.3">
      <c r="A4" s="24">
        <v>2016</v>
      </c>
      <c r="B4" s="123"/>
      <c r="C4" s="127"/>
      <c r="D4" s="128"/>
      <c r="E4" s="132"/>
      <c r="F4" s="123"/>
      <c r="G4" s="127"/>
      <c r="H4" s="127"/>
      <c r="I4" s="123"/>
      <c r="J4" s="127"/>
      <c r="K4" s="127"/>
      <c r="L4" s="123"/>
      <c r="M4" s="127"/>
      <c r="N4" s="128"/>
      <c r="O4" s="123"/>
      <c r="P4" s="127"/>
      <c r="Q4" s="128"/>
      <c r="R4" s="132"/>
      <c r="S4" s="123"/>
      <c r="T4" s="127"/>
      <c r="U4" s="128"/>
      <c r="V4" s="123"/>
      <c r="W4" s="127"/>
      <c r="X4" s="128"/>
      <c r="Y4" s="132"/>
      <c r="Z4" s="123"/>
      <c r="AA4" s="127"/>
      <c r="AB4" s="127"/>
      <c r="AC4" s="132"/>
      <c r="AD4" s="132"/>
      <c r="AE4" s="132"/>
      <c r="AF4" s="132"/>
      <c r="AG4" s="132"/>
      <c r="AH4" s="123"/>
      <c r="AI4" s="127"/>
      <c r="AJ4" s="128"/>
      <c r="AK4" s="123"/>
      <c r="AL4" s="127"/>
      <c r="AM4" s="128"/>
      <c r="AN4" s="132"/>
      <c r="AO4" s="132"/>
      <c r="AP4" s="123">
        <v>319.815</v>
      </c>
      <c r="AQ4" s="127">
        <v>355.35</v>
      </c>
      <c r="AR4" s="128">
        <v>426.42</v>
      </c>
    </row>
    <row r="5" spans="1:44" x14ac:dyDescent="0.3">
      <c r="A5" s="24">
        <v>2017</v>
      </c>
      <c r="B5" s="123"/>
      <c r="C5" s="127"/>
      <c r="D5" s="128"/>
      <c r="E5" s="132">
        <v>414.06</v>
      </c>
      <c r="F5" s="123"/>
      <c r="G5" s="127"/>
      <c r="H5" s="127"/>
      <c r="I5" s="123"/>
      <c r="J5" s="127"/>
      <c r="K5" s="127"/>
      <c r="L5" s="123"/>
      <c r="M5" s="127"/>
      <c r="N5" s="128"/>
      <c r="O5" s="123"/>
      <c r="P5" s="127"/>
      <c r="Q5" s="128"/>
      <c r="R5" s="132"/>
      <c r="S5" s="123"/>
      <c r="T5" s="127"/>
      <c r="U5" s="128"/>
      <c r="V5" s="123"/>
      <c r="W5" s="127"/>
      <c r="X5" s="128"/>
      <c r="Y5" s="132"/>
      <c r="Z5" s="123"/>
      <c r="AA5" s="127"/>
      <c r="AB5" s="127"/>
      <c r="AC5" s="132"/>
      <c r="AD5" s="132"/>
      <c r="AE5" s="132"/>
      <c r="AF5" s="132"/>
      <c r="AG5" s="132"/>
      <c r="AH5" s="123"/>
      <c r="AI5" s="127"/>
      <c r="AJ5" s="128"/>
      <c r="AK5" s="123"/>
      <c r="AL5" s="127"/>
      <c r="AM5" s="128"/>
      <c r="AN5" s="132">
        <v>327.41092429869218</v>
      </c>
      <c r="AO5" s="132"/>
      <c r="AP5" s="123">
        <v>239.16600000000003</v>
      </c>
      <c r="AQ5" s="127">
        <v>265.74</v>
      </c>
      <c r="AR5" s="128">
        <v>318.88799999999998</v>
      </c>
    </row>
    <row r="6" spans="1:44" x14ac:dyDescent="0.3">
      <c r="A6" s="24">
        <v>2018</v>
      </c>
      <c r="B6" s="123"/>
      <c r="C6" s="127"/>
      <c r="D6" s="128"/>
      <c r="E6" s="132"/>
      <c r="F6" s="123">
        <v>280.41750000000002</v>
      </c>
      <c r="G6" s="127">
        <v>291.01104999999995</v>
      </c>
      <c r="H6" s="127">
        <v>301.6046</v>
      </c>
      <c r="I6" s="123">
        <v>352.64026195241632</v>
      </c>
      <c r="J6" s="127">
        <v>352.64026195241632</v>
      </c>
      <c r="K6" s="127">
        <v>352.64026195241632</v>
      </c>
      <c r="L6" s="123"/>
      <c r="M6" s="127"/>
      <c r="N6" s="128"/>
      <c r="O6" s="123"/>
      <c r="P6" s="127"/>
      <c r="Q6" s="128"/>
      <c r="R6" s="132">
        <v>337.7473</v>
      </c>
      <c r="S6" s="123"/>
      <c r="T6" s="127"/>
      <c r="U6" s="128"/>
      <c r="V6" s="123"/>
      <c r="W6" s="127"/>
      <c r="X6" s="128"/>
      <c r="Y6" s="132"/>
      <c r="Z6" s="123"/>
      <c r="AA6" s="127"/>
      <c r="AB6" s="127"/>
      <c r="AC6" s="132"/>
      <c r="AD6" s="132"/>
      <c r="AE6" s="132"/>
      <c r="AF6" s="132"/>
      <c r="AG6" s="132">
        <v>135.96</v>
      </c>
      <c r="AH6" s="123"/>
      <c r="AI6" s="127"/>
      <c r="AJ6" s="128"/>
      <c r="AK6" s="123"/>
      <c r="AL6" s="127"/>
      <c r="AM6" s="128"/>
      <c r="AN6" s="132">
        <v>312.0772011643553</v>
      </c>
      <c r="AO6" s="132"/>
      <c r="AP6" s="123">
        <v>195.59700000000001</v>
      </c>
      <c r="AQ6" s="127">
        <v>217.33</v>
      </c>
      <c r="AR6" s="128">
        <v>260.79599999999999</v>
      </c>
    </row>
    <row r="7" spans="1:44" x14ac:dyDescent="0.3">
      <c r="A7" s="24">
        <v>2019</v>
      </c>
      <c r="B7" s="123"/>
      <c r="C7" s="127"/>
      <c r="D7" s="128"/>
      <c r="E7" s="132"/>
      <c r="F7" s="123">
        <v>257.58719374975362</v>
      </c>
      <c r="G7" s="127">
        <v>268.58311966850158</v>
      </c>
      <c r="H7" s="127">
        <v>280.68707955747448</v>
      </c>
      <c r="I7" s="123">
        <v>323.05732394366117</v>
      </c>
      <c r="J7" s="127">
        <v>314.94709145027213</v>
      </c>
      <c r="K7" s="127">
        <v>330.99099081448435</v>
      </c>
      <c r="L7" s="123"/>
      <c r="M7" s="127"/>
      <c r="N7" s="128"/>
      <c r="O7" s="123"/>
      <c r="P7" s="127"/>
      <c r="Q7" s="128"/>
      <c r="R7" s="132"/>
      <c r="S7" s="123"/>
      <c r="T7" s="127"/>
      <c r="U7" s="128"/>
      <c r="V7" s="123"/>
      <c r="W7" s="127"/>
      <c r="X7" s="128"/>
      <c r="Y7" s="132"/>
      <c r="Z7" s="123"/>
      <c r="AA7" s="127"/>
      <c r="AB7" s="127"/>
      <c r="AC7" s="132"/>
      <c r="AD7" s="132"/>
      <c r="AE7" s="132"/>
      <c r="AF7" s="132"/>
      <c r="AG7" s="132">
        <v>142.14000000000001</v>
      </c>
      <c r="AH7" s="123"/>
      <c r="AI7" s="127"/>
      <c r="AJ7" s="128"/>
      <c r="AK7" s="123"/>
      <c r="AL7" s="127"/>
      <c r="AM7" s="128"/>
      <c r="AN7" s="132">
        <v>296.60738269221258</v>
      </c>
      <c r="AO7" s="132"/>
      <c r="AP7" s="123">
        <v>169.64100000000002</v>
      </c>
      <c r="AQ7" s="127">
        <v>188.49</v>
      </c>
      <c r="AR7" s="128">
        <v>226.18799999999999</v>
      </c>
    </row>
    <row r="8" spans="1:44" x14ac:dyDescent="0.3">
      <c r="A8" s="24">
        <v>2020</v>
      </c>
      <c r="B8" s="123">
        <v>538.16307214154017</v>
      </c>
      <c r="C8" s="127">
        <v>538.16307214154017</v>
      </c>
      <c r="D8" s="128">
        <v>538.16307214154017</v>
      </c>
      <c r="E8" s="132"/>
      <c r="F8" s="123">
        <v>234.55654815677968</v>
      </c>
      <c r="G8" s="127">
        <v>247.17060115451076</v>
      </c>
      <c r="H8" s="127">
        <v>261.23152863907018</v>
      </c>
      <c r="I8" s="123">
        <v>280.07749652203989</v>
      </c>
      <c r="J8" s="127">
        <v>294.48392860870666</v>
      </c>
      <c r="K8" s="127">
        <v>309.27453221768542</v>
      </c>
      <c r="L8" s="209"/>
      <c r="M8" s="210"/>
      <c r="N8" s="211"/>
      <c r="O8" s="212">
        <v>266.43367346938766</v>
      </c>
      <c r="P8" s="213">
        <v>323.18877551020239</v>
      </c>
      <c r="Q8" s="214">
        <v>375.2142857142839</v>
      </c>
      <c r="R8" s="215"/>
      <c r="S8" s="212">
        <v>144.8981752</v>
      </c>
      <c r="T8" s="213">
        <v>279.67510769230768</v>
      </c>
      <c r="U8" s="214">
        <v>502.94269639999993</v>
      </c>
      <c r="V8" s="212">
        <v>181.9598</v>
      </c>
      <c r="W8" s="213">
        <v>183.20610000000002</v>
      </c>
      <c r="X8" s="214">
        <v>191.93020000000001</v>
      </c>
      <c r="Y8" s="132">
        <v>442.45710000000014</v>
      </c>
      <c r="Z8" s="123">
        <v>253.8</v>
      </c>
      <c r="AA8" s="127">
        <v>299.70000000000005</v>
      </c>
      <c r="AB8" s="127">
        <v>523.80000000000007</v>
      </c>
      <c r="AC8" s="215">
        <v>324.22010399999999</v>
      </c>
      <c r="AD8" s="215">
        <v>324.22010399999999</v>
      </c>
      <c r="AE8" s="132">
        <v>345.11653800000005</v>
      </c>
      <c r="AF8" s="132">
        <v>451.333125</v>
      </c>
      <c r="AG8" s="215">
        <v>143.17000000000002</v>
      </c>
      <c r="AH8" s="212"/>
      <c r="AI8" s="213"/>
      <c r="AJ8" s="214"/>
      <c r="AK8" s="212">
        <v>247.61612</v>
      </c>
      <c r="AL8" s="213">
        <v>330.84836000000001</v>
      </c>
      <c r="AM8" s="214">
        <v>409.91940000000005</v>
      </c>
      <c r="AN8" s="132">
        <v>282.19741320386436</v>
      </c>
      <c r="AO8" s="132">
        <v>158.86998100000002</v>
      </c>
      <c r="AP8" s="123">
        <v>148.32</v>
      </c>
      <c r="AQ8" s="127">
        <v>164.8</v>
      </c>
      <c r="AR8" s="128">
        <v>197.76</v>
      </c>
    </row>
    <row r="9" spans="1:44" x14ac:dyDescent="0.3">
      <c r="A9" s="24">
        <v>2021</v>
      </c>
      <c r="B9" s="123">
        <v>459.71556920122811</v>
      </c>
      <c r="C9" s="127">
        <v>459.71556920122811</v>
      </c>
      <c r="D9" s="128">
        <v>459.71556920122811</v>
      </c>
      <c r="E9" s="132"/>
      <c r="F9" s="123">
        <v>214.49694699401491</v>
      </c>
      <c r="G9" s="127">
        <v>227.19467398299986</v>
      </c>
      <c r="H9" s="127">
        <v>243.13473670929858</v>
      </c>
      <c r="I9" s="123">
        <v>250.11211778177056</v>
      </c>
      <c r="J9" s="127">
        <v>269.89695118079396</v>
      </c>
      <c r="K9" s="127">
        <v>289.53535110509023</v>
      </c>
      <c r="L9" s="209"/>
      <c r="M9" s="210"/>
      <c r="N9" s="211"/>
      <c r="O9" s="212">
        <v>243.57397959183655</v>
      </c>
      <c r="P9" s="213">
        <v>299.54081632652833</v>
      </c>
      <c r="Q9" s="214">
        <v>351.56632653060979</v>
      </c>
      <c r="R9" s="215"/>
      <c r="S9" s="212"/>
      <c r="T9" s="213"/>
      <c r="U9" s="214"/>
      <c r="V9" s="212">
        <v>170.7431</v>
      </c>
      <c r="W9" s="213">
        <v>176.97460000000001</v>
      </c>
      <c r="X9" s="214">
        <v>188.19130000000001</v>
      </c>
      <c r="Y9" s="132"/>
      <c r="Z9" s="123"/>
      <c r="AA9" s="127"/>
      <c r="AB9" s="127"/>
      <c r="AC9" s="132"/>
      <c r="AD9" s="132"/>
      <c r="AE9" s="132"/>
      <c r="AF9" s="132">
        <v>423.43300000000005</v>
      </c>
      <c r="AG9" s="215">
        <v>165.83</v>
      </c>
      <c r="AH9" s="212"/>
      <c r="AI9" s="213"/>
      <c r="AJ9" s="214"/>
      <c r="AK9" s="212"/>
      <c r="AL9" s="213"/>
      <c r="AM9" s="214"/>
      <c r="AN9" s="132">
        <v>269.10258750079271</v>
      </c>
      <c r="AO9" s="132">
        <v>138.82226699999998</v>
      </c>
      <c r="AP9" s="123">
        <v>139.05000000000001</v>
      </c>
      <c r="AQ9" s="127">
        <v>154.5</v>
      </c>
      <c r="AR9" s="128">
        <v>185.4</v>
      </c>
    </row>
    <row r="10" spans="1:44" x14ac:dyDescent="0.3">
      <c r="A10" s="24">
        <v>2022</v>
      </c>
      <c r="B10" s="123">
        <v>423.08552229254803</v>
      </c>
      <c r="C10" s="127">
        <v>427.11162812312682</v>
      </c>
      <c r="D10" s="128">
        <v>447.00334409351922</v>
      </c>
      <c r="E10" s="132"/>
      <c r="F10" s="123">
        <v>194.4228</v>
      </c>
      <c r="G10" s="127">
        <v>208.75524999999999</v>
      </c>
      <c r="H10" s="127">
        <v>226.82660000000001</v>
      </c>
      <c r="I10" s="123">
        <v>221.68342513074657</v>
      </c>
      <c r="J10" s="127">
        <v>245.88623103634856</v>
      </c>
      <c r="K10" s="127">
        <v>271.07229189094215</v>
      </c>
      <c r="L10" s="209"/>
      <c r="M10" s="210"/>
      <c r="N10" s="211"/>
      <c r="O10" s="212">
        <v>220.71428571428569</v>
      </c>
      <c r="P10" s="213">
        <v>280.62244897959005</v>
      </c>
      <c r="Q10" s="214">
        <v>332.64795918367156</v>
      </c>
      <c r="R10" s="215"/>
      <c r="S10" s="212"/>
      <c r="T10" s="213"/>
      <c r="U10" s="214"/>
      <c r="V10" s="212">
        <v>159.5264</v>
      </c>
      <c r="W10" s="213">
        <v>169.49680000000001</v>
      </c>
      <c r="X10" s="214">
        <v>184.45239999999998</v>
      </c>
      <c r="Y10" s="132"/>
      <c r="Z10" s="123"/>
      <c r="AA10" s="127"/>
      <c r="AB10" s="127"/>
      <c r="AC10" s="132"/>
      <c r="AD10" s="132"/>
      <c r="AE10" s="132"/>
      <c r="AF10" s="132">
        <v>382.400375</v>
      </c>
      <c r="AG10" s="215">
        <v>151.41</v>
      </c>
      <c r="AH10" s="212"/>
      <c r="AI10" s="213"/>
      <c r="AJ10" s="214"/>
      <c r="AK10" s="212"/>
      <c r="AL10" s="213"/>
      <c r="AM10" s="214"/>
      <c r="AN10" s="132">
        <v>253.86085488996704</v>
      </c>
      <c r="AO10" s="132">
        <v>122.10310100000001</v>
      </c>
      <c r="AP10" s="123">
        <v>149.24700000000001</v>
      </c>
      <c r="AQ10" s="127">
        <v>165.83</v>
      </c>
      <c r="AR10" s="128">
        <v>198.99599999999998</v>
      </c>
    </row>
    <row r="11" spans="1:44" x14ac:dyDescent="0.3">
      <c r="A11" s="24">
        <v>2023</v>
      </c>
      <c r="B11" s="123">
        <v>386.45547538386785</v>
      </c>
      <c r="C11" s="127">
        <v>391.24729293721543</v>
      </c>
      <c r="D11" s="128">
        <v>434.29111898581033</v>
      </c>
      <c r="E11" s="132"/>
      <c r="F11" s="123">
        <v>178.45262812361864</v>
      </c>
      <c r="G11" s="127">
        <v>194.18821246961147</v>
      </c>
      <c r="H11" s="127">
        <v>213.94816399478435</v>
      </c>
      <c r="I11" s="123">
        <v>198.44104803092389</v>
      </c>
      <c r="J11" s="127">
        <v>225.20815629041402</v>
      </c>
      <c r="K11" s="127">
        <v>253.76174724372638</v>
      </c>
      <c r="L11" s="209"/>
      <c r="M11" s="210"/>
      <c r="N11" s="211"/>
      <c r="O11" s="212">
        <v>206.52551020408148</v>
      </c>
      <c r="P11" s="213">
        <v>260.1275510204074</v>
      </c>
      <c r="Q11" s="214">
        <v>315.3061224489777</v>
      </c>
      <c r="R11" s="215"/>
      <c r="S11" s="212"/>
      <c r="T11" s="213"/>
      <c r="U11" s="214"/>
      <c r="V11" s="212">
        <v>150.8023</v>
      </c>
      <c r="W11" s="213">
        <v>164.51160000000002</v>
      </c>
      <c r="X11" s="214">
        <v>180.71349999999998</v>
      </c>
      <c r="Y11" s="132"/>
      <c r="Z11" s="123"/>
      <c r="AA11" s="127"/>
      <c r="AB11" s="127"/>
      <c r="AC11" s="132"/>
      <c r="AD11" s="132"/>
      <c r="AE11" s="132"/>
      <c r="AF11" s="132">
        <v>354.50024999999999</v>
      </c>
      <c r="AG11" s="215">
        <v>105.06</v>
      </c>
      <c r="AH11" s="212"/>
      <c r="AI11" s="213"/>
      <c r="AJ11" s="214"/>
      <c r="AK11" s="212"/>
      <c r="AL11" s="213"/>
      <c r="AM11" s="214"/>
      <c r="AN11" s="132">
        <v>238.61912227914246</v>
      </c>
      <c r="AO11" s="132">
        <v>110.374594</v>
      </c>
      <c r="AP11" s="123">
        <v>129.78</v>
      </c>
      <c r="AQ11" s="127">
        <v>143.17000000000002</v>
      </c>
      <c r="AR11" s="128">
        <v>155.73599999999999</v>
      </c>
    </row>
    <row r="12" spans="1:44" x14ac:dyDescent="0.3">
      <c r="A12" s="24">
        <v>2024</v>
      </c>
      <c r="B12" s="123">
        <v>349.82542847518772</v>
      </c>
      <c r="C12" s="127">
        <v>363.53394302082933</v>
      </c>
      <c r="D12" s="128">
        <v>421.5788938781015</v>
      </c>
      <c r="E12" s="132"/>
      <c r="F12" s="123">
        <v>163.23510878582385</v>
      </c>
      <c r="G12" s="127">
        <v>179.30939596889255</v>
      </c>
      <c r="H12" s="127">
        <v>199.22417806516785</v>
      </c>
      <c r="I12" s="123">
        <v>177.6957858261224</v>
      </c>
      <c r="J12" s="127">
        <v>206.31656423830174</v>
      </c>
      <c r="K12" s="127">
        <v>238.73340558716515</v>
      </c>
      <c r="L12" s="212">
        <v>123.29100000000001</v>
      </c>
      <c r="M12" s="127">
        <v>136.99</v>
      </c>
      <c r="N12" s="214">
        <v>164.38800000000001</v>
      </c>
      <c r="O12" s="212">
        <v>187.60714285714297</v>
      </c>
      <c r="P12" s="127">
        <v>244.36224489795927</v>
      </c>
      <c r="Q12" s="214">
        <v>299.54081632652833</v>
      </c>
      <c r="R12" s="215"/>
      <c r="S12" s="212"/>
      <c r="T12" s="213"/>
      <c r="U12" s="214"/>
      <c r="V12" s="212">
        <v>142.07820000000001</v>
      </c>
      <c r="W12" s="213">
        <v>158.2801</v>
      </c>
      <c r="X12" s="214">
        <v>176.97460000000001</v>
      </c>
      <c r="Y12" s="132"/>
      <c r="Z12" s="123"/>
      <c r="AA12" s="127"/>
      <c r="AB12" s="127"/>
      <c r="AC12" s="132"/>
      <c r="AD12" s="132"/>
      <c r="AE12" s="132"/>
      <c r="AF12" s="132">
        <v>328.242975</v>
      </c>
      <c r="AG12" s="215">
        <v>105.06</v>
      </c>
      <c r="AH12" s="212"/>
      <c r="AI12" s="213"/>
      <c r="AJ12" s="214"/>
      <c r="AK12" s="212"/>
      <c r="AL12" s="213"/>
      <c r="AM12" s="214"/>
      <c r="AN12" s="132">
        <v>224.32999795649405</v>
      </c>
      <c r="AO12" s="132">
        <v>96.985830000000007</v>
      </c>
      <c r="AP12" s="123">
        <v>64.611899999999991</v>
      </c>
      <c r="AQ12" s="127">
        <v>118.45</v>
      </c>
      <c r="AR12" s="128">
        <v>147.02220000000003</v>
      </c>
    </row>
    <row r="13" spans="1:44" x14ac:dyDescent="0.3">
      <c r="A13" s="24">
        <v>2025</v>
      </c>
      <c r="B13" s="123">
        <v>313.19538156650765</v>
      </c>
      <c r="C13" s="127">
        <v>343.97157837396861</v>
      </c>
      <c r="D13" s="128">
        <v>408.86666877039249</v>
      </c>
      <c r="E13" s="132">
        <v>276.04000000000002</v>
      </c>
      <c r="F13" s="123">
        <v>152.04860000000002</v>
      </c>
      <c r="G13" s="127">
        <v>168.87365</v>
      </c>
      <c r="H13" s="127">
        <v>191.93020000000001</v>
      </c>
      <c r="I13" s="123">
        <v>161.17641036674405</v>
      </c>
      <c r="J13" s="127">
        <v>190.94970334585685</v>
      </c>
      <c r="K13" s="127">
        <v>224.95965065661102</v>
      </c>
      <c r="L13" s="212">
        <v>104.751</v>
      </c>
      <c r="M13" s="213">
        <v>116.39</v>
      </c>
      <c r="N13" s="214">
        <v>139.66800000000001</v>
      </c>
      <c r="O13" s="212">
        <v>173.41836734693851</v>
      </c>
      <c r="P13" s="213">
        <v>228.59693877551013</v>
      </c>
      <c r="Q13" s="214">
        <v>284.56377551020239</v>
      </c>
      <c r="R13" s="215">
        <v>235.55070000000001</v>
      </c>
      <c r="S13" s="212">
        <v>95.693085240000002</v>
      </c>
      <c r="T13" s="213">
        <v>201.98757777777777</v>
      </c>
      <c r="U13" s="214">
        <v>259.8821428</v>
      </c>
      <c r="V13" s="212">
        <v>133.35409999999999</v>
      </c>
      <c r="W13" s="213">
        <v>153.29489999999998</v>
      </c>
      <c r="X13" s="214">
        <v>173.23570000000001</v>
      </c>
      <c r="Y13" s="132">
        <v>294.97140000000007</v>
      </c>
      <c r="Z13" s="123"/>
      <c r="AA13" s="127"/>
      <c r="AB13" s="127"/>
      <c r="AC13" s="132">
        <v>211.99006799999995</v>
      </c>
      <c r="AD13" s="215">
        <v>211.99006799999995</v>
      </c>
      <c r="AE13" s="132">
        <v>225.65312100000006</v>
      </c>
      <c r="AF13" s="132">
        <v>310.18964999999997</v>
      </c>
      <c r="AG13" s="215">
        <v>100.94</v>
      </c>
      <c r="AH13" s="212"/>
      <c r="AI13" s="213"/>
      <c r="AJ13" s="214"/>
      <c r="AK13" s="212">
        <v>187.27254000000002</v>
      </c>
      <c r="AL13" s="213">
        <v>253.85895000000002</v>
      </c>
      <c r="AM13" s="214">
        <v>480.66701</v>
      </c>
      <c r="AN13" s="132">
        <v>210.04087363384562</v>
      </c>
      <c r="AO13" s="127">
        <v>87.750952999999996</v>
      </c>
      <c r="AP13" s="123"/>
      <c r="AQ13" s="127"/>
      <c r="AR13" s="128"/>
    </row>
    <row r="14" spans="1:44" x14ac:dyDescent="0.3">
      <c r="A14" s="24">
        <v>2026</v>
      </c>
      <c r="B14" s="123">
        <v>292.92979805338075</v>
      </c>
      <c r="C14" s="127">
        <v>329.29980488882296</v>
      </c>
      <c r="D14" s="128">
        <v>400.23405592761424</v>
      </c>
      <c r="E14" s="132"/>
      <c r="F14" s="123">
        <v>144.3229957323598</v>
      </c>
      <c r="G14" s="127">
        <v>160.71711773736834</v>
      </c>
      <c r="H14" s="127">
        <v>184.49730650274475</v>
      </c>
      <c r="I14" s="123">
        <v>146.96206404123149</v>
      </c>
      <c r="J14" s="127">
        <v>177.50370006496701</v>
      </c>
      <c r="K14" s="127">
        <v>212.84748011759072</v>
      </c>
      <c r="L14" s="212"/>
      <c r="M14" s="213"/>
      <c r="N14" s="214"/>
      <c r="O14" s="212">
        <v>160.80612244897952</v>
      </c>
      <c r="P14" s="213">
        <v>215.98469387755085</v>
      </c>
      <c r="Q14" s="214">
        <v>274.31632653061234</v>
      </c>
      <c r="R14" s="215"/>
      <c r="S14" s="212"/>
      <c r="T14" s="213"/>
      <c r="U14" s="214"/>
      <c r="V14" s="212">
        <v>127.12260000000001</v>
      </c>
      <c r="W14" s="213">
        <v>147.0634</v>
      </c>
      <c r="X14" s="214">
        <v>169.49680000000001</v>
      </c>
      <c r="Y14" s="132"/>
      <c r="Z14" s="123"/>
      <c r="AA14" s="127"/>
      <c r="AB14" s="127"/>
      <c r="AC14" s="132"/>
      <c r="AD14" s="132"/>
      <c r="AE14" s="132"/>
      <c r="AF14" s="132">
        <v>292.136325</v>
      </c>
      <c r="AG14" s="215">
        <v>96.820000000000007</v>
      </c>
      <c r="AH14" s="212"/>
      <c r="AI14" s="213"/>
      <c r="AJ14" s="214"/>
      <c r="AK14" s="212"/>
      <c r="AL14" s="213"/>
      <c r="AM14" s="214"/>
      <c r="AN14" s="132">
        <v>194.79914102302104</v>
      </c>
      <c r="AO14" s="127"/>
      <c r="AP14" s="123"/>
      <c r="AQ14" s="127"/>
      <c r="AR14" s="128"/>
    </row>
    <row r="15" spans="1:44" x14ac:dyDescent="0.3">
      <c r="A15" s="24">
        <v>2027</v>
      </c>
      <c r="B15" s="123">
        <v>272.66421454025374</v>
      </c>
      <c r="C15" s="127">
        <v>316.25822845758245</v>
      </c>
      <c r="D15" s="128">
        <v>391.60144308483598</v>
      </c>
      <c r="E15" s="132"/>
      <c r="F15" s="123">
        <v>136.89364284343912</v>
      </c>
      <c r="G15" s="127">
        <v>153.42544288781068</v>
      </c>
      <c r="H15" s="127">
        <v>177.75169450243456</v>
      </c>
      <c r="I15" s="123">
        <v>134.09231804380897</v>
      </c>
      <c r="J15" s="127">
        <v>164.91605343078044</v>
      </c>
      <c r="K15" s="127">
        <v>202.09067749287973</v>
      </c>
      <c r="L15" s="212"/>
      <c r="M15" s="213"/>
      <c r="N15" s="214"/>
      <c r="O15" s="212">
        <v>149.77040816326519</v>
      </c>
      <c r="P15" s="213">
        <v>203.37244897959187</v>
      </c>
      <c r="Q15" s="214">
        <v>263.28061224489625</v>
      </c>
      <c r="R15" s="215"/>
      <c r="S15" s="212"/>
      <c r="T15" s="213"/>
      <c r="U15" s="214"/>
      <c r="V15" s="212">
        <v>119.6448</v>
      </c>
      <c r="W15" s="213">
        <v>143.3245</v>
      </c>
      <c r="X15" s="214">
        <v>165.75790000000001</v>
      </c>
      <c r="Y15" s="215"/>
      <c r="Z15" s="123"/>
      <c r="AA15" s="127"/>
      <c r="AB15" s="127"/>
      <c r="AC15" s="215"/>
      <c r="AD15" s="215"/>
      <c r="AE15" s="215"/>
      <c r="AF15" s="132">
        <v>279.00639999999999</v>
      </c>
      <c r="AG15" s="215">
        <v>89.61</v>
      </c>
      <c r="AH15" s="212"/>
      <c r="AI15" s="213"/>
      <c r="AJ15" s="214"/>
      <c r="AK15" s="212"/>
      <c r="AL15" s="213"/>
      <c r="AM15" s="214"/>
      <c r="AN15" s="132">
        <v>181.15670164114235</v>
      </c>
      <c r="AO15" s="127"/>
      <c r="AP15" s="123"/>
      <c r="AQ15" s="127"/>
      <c r="AR15" s="128"/>
    </row>
    <row r="16" spans="1:44" x14ac:dyDescent="0.3">
      <c r="A16" s="24">
        <v>2028</v>
      </c>
      <c r="B16" s="123">
        <v>252.39863102712681</v>
      </c>
      <c r="C16" s="127">
        <v>301.58645497243685</v>
      </c>
      <c r="D16" s="128">
        <v>382.96883024205778</v>
      </c>
      <c r="E16" s="132"/>
      <c r="F16" s="123">
        <v>128.72135466562762</v>
      </c>
      <c r="G16" s="127">
        <v>146.23657726486036</v>
      </c>
      <c r="H16" s="127">
        <v>171.39636433928632</v>
      </c>
      <c r="I16" s="123">
        <v>123.45912275061154</v>
      </c>
      <c r="J16" s="127">
        <v>154.83758024861052</v>
      </c>
      <c r="K16" s="127">
        <v>192.8705609574119</v>
      </c>
      <c r="L16" s="212"/>
      <c r="M16" s="213"/>
      <c r="N16" s="214"/>
      <c r="O16" s="212">
        <v>140.31122448979582</v>
      </c>
      <c r="P16" s="213">
        <v>197.06632653061209</v>
      </c>
      <c r="Q16" s="214">
        <v>255.39795918367335</v>
      </c>
      <c r="R16" s="215"/>
      <c r="S16" s="212"/>
      <c r="T16" s="213"/>
      <c r="U16" s="214"/>
      <c r="V16" s="212">
        <v>114.6596</v>
      </c>
      <c r="W16" s="213">
        <v>138.33930000000001</v>
      </c>
      <c r="X16" s="214">
        <v>162.01899999999998</v>
      </c>
      <c r="Y16" s="215"/>
      <c r="Z16" s="123"/>
      <c r="AA16" s="127"/>
      <c r="AB16" s="127"/>
      <c r="AC16" s="215"/>
      <c r="AD16" s="215"/>
      <c r="AE16" s="215"/>
      <c r="AF16" s="132">
        <v>269.15702499999998</v>
      </c>
      <c r="AG16" s="215">
        <v>89.61</v>
      </c>
      <c r="AH16" s="212"/>
      <c r="AI16" s="213"/>
      <c r="AJ16" s="214"/>
      <c r="AK16" s="212"/>
      <c r="AL16" s="213"/>
      <c r="AM16" s="214"/>
      <c r="AN16" s="132">
        <v>166.98842248419473</v>
      </c>
      <c r="AO16" s="127"/>
      <c r="AP16" s="123"/>
      <c r="AQ16" s="127"/>
      <c r="AR16" s="128"/>
    </row>
    <row r="17" spans="1:44" x14ac:dyDescent="0.3">
      <c r="A17" s="24">
        <v>2029</v>
      </c>
      <c r="B17" s="123">
        <v>232.13304751399988</v>
      </c>
      <c r="C17" s="127">
        <v>290.17507559510142</v>
      </c>
      <c r="D17" s="128">
        <v>374.33621739927952</v>
      </c>
      <c r="E17" s="132"/>
      <c r="F17" s="123">
        <v>122.03493706559952</v>
      </c>
      <c r="G17" s="127">
        <v>139.14909482024618</v>
      </c>
      <c r="H17" s="127">
        <v>165.16630982757238</v>
      </c>
      <c r="I17" s="123">
        <v>114.52239654915522</v>
      </c>
      <c r="J17" s="127">
        <v>145.61746371314263</v>
      </c>
      <c r="K17" s="127">
        <v>184.05615111669465</v>
      </c>
      <c r="L17" s="212"/>
      <c r="M17" s="127"/>
      <c r="N17" s="128"/>
      <c r="O17" s="212">
        <v>132.42857142857162</v>
      </c>
      <c r="P17" s="127">
        <v>190.76020408163259</v>
      </c>
      <c r="Q17" s="128">
        <v>247.51530612244889</v>
      </c>
      <c r="R17" s="132"/>
      <c r="S17" s="123"/>
      <c r="T17" s="127"/>
      <c r="U17" s="128"/>
      <c r="V17" s="123">
        <v>108.4281</v>
      </c>
      <c r="W17" s="127">
        <v>133.35409999999999</v>
      </c>
      <c r="X17" s="128">
        <v>158.2801</v>
      </c>
      <c r="Y17" s="132"/>
      <c r="Z17" s="123"/>
      <c r="AA17" s="127"/>
      <c r="AB17" s="127"/>
      <c r="AC17" s="132"/>
      <c r="AD17" s="132"/>
      <c r="AE17" s="132"/>
      <c r="AF17" s="132">
        <v>257.66994999999997</v>
      </c>
      <c r="AG17" s="132">
        <v>85.490000000000009</v>
      </c>
      <c r="AH17" s="123"/>
      <c r="AI17" s="127"/>
      <c r="AJ17" s="128"/>
      <c r="AK17" s="123"/>
      <c r="AL17" s="127"/>
      <c r="AM17" s="128"/>
      <c r="AN17" s="132">
        <v>152.94098849294579</v>
      </c>
      <c r="AO17" s="127"/>
      <c r="AP17" s="123"/>
      <c r="AQ17" s="127"/>
      <c r="AR17" s="128"/>
    </row>
    <row r="18" spans="1:44" x14ac:dyDescent="0.3">
      <c r="A18" s="24">
        <v>2030</v>
      </c>
      <c r="B18" s="123">
        <v>211.86746400087284</v>
      </c>
      <c r="C18" s="127">
        <v>278.76369621776598</v>
      </c>
      <c r="D18" s="128">
        <v>365.70360455650132</v>
      </c>
      <c r="E18" s="132">
        <v>250.29000000000002</v>
      </c>
      <c r="F18" s="123">
        <v>114.6596</v>
      </c>
      <c r="G18" s="127">
        <v>133.35409999999999</v>
      </c>
      <c r="H18" s="127">
        <v>159.5264</v>
      </c>
      <c r="I18" s="123">
        <v>107.01899330709387</v>
      </c>
      <c r="J18" s="127">
        <v>137.74194750576481</v>
      </c>
      <c r="K18" s="127">
        <v>177.07387625622795</v>
      </c>
      <c r="L18" s="212">
        <v>74.16</v>
      </c>
      <c r="M18" s="213">
        <v>82.4</v>
      </c>
      <c r="N18" s="214">
        <v>98.88</v>
      </c>
      <c r="O18" s="212">
        <v>126.91071428571406</v>
      </c>
      <c r="P18" s="213">
        <v>184.4540816326531</v>
      </c>
      <c r="Q18" s="214">
        <v>241.20918367346937</v>
      </c>
      <c r="R18" s="215"/>
      <c r="S18" s="212">
        <v>76.157388359999999</v>
      </c>
      <c r="T18" s="213">
        <v>158.07723478260871</v>
      </c>
      <c r="U18" s="214">
        <v>491.56581079999995</v>
      </c>
      <c r="V18" s="212">
        <v>103.44289999999999</v>
      </c>
      <c r="W18" s="213">
        <v>129.61520000000002</v>
      </c>
      <c r="X18" s="214">
        <v>154.5412</v>
      </c>
      <c r="Y18" s="132">
        <v>221.22855000000007</v>
      </c>
      <c r="Z18" s="123"/>
      <c r="AA18" s="127">
        <v>178.20000000000002</v>
      </c>
      <c r="AB18" s="127"/>
      <c r="AC18" s="132">
        <v>152.41116</v>
      </c>
      <c r="AD18" s="215">
        <v>152.41116</v>
      </c>
      <c r="AE18" s="132">
        <v>162.23427000000001</v>
      </c>
      <c r="AF18" s="132">
        <v>249.46368250000003</v>
      </c>
      <c r="AG18" s="215">
        <v>82.4</v>
      </c>
      <c r="AH18" s="212">
        <v>267.65538800000002</v>
      </c>
      <c r="AI18" s="213">
        <v>324.94761205499998</v>
      </c>
      <c r="AJ18" s="214">
        <v>382.23983611</v>
      </c>
      <c r="AK18" s="212">
        <v>124.84836</v>
      </c>
      <c r="AL18" s="213">
        <v>166.46448000000001</v>
      </c>
      <c r="AM18" s="214">
        <v>260.10075000000001</v>
      </c>
      <c r="AN18" s="132">
        <v>138.07594441664449</v>
      </c>
      <c r="AO18" s="132"/>
      <c r="AP18" s="123"/>
      <c r="AQ18" s="127"/>
      <c r="AR18" s="128"/>
    </row>
    <row r="19" spans="1:44" x14ac:dyDescent="0.3">
      <c r="A19" s="24">
        <v>2031</v>
      </c>
      <c r="B19" s="123">
        <v>209.21912070086191</v>
      </c>
      <c r="C19" s="127">
        <v>275.41771676462605</v>
      </c>
      <c r="D19" s="128">
        <v>365.70360455650132</v>
      </c>
      <c r="E19" s="132"/>
      <c r="F19" s="123"/>
      <c r="G19" s="127"/>
      <c r="H19" s="127"/>
      <c r="I19" s="123">
        <v>99.901052558118323</v>
      </c>
      <c r="J19" s="127">
        <v>130.63477434300856</v>
      </c>
      <c r="K19" s="127">
        <v>169.77590830309114</v>
      </c>
      <c r="L19" s="123"/>
      <c r="M19" s="127"/>
      <c r="N19" s="128"/>
      <c r="O19" s="123"/>
      <c r="P19" s="127"/>
      <c r="Q19" s="128"/>
      <c r="R19" s="132"/>
      <c r="S19" s="123"/>
      <c r="T19" s="127"/>
      <c r="U19" s="128"/>
      <c r="V19" s="123">
        <v>99.703999999999994</v>
      </c>
      <c r="W19" s="127">
        <v>125.8763</v>
      </c>
      <c r="X19" s="128">
        <v>153.66879</v>
      </c>
      <c r="Y19" s="132"/>
      <c r="Z19" s="123"/>
      <c r="AA19" s="127"/>
      <c r="AB19" s="127"/>
      <c r="AC19" s="132"/>
      <c r="AD19" s="132"/>
      <c r="AE19" s="132"/>
      <c r="AF19" s="132">
        <v>241.25767250000001</v>
      </c>
      <c r="AG19" s="132"/>
      <c r="AH19" s="123"/>
      <c r="AI19" s="127"/>
      <c r="AJ19" s="128"/>
      <c r="AK19" s="123"/>
      <c r="AL19" s="127"/>
      <c r="AM19" s="128"/>
      <c r="AN19" s="132"/>
      <c r="AO19" s="132"/>
      <c r="AP19" s="123"/>
      <c r="AQ19" s="127"/>
      <c r="AR19" s="128"/>
    </row>
    <row r="20" spans="1:44" x14ac:dyDescent="0.3">
      <c r="A20" s="24">
        <v>2032</v>
      </c>
      <c r="B20" s="123">
        <v>206.570777400851</v>
      </c>
      <c r="C20" s="127">
        <v>271.93317056190347</v>
      </c>
      <c r="D20" s="128">
        <v>365.70360455650132</v>
      </c>
      <c r="E20" s="132"/>
      <c r="F20" s="123"/>
      <c r="G20" s="127"/>
      <c r="H20" s="127"/>
      <c r="I20" s="123">
        <v>94.522651245762532</v>
      </c>
      <c r="J20" s="127">
        <v>124.91656282399457</v>
      </c>
      <c r="K20" s="127">
        <v>164.53188190846853</v>
      </c>
      <c r="L20" s="123"/>
      <c r="M20" s="127"/>
      <c r="N20" s="128"/>
      <c r="O20" s="123"/>
      <c r="P20" s="127"/>
      <c r="Q20" s="128"/>
      <c r="R20" s="132"/>
      <c r="S20" s="123"/>
      <c r="T20" s="127"/>
      <c r="U20" s="128"/>
      <c r="V20" s="123">
        <v>95.965100000000007</v>
      </c>
      <c r="W20" s="127">
        <v>122.1374</v>
      </c>
      <c r="X20" s="128">
        <v>152.79637999999997</v>
      </c>
      <c r="Y20" s="132"/>
      <c r="Z20" s="123"/>
      <c r="AA20" s="127"/>
      <c r="AB20" s="127"/>
      <c r="AC20" s="132"/>
      <c r="AD20" s="132"/>
      <c r="AE20" s="132"/>
      <c r="AF20" s="132">
        <v>234.69296750000001</v>
      </c>
      <c r="AG20" s="132"/>
      <c r="AH20" s="123"/>
      <c r="AI20" s="127"/>
      <c r="AJ20" s="128"/>
      <c r="AK20" s="123"/>
      <c r="AL20" s="127"/>
      <c r="AM20" s="128"/>
      <c r="AN20" s="132"/>
      <c r="AO20" s="132"/>
      <c r="AP20" s="123"/>
      <c r="AQ20" s="127"/>
      <c r="AR20" s="128"/>
    </row>
    <row r="21" spans="1:44" x14ac:dyDescent="0.3">
      <c r="A21" s="24">
        <v>2033</v>
      </c>
      <c r="B21" s="123">
        <v>203.92243410084009</v>
      </c>
      <c r="C21" s="127">
        <v>268.44862435918179</v>
      </c>
      <c r="D21" s="128">
        <v>365.70360455650132</v>
      </c>
      <c r="E21" s="132"/>
      <c r="F21" s="123"/>
      <c r="G21" s="127"/>
      <c r="H21" s="127"/>
      <c r="I21" s="123">
        <v>89.912592978028826</v>
      </c>
      <c r="J21" s="127">
        <v>119.74230582978871</v>
      </c>
      <c r="K21" s="127">
        <v>159.0634669940325</v>
      </c>
      <c r="L21" s="123"/>
      <c r="M21" s="127"/>
      <c r="N21" s="128"/>
      <c r="O21" s="123"/>
      <c r="P21" s="127"/>
      <c r="Q21" s="128"/>
      <c r="R21" s="132"/>
      <c r="S21" s="123"/>
      <c r="T21" s="127"/>
      <c r="U21" s="128"/>
      <c r="V21" s="123">
        <v>93.472499999999997</v>
      </c>
      <c r="W21" s="127">
        <v>118.39850000000001</v>
      </c>
      <c r="X21" s="128">
        <v>151.92397</v>
      </c>
      <c r="Y21" s="132"/>
      <c r="Z21" s="123"/>
      <c r="AA21" s="127"/>
      <c r="AB21" s="127"/>
      <c r="AC21" s="132"/>
      <c r="AD21" s="132"/>
      <c r="AE21" s="132"/>
      <c r="AF21" s="132">
        <v>226.48669999999998</v>
      </c>
      <c r="AG21" s="132"/>
      <c r="AH21" s="123"/>
      <c r="AI21" s="127"/>
      <c r="AJ21" s="128"/>
      <c r="AK21" s="123"/>
      <c r="AL21" s="127"/>
      <c r="AM21" s="128"/>
      <c r="AN21" s="132"/>
      <c r="AO21" s="132"/>
      <c r="AP21" s="123"/>
      <c r="AQ21" s="127"/>
      <c r="AR21" s="128"/>
    </row>
    <row r="22" spans="1:44" x14ac:dyDescent="0.3">
      <c r="A22" s="24">
        <v>2034</v>
      </c>
      <c r="B22" s="123">
        <v>201.27409080082919</v>
      </c>
      <c r="C22" s="127">
        <v>264.96407815646018</v>
      </c>
      <c r="D22" s="128">
        <v>365.70360455650132</v>
      </c>
      <c r="E22" s="132"/>
      <c r="F22" s="123"/>
      <c r="G22" s="127"/>
      <c r="H22" s="127"/>
      <c r="I22" s="123">
        <v>84.918363187984127</v>
      </c>
      <c r="J22" s="127">
        <v>115.45999921171918</v>
      </c>
      <c r="K22" s="127">
        <v>154.17130936306256</v>
      </c>
      <c r="L22" s="123"/>
      <c r="M22" s="127"/>
      <c r="N22" s="128"/>
      <c r="O22" s="123"/>
      <c r="P22" s="127"/>
      <c r="Q22" s="128"/>
      <c r="R22" s="132"/>
      <c r="S22" s="123"/>
      <c r="T22" s="127"/>
      <c r="U22" s="128"/>
      <c r="V22" s="123">
        <v>92.226199999999992</v>
      </c>
      <c r="W22" s="127">
        <v>115.9059</v>
      </c>
      <c r="X22" s="128">
        <v>151.05155999999999</v>
      </c>
      <c r="Y22" s="132"/>
      <c r="Z22" s="123"/>
      <c r="AA22" s="127"/>
      <c r="AB22" s="127"/>
      <c r="AC22" s="132"/>
      <c r="AD22" s="132"/>
      <c r="AE22" s="132"/>
      <c r="AF22" s="132">
        <v>219.92199500000001</v>
      </c>
      <c r="AG22" s="132"/>
      <c r="AH22" s="123"/>
      <c r="AI22" s="127"/>
      <c r="AJ22" s="128"/>
      <c r="AK22" s="123"/>
      <c r="AL22" s="127"/>
      <c r="AM22" s="128"/>
      <c r="AN22" s="132"/>
      <c r="AO22" s="132"/>
      <c r="AP22" s="123"/>
      <c r="AQ22" s="127"/>
      <c r="AR22" s="128"/>
    </row>
    <row r="23" spans="1:44" x14ac:dyDescent="0.3">
      <c r="A23" s="24">
        <v>2035</v>
      </c>
      <c r="B23" s="123">
        <v>198.62574750081828</v>
      </c>
      <c r="C23" s="127">
        <v>261.47953195373759</v>
      </c>
      <c r="D23" s="128">
        <v>365.70360455650132</v>
      </c>
      <c r="E23" s="132">
        <v>234.84</v>
      </c>
      <c r="F23" s="123"/>
      <c r="G23" s="127"/>
      <c r="H23" s="127"/>
      <c r="I23" s="123">
        <v>81.076647964872777</v>
      </c>
      <c r="J23" s="127">
        <v>110.17290247221879</v>
      </c>
      <c r="K23" s="127">
        <v>149.45917893625386</v>
      </c>
      <c r="L23" s="123"/>
      <c r="M23" s="127"/>
      <c r="N23" s="128"/>
      <c r="O23" s="123"/>
      <c r="P23" s="127"/>
      <c r="Q23" s="128"/>
      <c r="R23" s="132"/>
      <c r="S23" s="123">
        <v>72.446817479999993</v>
      </c>
      <c r="T23" s="127">
        <v>129.84915714285714</v>
      </c>
      <c r="U23" s="128">
        <v>226.74436480000003</v>
      </c>
      <c r="V23" s="123">
        <v>90.979900000000001</v>
      </c>
      <c r="W23" s="127">
        <v>113.41330000000001</v>
      </c>
      <c r="X23" s="128">
        <v>150.17915000000002</v>
      </c>
      <c r="Y23" s="132">
        <v>176.98284000000004</v>
      </c>
      <c r="Z23" s="123"/>
      <c r="AA23" s="127"/>
      <c r="AB23" s="127"/>
      <c r="AC23" s="132">
        <v>123.31448399999999</v>
      </c>
      <c r="AD23" s="215">
        <v>123.31448399999999</v>
      </c>
      <c r="AE23" s="132">
        <v>131.26227300000002</v>
      </c>
      <c r="AF23" s="132">
        <v>213.3570325</v>
      </c>
      <c r="AG23" s="132"/>
      <c r="AH23" s="123"/>
      <c r="AI23" s="127"/>
      <c r="AJ23" s="128"/>
      <c r="AK23" s="123">
        <v>108.20253000000001</v>
      </c>
      <c r="AL23" s="127">
        <v>170.62671</v>
      </c>
      <c r="AM23" s="128">
        <v>210.16120000000001</v>
      </c>
      <c r="AN23" s="132"/>
      <c r="AO23" s="127"/>
      <c r="AP23" s="123"/>
      <c r="AQ23" s="127"/>
      <c r="AR23" s="128"/>
    </row>
    <row r="24" spans="1:44" x14ac:dyDescent="0.3">
      <c r="A24" s="24">
        <v>2036</v>
      </c>
      <c r="B24" s="123">
        <v>195.97740420080737</v>
      </c>
      <c r="C24" s="127">
        <v>257.99498575101563</v>
      </c>
      <c r="D24" s="128">
        <v>365.70360455650132</v>
      </c>
      <c r="E24" s="132"/>
      <c r="F24" s="123"/>
      <c r="G24" s="127"/>
      <c r="H24" s="127"/>
      <c r="I24" s="123">
        <v>77.234932741761455</v>
      </c>
      <c r="J24" s="127">
        <v>106.32989627833274</v>
      </c>
      <c r="K24" s="127">
        <v>145.7074773152232</v>
      </c>
      <c r="L24" s="123"/>
      <c r="M24" s="127"/>
      <c r="N24" s="128"/>
      <c r="O24" s="123"/>
      <c r="P24" s="127"/>
      <c r="Q24" s="128"/>
      <c r="R24" s="132"/>
      <c r="S24" s="123"/>
      <c r="T24" s="127"/>
      <c r="U24" s="128"/>
      <c r="V24" s="123">
        <v>89.982860000000002</v>
      </c>
      <c r="W24" s="127">
        <v>111.29459</v>
      </c>
      <c r="X24" s="128">
        <v>149.30673999999999</v>
      </c>
      <c r="Y24" s="132"/>
      <c r="Z24" s="123"/>
      <c r="AA24" s="127"/>
      <c r="AB24" s="127"/>
      <c r="AC24" s="132"/>
      <c r="AD24" s="132"/>
      <c r="AE24" s="132"/>
      <c r="AF24" s="132">
        <v>210.07468</v>
      </c>
      <c r="AG24" s="132"/>
      <c r="AH24" s="123"/>
      <c r="AI24" s="127"/>
      <c r="AJ24" s="128"/>
      <c r="AK24" s="123"/>
      <c r="AL24" s="127"/>
      <c r="AM24" s="128"/>
      <c r="AN24" s="132"/>
      <c r="AO24" s="132"/>
      <c r="AP24" s="123"/>
      <c r="AQ24" s="127"/>
      <c r="AR24" s="128"/>
    </row>
    <row r="25" spans="1:44" x14ac:dyDescent="0.3">
      <c r="A25" s="24">
        <v>2037</v>
      </c>
      <c r="B25" s="123">
        <v>193.32906090079641</v>
      </c>
      <c r="C25" s="127">
        <v>254.51043954829308</v>
      </c>
      <c r="D25" s="128">
        <v>365.70360455650132</v>
      </c>
      <c r="E25" s="132"/>
      <c r="F25" s="123"/>
      <c r="G25" s="127"/>
      <c r="H25" s="127"/>
      <c r="I25" s="123">
        <v>74.16156056327236</v>
      </c>
      <c r="J25" s="127">
        <v>103.16651049776294</v>
      </c>
      <c r="K25" s="127">
        <v>142.45407793257354</v>
      </c>
      <c r="L25" s="123"/>
      <c r="M25" s="127"/>
      <c r="N25" s="128"/>
      <c r="O25" s="123"/>
      <c r="P25" s="127"/>
      <c r="Q25" s="128"/>
      <c r="R25" s="132"/>
      <c r="S25" s="123"/>
      <c r="T25" s="127"/>
      <c r="U25" s="128"/>
      <c r="V25" s="123">
        <v>88.985820000000004</v>
      </c>
      <c r="W25" s="127">
        <v>109.17587999999999</v>
      </c>
      <c r="X25" s="128">
        <v>148.43432999999999</v>
      </c>
      <c r="Y25" s="132"/>
      <c r="Z25" s="123"/>
      <c r="AA25" s="127"/>
      <c r="AB25" s="127"/>
      <c r="AC25" s="132"/>
      <c r="AD25" s="132"/>
      <c r="AE25" s="132"/>
      <c r="AF25" s="132">
        <v>205.15102250000001</v>
      </c>
      <c r="AG25" s="132"/>
      <c r="AH25" s="123"/>
      <c r="AI25" s="127"/>
      <c r="AJ25" s="128"/>
      <c r="AK25" s="123"/>
      <c r="AL25" s="127"/>
      <c r="AM25" s="128"/>
      <c r="AN25" s="132"/>
      <c r="AO25" s="132"/>
      <c r="AP25" s="123"/>
      <c r="AQ25" s="127"/>
      <c r="AR25" s="128"/>
    </row>
    <row r="26" spans="1:44" x14ac:dyDescent="0.3">
      <c r="A26" s="24">
        <v>2038</v>
      </c>
      <c r="B26" s="123">
        <v>190.6807176007855</v>
      </c>
      <c r="C26" s="127">
        <v>251.0258933455714</v>
      </c>
      <c r="D26" s="128">
        <v>365.70360455650132</v>
      </c>
      <c r="E26" s="132"/>
      <c r="F26" s="123"/>
      <c r="G26" s="127"/>
      <c r="H26" s="127"/>
      <c r="I26" s="123">
        <v>71.664445668250011</v>
      </c>
      <c r="J26" s="127">
        <v>99.132709513495982</v>
      </c>
      <c r="K26" s="127">
        <v>138.51029055038634</v>
      </c>
      <c r="L26" s="123"/>
      <c r="M26" s="127"/>
      <c r="N26" s="128"/>
      <c r="O26" s="123"/>
      <c r="P26" s="127"/>
      <c r="Q26" s="128"/>
      <c r="R26" s="132"/>
      <c r="S26" s="123"/>
      <c r="T26" s="127"/>
      <c r="U26" s="128"/>
      <c r="V26" s="123">
        <v>87.988779999999991</v>
      </c>
      <c r="W26" s="127">
        <v>107.05717000000001</v>
      </c>
      <c r="X26" s="128">
        <v>147.56192000000001</v>
      </c>
      <c r="Y26" s="132"/>
      <c r="Z26" s="123"/>
      <c r="AA26" s="127"/>
      <c r="AB26" s="127"/>
      <c r="AC26" s="132"/>
      <c r="AD26" s="132"/>
      <c r="AE26" s="132"/>
      <c r="AF26" s="132">
        <v>198.58631749999998</v>
      </c>
      <c r="AG26" s="132"/>
      <c r="AH26" s="123"/>
      <c r="AI26" s="127"/>
      <c r="AJ26" s="128"/>
      <c r="AK26" s="123"/>
      <c r="AL26" s="127"/>
      <c r="AM26" s="128"/>
      <c r="AN26" s="132"/>
      <c r="AO26" s="132"/>
      <c r="AP26" s="123"/>
      <c r="AQ26" s="127"/>
      <c r="AR26" s="128"/>
    </row>
    <row r="27" spans="1:44" x14ac:dyDescent="0.3">
      <c r="A27" s="24">
        <v>2039</v>
      </c>
      <c r="B27" s="123">
        <v>188.03237430077456</v>
      </c>
      <c r="C27" s="127">
        <v>247.54134714284979</v>
      </c>
      <c r="D27" s="128">
        <v>365.70360455650132</v>
      </c>
      <c r="E27" s="132"/>
      <c r="F27" s="123"/>
      <c r="G27" s="127"/>
      <c r="H27" s="127"/>
      <c r="I27" s="123">
        <v>68.781868280141808</v>
      </c>
      <c r="J27" s="127">
        <v>97.019766140784881</v>
      </c>
      <c r="K27" s="127">
        <v>135.43691837189786</v>
      </c>
      <c r="L27" s="123"/>
      <c r="M27" s="127"/>
      <c r="N27" s="128"/>
      <c r="O27" s="123"/>
      <c r="P27" s="127"/>
      <c r="Q27" s="128"/>
      <c r="R27" s="132"/>
      <c r="S27" s="123"/>
      <c r="T27" s="127"/>
      <c r="U27" s="128"/>
      <c r="V27" s="123">
        <v>86.991740000000007</v>
      </c>
      <c r="W27" s="127">
        <v>104.93846000000001</v>
      </c>
      <c r="X27" s="128">
        <v>146.68951000000001</v>
      </c>
      <c r="Y27" s="132"/>
      <c r="Z27" s="123"/>
      <c r="AA27" s="127"/>
      <c r="AB27" s="127"/>
      <c r="AC27" s="132"/>
      <c r="AD27" s="132"/>
      <c r="AE27" s="132"/>
      <c r="AF27" s="132">
        <v>195.30396500000001</v>
      </c>
      <c r="AG27" s="132"/>
      <c r="AH27" s="123"/>
      <c r="AI27" s="127"/>
      <c r="AJ27" s="128"/>
      <c r="AK27" s="123"/>
      <c r="AL27" s="127"/>
      <c r="AM27" s="128"/>
      <c r="AN27" s="132"/>
      <c r="AO27" s="132"/>
      <c r="AP27" s="123"/>
      <c r="AQ27" s="127"/>
      <c r="AR27" s="128"/>
    </row>
    <row r="28" spans="1:44" x14ac:dyDescent="0.3">
      <c r="A28" s="24">
        <v>2040</v>
      </c>
      <c r="B28" s="123">
        <v>185.38403100076366</v>
      </c>
      <c r="C28" s="127">
        <v>244.0568009401272</v>
      </c>
      <c r="D28" s="128">
        <v>365.70360455650132</v>
      </c>
      <c r="E28" s="132">
        <v>224.54</v>
      </c>
      <c r="F28" s="123"/>
      <c r="G28" s="127"/>
      <c r="H28" s="127"/>
      <c r="I28" s="123">
        <v>66.251159655686052</v>
      </c>
      <c r="J28" s="127">
        <v>93.754308201140276</v>
      </c>
      <c r="K28" s="127">
        <v>133.2339613971057</v>
      </c>
      <c r="L28" s="123"/>
      <c r="M28" s="127"/>
      <c r="N28" s="128"/>
      <c r="O28" s="123"/>
      <c r="P28" s="127"/>
      <c r="Q28" s="128"/>
      <c r="R28" s="132"/>
      <c r="S28" s="123">
        <v>56.869851439999991</v>
      </c>
      <c r="T28" s="127">
        <v>110.17504242424243</v>
      </c>
      <c r="U28" s="128">
        <v>217.10232879999998</v>
      </c>
      <c r="V28" s="123">
        <v>85.994699999999995</v>
      </c>
      <c r="W28" s="127">
        <v>102.94437999999998</v>
      </c>
      <c r="X28" s="128">
        <v>145.81710000000001</v>
      </c>
      <c r="Y28" s="215">
        <v>147.48570000000004</v>
      </c>
      <c r="Z28" s="123"/>
      <c r="AA28" s="127">
        <v>113.4</v>
      </c>
      <c r="AB28" s="127"/>
      <c r="AC28" s="132">
        <v>105.30225599999999</v>
      </c>
      <c r="AD28" s="215">
        <v>105.30225599999999</v>
      </c>
      <c r="AE28" s="215">
        <v>112.08913200000003</v>
      </c>
      <c r="AF28" s="132">
        <v>195.30396500000001</v>
      </c>
      <c r="AG28" s="132"/>
      <c r="AH28" s="123"/>
      <c r="AI28" s="127"/>
      <c r="AJ28" s="128"/>
      <c r="AK28" s="123">
        <v>95.717179000000002</v>
      </c>
      <c r="AL28" s="127">
        <v>129.01059000000001</v>
      </c>
      <c r="AM28" s="128">
        <v>189.35314</v>
      </c>
      <c r="AN28" s="132"/>
      <c r="AO28" s="132"/>
      <c r="AP28" s="123"/>
      <c r="AQ28" s="127"/>
      <c r="AR28" s="128"/>
    </row>
    <row r="29" spans="1:44" x14ac:dyDescent="0.3">
      <c r="A29" s="24">
        <v>2041</v>
      </c>
      <c r="B29" s="123">
        <v>182.73568770075275</v>
      </c>
      <c r="C29" s="127">
        <v>240.57225473740525</v>
      </c>
      <c r="D29" s="128">
        <v>365.70360455650132</v>
      </c>
      <c r="E29" s="132"/>
      <c r="F29" s="123"/>
      <c r="G29" s="127"/>
      <c r="H29" s="127"/>
      <c r="I29" s="123">
        <v>64.104622553541333</v>
      </c>
      <c r="J29" s="127">
        <v>91.449279067273295</v>
      </c>
      <c r="K29" s="127">
        <v>130.8268601041639</v>
      </c>
      <c r="L29" s="123"/>
      <c r="M29" s="127"/>
      <c r="N29" s="128"/>
      <c r="O29" s="123"/>
      <c r="P29" s="127"/>
      <c r="Q29" s="128"/>
      <c r="R29" s="132"/>
      <c r="S29" s="123"/>
      <c r="T29" s="127"/>
      <c r="U29" s="128"/>
      <c r="V29" s="123">
        <v>85.745439999999988</v>
      </c>
      <c r="W29" s="127">
        <v>101.82271</v>
      </c>
      <c r="X29" s="128">
        <v>144.94468999999998</v>
      </c>
      <c r="Y29" s="132"/>
      <c r="Z29" s="123"/>
      <c r="AA29" s="127"/>
      <c r="AB29" s="127"/>
      <c r="AC29" s="132"/>
      <c r="AD29" s="132"/>
      <c r="AE29" s="132"/>
      <c r="AF29" s="132">
        <v>195.30396500000001</v>
      </c>
      <c r="AG29" s="132"/>
      <c r="AH29" s="123"/>
      <c r="AI29" s="127"/>
      <c r="AJ29" s="128"/>
      <c r="AK29" s="123"/>
      <c r="AL29" s="127"/>
      <c r="AM29" s="128"/>
      <c r="AN29" s="132"/>
      <c r="AO29" s="132"/>
      <c r="AP29" s="123"/>
      <c r="AQ29" s="127"/>
      <c r="AR29" s="128"/>
    </row>
    <row r="30" spans="1:44" x14ac:dyDescent="0.3">
      <c r="A30" s="24">
        <v>2042</v>
      </c>
      <c r="B30" s="123">
        <v>180.08734440074181</v>
      </c>
      <c r="C30" s="127">
        <v>237.08770853468272</v>
      </c>
      <c r="D30" s="128">
        <v>365.70360455650132</v>
      </c>
      <c r="E30" s="132"/>
      <c r="F30" s="123"/>
      <c r="G30" s="127"/>
      <c r="H30" s="127"/>
      <c r="I30" s="123">
        <v>62.34225697370794</v>
      </c>
      <c r="J30" s="127">
        <v>89.144249933406471</v>
      </c>
      <c r="K30" s="127">
        <v>127.56011119374517</v>
      </c>
      <c r="L30" s="123"/>
      <c r="M30" s="127"/>
      <c r="N30" s="128"/>
      <c r="O30" s="123"/>
      <c r="P30" s="127"/>
      <c r="Q30" s="128"/>
      <c r="R30" s="132"/>
      <c r="S30" s="123"/>
      <c r="T30" s="127"/>
      <c r="U30" s="128"/>
      <c r="V30" s="123">
        <v>85.496179999999981</v>
      </c>
      <c r="W30" s="127">
        <v>100.9503</v>
      </c>
      <c r="X30" s="128">
        <v>144.07227999999998</v>
      </c>
      <c r="Y30" s="132"/>
      <c r="Z30" s="123"/>
      <c r="AA30" s="127"/>
      <c r="AB30" s="127"/>
      <c r="AC30" s="132"/>
      <c r="AD30" s="132"/>
      <c r="AE30" s="132"/>
      <c r="AF30" s="132">
        <v>195.30396500000001</v>
      </c>
      <c r="AG30" s="132"/>
      <c r="AH30" s="123"/>
      <c r="AI30" s="127"/>
      <c r="AJ30" s="128"/>
      <c r="AK30" s="123"/>
      <c r="AL30" s="127"/>
      <c r="AM30" s="128"/>
      <c r="AN30" s="132"/>
      <c r="AO30" s="132"/>
      <c r="AP30" s="123"/>
      <c r="AQ30" s="127"/>
      <c r="AR30" s="128"/>
    </row>
    <row r="31" spans="1:44" x14ac:dyDescent="0.3">
      <c r="A31" s="24">
        <v>2043</v>
      </c>
      <c r="B31" s="123">
        <v>177.43900110073093</v>
      </c>
      <c r="C31" s="127">
        <v>233.60316233196104</v>
      </c>
      <c r="D31" s="128">
        <v>365.70360455650132</v>
      </c>
      <c r="E31" s="132"/>
      <c r="F31" s="123"/>
      <c r="G31" s="127"/>
      <c r="H31" s="127"/>
      <c r="I31" s="123">
        <v>60.331385760071512</v>
      </c>
      <c r="J31" s="127">
        <v>87.607563844162101</v>
      </c>
      <c r="K31" s="127">
        <v>126.04625124771449</v>
      </c>
      <c r="L31" s="123"/>
      <c r="M31" s="127"/>
      <c r="N31" s="128"/>
      <c r="O31" s="123"/>
      <c r="P31" s="127"/>
      <c r="Q31" s="128"/>
      <c r="R31" s="132"/>
      <c r="S31" s="123"/>
      <c r="T31" s="127"/>
      <c r="U31" s="128"/>
      <c r="V31" s="123">
        <v>85.246920000000017</v>
      </c>
      <c r="W31" s="127">
        <v>100.07789</v>
      </c>
      <c r="X31" s="128">
        <v>143.19987</v>
      </c>
      <c r="Y31" s="132"/>
      <c r="Z31" s="123"/>
      <c r="AA31" s="127"/>
      <c r="AB31" s="127"/>
      <c r="AC31" s="132"/>
      <c r="AD31" s="132"/>
      <c r="AE31" s="132"/>
      <c r="AF31" s="132">
        <v>195.30396500000001</v>
      </c>
      <c r="AG31" s="132"/>
      <c r="AH31" s="123"/>
      <c r="AI31" s="127"/>
      <c r="AJ31" s="128"/>
      <c r="AK31" s="123"/>
      <c r="AL31" s="127"/>
      <c r="AM31" s="128"/>
      <c r="AN31" s="132"/>
      <c r="AO31" s="132"/>
      <c r="AP31" s="123"/>
      <c r="AQ31" s="127"/>
      <c r="AR31" s="128"/>
    </row>
    <row r="32" spans="1:44" x14ac:dyDescent="0.3">
      <c r="A32" s="24">
        <v>2044</v>
      </c>
      <c r="B32" s="123">
        <v>174.79065780072003</v>
      </c>
      <c r="C32" s="127">
        <v>230.1186161292394</v>
      </c>
      <c r="D32" s="128">
        <v>365.70360455650132</v>
      </c>
      <c r="E32" s="132"/>
      <c r="F32" s="123"/>
      <c r="G32" s="127"/>
      <c r="H32" s="127"/>
      <c r="I32" s="123">
        <v>59.17887119313815</v>
      </c>
      <c r="J32" s="127">
        <v>85.302534710295234</v>
      </c>
      <c r="K32" s="127">
        <v>123.70762838441343</v>
      </c>
      <c r="L32" s="123"/>
      <c r="M32" s="127"/>
      <c r="N32" s="128"/>
      <c r="O32" s="123"/>
      <c r="P32" s="127"/>
      <c r="Q32" s="128"/>
      <c r="R32" s="132"/>
      <c r="S32" s="123"/>
      <c r="T32" s="127"/>
      <c r="U32" s="128"/>
      <c r="V32" s="123">
        <v>84.99766000000001</v>
      </c>
      <c r="W32" s="127">
        <v>99.205479999999994</v>
      </c>
      <c r="X32" s="128">
        <v>142.32746</v>
      </c>
      <c r="Y32" s="132"/>
      <c r="Z32" s="123"/>
      <c r="AA32" s="127"/>
      <c r="AB32" s="127"/>
      <c r="AC32" s="132"/>
      <c r="AD32" s="132"/>
      <c r="AE32" s="132"/>
      <c r="AF32" s="132">
        <v>195.30396500000001</v>
      </c>
      <c r="AG32" s="132"/>
      <c r="AH32" s="123"/>
      <c r="AI32" s="127"/>
      <c r="AJ32" s="128"/>
      <c r="AK32" s="123"/>
      <c r="AL32" s="127"/>
      <c r="AM32" s="128"/>
      <c r="AN32" s="132"/>
      <c r="AO32" s="132"/>
      <c r="AP32" s="123"/>
      <c r="AQ32" s="127"/>
      <c r="AR32" s="128"/>
    </row>
    <row r="33" spans="1:44" x14ac:dyDescent="0.3">
      <c r="A33" s="24">
        <v>2045</v>
      </c>
      <c r="B33" s="123">
        <v>172.14231450070909</v>
      </c>
      <c r="C33" s="127">
        <v>226.63406992651684</v>
      </c>
      <c r="D33" s="128">
        <v>365.70360455650132</v>
      </c>
      <c r="E33" s="132"/>
      <c r="F33" s="123"/>
      <c r="G33" s="127"/>
      <c r="H33" s="127"/>
      <c r="I33" s="123">
        <v>57.642185103893546</v>
      </c>
      <c r="J33" s="127">
        <v>83.573762859895126</v>
      </c>
      <c r="K33" s="127">
        <v>122.29454962668385</v>
      </c>
      <c r="L33" s="123"/>
      <c r="M33" s="127"/>
      <c r="N33" s="128"/>
      <c r="O33" s="123"/>
      <c r="P33" s="127"/>
      <c r="Q33" s="128"/>
      <c r="R33" s="132"/>
      <c r="S33" s="123">
        <v>53.161670159999993</v>
      </c>
      <c r="T33" s="127">
        <v>95.678326315789477</v>
      </c>
      <c r="U33" s="128">
        <v>211.41388599999999</v>
      </c>
      <c r="V33" s="123">
        <v>84.748400000000004</v>
      </c>
      <c r="W33" s="127">
        <v>98.08381</v>
      </c>
      <c r="X33" s="128">
        <v>141.45505</v>
      </c>
      <c r="Y33" s="132">
        <v>125.36284500000002</v>
      </c>
      <c r="Z33" s="123"/>
      <c r="AA33" s="127"/>
      <c r="AB33" s="127"/>
      <c r="AC33" s="215">
        <v>94.217807999999991</v>
      </c>
      <c r="AD33" s="215">
        <v>94.217807999999991</v>
      </c>
      <c r="AE33" s="132">
        <v>100.29027600000001</v>
      </c>
      <c r="AF33" s="132">
        <v>195.30396500000001</v>
      </c>
      <c r="AG33" s="132"/>
      <c r="AH33" s="123"/>
      <c r="AI33" s="127"/>
      <c r="AJ33" s="128"/>
      <c r="AK33" s="123">
        <v>87.393955000000005</v>
      </c>
      <c r="AL33" s="127">
        <v>131.09119000000001</v>
      </c>
      <c r="AM33" s="128">
        <v>172.70731000000001</v>
      </c>
      <c r="AN33" s="132"/>
      <c r="AO33" s="132"/>
      <c r="AP33" s="123"/>
      <c r="AQ33" s="127"/>
      <c r="AR33" s="128"/>
    </row>
    <row r="34" spans="1:44" x14ac:dyDescent="0.3">
      <c r="A34" s="24">
        <v>2046</v>
      </c>
      <c r="B34" s="123">
        <v>169.49397120069818</v>
      </c>
      <c r="C34" s="127">
        <v>223.14952372379489</v>
      </c>
      <c r="D34" s="128">
        <v>365.70360455650132</v>
      </c>
      <c r="E34" s="132"/>
      <c r="F34" s="123"/>
      <c r="G34" s="127"/>
      <c r="H34" s="127"/>
      <c r="I34" s="123">
        <v>55.992659269354668</v>
      </c>
      <c r="J34" s="127">
        <v>82.037076770650529</v>
      </c>
      <c r="K34" s="127">
        <v>120.04723133623824</v>
      </c>
      <c r="L34" s="123"/>
      <c r="M34" s="127"/>
      <c r="N34" s="128"/>
      <c r="O34" s="123"/>
      <c r="P34" s="127"/>
      <c r="Q34" s="128"/>
      <c r="R34" s="132"/>
      <c r="S34" s="123"/>
      <c r="T34" s="127"/>
      <c r="U34" s="128"/>
      <c r="V34" s="123">
        <v>84.499139999999997</v>
      </c>
      <c r="W34" s="127">
        <v>97.211399999999998</v>
      </c>
      <c r="X34" s="128">
        <v>140.58264</v>
      </c>
      <c r="Y34" s="132"/>
      <c r="Z34" s="123"/>
      <c r="AA34" s="127"/>
      <c r="AB34" s="127"/>
      <c r="AC34" s="132"/>
      <c r="AD34" s="132"/>
      <c r="AE34" s="132"/>
      <c r="AF34" s="132">
        <v>195.30396500000001</v>
      </c>
      <c r="AG34" s="132"/>
      <c r="AH34" s="123"/>
      <c r="AI34" s="127"/>
      <c r="AJ34" s="128"/>
      <c r="AK34" s="123"/>
      <c r="AL34" s="127"/>
      <c r="AM34" s="128"/>
      <c r="AN34" s="132"/>
      <c r="AO34" s="132"/>
      <c r="AP34" s="123"/>
      <c r="AQ34" s="127"/>
      <c r="AR34" s="128"/>
    </row>
    <row r="35" spans="1:44" x14ac:dyDescent="0.3">
      <c r="A35" s="24">
        <v>2047</v>
      </c>
      <c r="B35" s="123">
        <v>166.84562790068725</v>
      </c>
      <c r="C35" s="127">
        <v>219.66497752107233</v>
      </c>
      <c r="D35" s="128">
        <v>365.70360455650132</v>
      </c>
      <c r="E35" s="132"/>
      <c r="F35" s="123"/>
      <c r="G35" s="127"/>
      <c r="H35" s="127"/>
      <c r="I35" s="123">
        <v>54.478799323323756</v>
      </c>
      <c r="J35" s="127">
        <v>80.308304920250436</v>
      </c>
      <c r="K35" s="127">
        <v>118.14919986789678</v>
      </c>
      <c r="L35" s="123"/>
      <c r="M35" s="127"/>
      <c r="N35" s="128"/>
      <c r="O35" s="123"/>
      <c r="P35" s="127"/>
      <c r="Q35" s="128"/>
      <c r="R35" s="132"/>
      <c r="S35" s="123"/>
      <c r="T35" s="127"/>
      <c r="U35" s="128"/>
      <c r="V35" s="123">
        <v>84.24987999999999</v>
      </c>
      <c r="W35" s="127">
        <v>96.338989999999995</v>
      </c>
      <c r="X35" s="128">
        <v>139.71023</v>
      </c>
      <c r="Y35" s="132"/>
      <c r="Z35" s="123"/>
      <c r="AA35" s="127"/>
      <c r="AB35" s="127"/>
      <c r="AC35" s="132"/>
      <c r="AD35" s="132"/>
      <c r="AE35" s="132"/>
      <c r="AF35" s="132">
        <v>195.30396500000001</v>
      </c>
      <c r="AG35" s="132"/>
      <c r="AH35" s="123"/>
      <c r="AI35" s="127"/>
      <c r="AJ35" s="128"/>
      <c r="AK35" s="123"/>
      <c r="AL35" s="127"/>
      <c r="AM35" s="128"/>
      <c r="AN35" s="132"/>
      <c r="AO35" s="132"/>
      <c r="AP35" s="123"/>
      <c r="AQ35" s="127"/>
      <c r="AR35" s="128"/>
    </row>
    <row r="36" spans="1:44" x14ac:dyDescent="0.3">
      <c r="A36" s="24">
        <v>2048</v>
      </c>
      <c r="B36" s="123">
        <v>164.19728460067631</v>
      </c>
      <c r="C36" s="127">
        <v>216.18043131835068</v>
      </c>
      <c r="D36" s="128">
        <v>365.70360455650132</v>
      </c>
      <c r="E36" s="132"/>
      <c r="F36" s="123"/>
      <c r="G36" s="127"/>
      <c r="H36" s="127"/>
      <c r="I36" s="123">
        <v>53.597616533407127</v>
      </c>
      <c r="J36" s="127">
        <v>78.963704592161562</v>
      </c>
      <c r="K36" s="127">
        <v>116.61251377865267</v>
      </c>
      <c r="L36" s="123"/>
      <c r="M36" s="127"/>
      <c r="N36" s="128"/>
      <c r="O36" s="123"/>
      <c r="P36" s="127"/>
      <c r="Q36" s="128"/>
      <c r="R36" s="132"/>
      <c r="S36" s="123"/>
      <c r="T36" s="127"/>
      <c r="U36" s="128"/>
      <c r="V36" s="123">
        <v>84.000619999999998</v>
      </c>
      <c r="W36" s="127">
        <v>95.466579999999993</v>
      </c>
      <c r="X36" s="128">
        <v>138.83782000000002</v>
      </c>
      <c r="Y36" s="132"/>
      <c r="Z36" s="123"/>
      <c r="AA36" s="127"/>
      <c r="AB36" s="127"/>
      <c r="AC36" s="132"/>
      <c r="AD36" s="132"/>
      <c r="AE36" s="132"/>
      <c r="AF36" s="132">
        <v>195.30396500000001</v>
      </c>
      <c r="AG36" s="132"/>
      <c r="AH36" s="123"/>
      <c r="AI36" s="127"/>
      <c r="AJ36" s="128"/>
      <c r="AK36" s="123"/>
      <c r="AL36" s="127"/>
      <c r="AM36" s="128"/>
      <c r="AN36" s="132"/>
      <c r="AO36" s="132"/>
      <c r="AP36" s="123"/>
      <c r="AQ36" s="127"/>
      <c r="AR36" s="128"/>
    </row>
    <row r="37" spans="1:44" x14ac:dyDescent="0.3">
      <c r="A37" s="24">
        <v>2049</v>
      </c>
      <c r="B37" s="123">
        <v>161.5489413006654</v>
      </c>
      <c r="C37" s="127">
        <v>212.69588511562901</v>
      </c>
      <c r="D37" s="128">
        <v>365.70360455650132</v>
      </c>
      <c r="E37" s="132"/>
      <c r="F37" s="123"/>
      <c r="G37" s="127"/>
      <c r="H37" s="127"/>
      <c r="I37" s="123">
        <v>52.083756587376435</v>
      </c>
      <c r="J37" s="127">
        <v>77.234932741761341</v>
      </c>
      <c r="K37" s="127">
        <v>114.90656807146635</v>
      </c>
      <c r="L37" s="123"/>
      <c r="M37" s="127"/>
      <c r="N37" s="128"/>
      <c r="O37" s="123"/>
      <c r="P37" s="127"/>
      <c r="Q37" s="128"/>
      <c r="R37" s="132"/>
      <c r="S37" s="123"/>
      <c r="T37" s="127"/>
      <c r="U37" s="128"/>
      <c r="V37" s="123">
        <v>83.751360000000005</v>
      </c>
      <c r="W37" s="127">
        <v>94.469539999999995</v>
      </c>
      <c r="X37" s="128">
        <v>137.96541000000002</v>
      </c>
      <c r="Y37" s="132"/>
      <c r="Z37" s="123"/>
      <c r="AA37" s="127"/>
      <c r="AB37" s="127"/>
      <c r="AC37" s="132"/>
      <c r="AD37" s="132"/>
      <c r="AE37" s="132"/>
      <c r="AF37" s="132">
        <v>195.30396500000001</v>
      </c>
      <c r="AG37" s="132"/>
      <c r="AH37" s="123"/>
      <c r="AI37" s="127"/>
      <c r="AJ37" s="128"/>
      <c r="AK37" s="123"/>
      <c r="AL37" s="127"/>
      <c r="AM37" s="128"/>
      <c r="AN37" s="132"/>
      <c r="AO37" s="132"/>
      <c r="AP37" s="123"/>
      <c r="AQ37" s="127"/>
      <c r="AR37" s="128"/>
    </row>
    <row r="38" spans="1:44" ht="15" thickBot="1" x14ac:dyDescent="0.35">
      <c r="A38" s="25">
        <v>2050</v>
      </c>
      <c r="B38" s="124">
        <v>158.90059800065464</v>
      </c>
      <c r="C38" s="129">
        <v>209.21133891290646</v>
      </c>
      <c r="D38" s="130">
        <v>365.70360455650132</v>
      </c>
      <c r="E38" s="133"/>
      <c r="F38" s="124"/>
      <c r="G38" s="129"/>
      <c r="H38" s="129"/>
      <c r="I38" s="124">
        <v>51.699585065065314</v>
      </c>
      <c r="J38" s="129">
        <v>75.890332413672354</v>
      </c>
      <c r="K38" s="129">
        <v>113.6412137592385</v>
      </c>
      <c r="L38" s="124"/>
      <c r="M38" s="129"/>
      <c r="N38" s="130"/>
      <c r="O38" s="124"/>
      <c r="P38" s="129"/>
      <c r="Q38" s="130"/>
      <c r="R38" s="133"/>
      <c r="S38" s="124">
        <v>47.475497480000001</v>
      </c>
      <c r="T38" s="129">
        <v>84.552939534883706</v>
      </c>
      <c r="U38" s="130">
        <v>205.72424839999996</v>
      </c>
      <c r="V38" s="124">
        <v>83.502099999999999</v>
      </c>
      <c r="W38" s="129">
        <v>93.472499999999997</v>
      </c>
      <c r="X38" s="130">
        <v>137.09299999999999</v>
      </c>
      <c r="Y38" s="133">
        <v>110.61427500000003</v>
      </c>
      <c r="Z38" s="124">
        <v>48.6</v>
      </c>
      <c r="AA38" s="129">
        <v>72.900000000000006</v>
      </c>
      <c r="AB38" s="129">
        <v>280.8</v>
      </c>
      <c r="AC38" s="133">
        <v>84.518915999999976</v>
      </c>
      <c r="AD38" s="216">
        <v>84.518915999999976</v>
      </c>
      <c r="AE38" s="133">
        <v>89.966277000000019</v>
      </c>
      <c r="AF38" s="133">
        <v>195.30396500000001</v>
      </c>
      <c r="AG38" s="133"/>
      <c r="AH38" s="124">
        <v>132.35705999999999</v>
      </c>
      <c r="AI38" s="129">
        <v>162.0987943575</v>
      </c>
      <c r="AJ38" s="130">
        <v>191.84052871499998</v>
      </c>
      <c r="AK38" s="124">
        <v>76.989924999999999</v>
      </c>
      <c r="AL38" s="129">
        <v>118.60656</v>
      </c>
      <c r="AM38" s="130">
        <v>168.54508000000001</v>
      </c>
      <c r="AN38" s="133"/>
      <c r="AO38" s="133"/>
      <c r="AP38" s="124"/>
      <c r="AQ38" s="129"/>
      <c r="AR38" s="130"/>
    </row>
    <row r="40" spans="1:44" x14ac:dyDescent="0.3">
      <c r="A40" s="36" t="s">
        <v>57</v>
      </c>
    </row>
    <row r="41" spans="1:44" x14ac:dyDescent="0.3">
      <c r="A41" s="36" t="s">
        <v>60</v>
      </c>
    </row>
    <row r="42" spans="1:44" x14ac:dyDescent="0.3">
      <c r="A42" s="36" t="s">
        <v>308</v>
      </c>
    </row>
  </sheetData>
  <mergeCells count="12">
    <mergeCell ref="S1:U1"/>
    <mergeCell ref="V1:X1"/>
    <mergeCell ref="AH1:AJ1"/>
    <mergeCell ref="AK1:AM1"/>
    <mergeCell ref="AP1:AR1"/>
    <mergeCell ref="Z1:AB1"/>
    <mergeCell ref="O1:Q1"/>
    <mergeCell ref="A1:A2"/>
    <mergeCell ref="B1:D1"/>
    <mergeCell ref="F1:H1"/>
    <mergeCell ref="I1:K1"/>
    <mergeCell ref="L1:N1"/>
  </mergeCells>
  <pageMargins left="0.25" right="0.25" top="0.75" bottom="0.75" header="0.3" footer="0.3"/>
  <pageSetup paperSize="9" scale="27" orientation="landscape" r:id="rId1"/>
  <headerFooter>
    <oddFooter>&amp;C_x000D_&amp;1#&amp;"Calibri"&amp;7&amp;K000000 Classification: In-Confidence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FBEAF-518E-4B5E-88D5-AD4D27A42F64}">
  <sheetPr>
    <tabColor theme="6" tint="0.39997558519241921"/>
    <pageSetUpPr fitToPage="1"/>
  </sheetPr>
  <dimension ref="A1:AG88"/>
  <sheetViews>
    <sheetView topLeftCell="C1" zoomScale="55" zoomScaleNormal="55" workbookViewId="0">
      <selection activeCell="O39" sqref="O39"/>
    </sheetView>
  </sheetViews>
  <sheetFormatPr defaultRowHeight="14.4" x14ac:dyDescent="0.3"/>
  <cols>
    <col min="1" max="1" width="12.44140625" style="1" customWidth="1"/>
    <col min="2" max="2" width="29.88671875" style="1" bestFit="1" customWidth="1"/>
    <col min="3" max="3" width="9" style="1" bestFit="1" customWidth="1"/>
    <col min="4" max="4" width="10.109375" style="1" bestFit="1" customWidth="1"/>
    <col min="5" max="5" width="9" style="1" bestFit="1" customWidth="1"/>
    <col min="6" max="8" width="13.44140625" style="1" bestFit="1" customWidth="1"/>
    <col min="9" max="9" width="24.88671875" style="1" customWidth="1"/>
    <col min="10" max="10" width="20.33203125" style="1" customWidth="1"/>
    <col min="11" max="13" width="13.44140625" style="1" bestFit="1" customWidth="1"/>
    <col min="14" max="14" width="11.5546875" style="1" customWidth="1"/>
    <col min="15" max="15" width="11.6640625" style="1" customWidth="1"/>
    <col min="16" max="16" width="12.6640625" style="1" customWidth="1"/>
    <col min="17" max="18" width="12.5546875" style="1" customWidth="1"/>
    <col min="19" max="19" width="12.6640625" style="1" customWidth="1"/>
    <col min="20" max="20" width="13.88671875" style="1" customWidth="1"/>
    <col min="21" max="21" width="14.77734375" style="1" customWidth="1"/>
    <col min="22" max="22" width="11.77734375" style="1" customWidth="1"/>
    <col min="23" max="23" width="44.6640625" style="1" customWidth="1"/>
    <col min="24" max="24" width="30.5546875" style="1" customWidth="1"/>
    <col min="25" max="25" width="24.5546875" style="1" customWidth="1"/>
    <col min="26" max="26" width="21.109375" customWidth="1"/>
    <col min="27" max="27" width="8.21875" bestFit="1" customWidth="1"/>
    <col min="28" max="28" width="9.109375" bestFit="1" customWidth="1"/>
    <col min="29" max="29" width="8.77734375" bestFit="1" customWidth="1"/>
    <col min="30" max="30" width="20.33203125" customWidth="1"/>
  </cols>
  <sheetData>
    <row r="1" spans="1:33" ht="36.6" thickBot="1" x14ac:dyDescent="0.35">
      <c r="A1" s="321" t="s">
        <v>0</v>
      </c>
      <c r="B1" s="56" t="s">
        <v>282</v>
      </c>
      <c r="C1" s="298" t="s">
        <v>290</v>
      </c>
      <c r="D1" s="299"/>
      <c r="E1" s="300"/>
      <c r="F1" s="298" t="s">
        <v>82</v>
      </c>
      <c r="G1" s="299"/>
      <c r="H1" s="300"/>
      <c r="I1" s="56" t="s">
        <v>285</v>
      </c>
      <c r="J1" s="56" t="s">
        <v>83</v>
      </c>
      <c r="K1" s="298" t="s">
        <v>84</v>
      </c>
      <c r="L1" s="299"/>
      <c r="M1" s="300"/>
      <c r="N1" s="291" t="s">
        <v>320</v>
      </c>
      <c r="O1" s="292"/>
      <c r="P1" s="293"/>
      <c r="Q1" s="291" t="s">
        <v>321</v>
      </c>
      <c r="R1" s="292"/>
      <c r="S1" s="293"/>
      <c r="T1" s="291" t="s">
        <v>322</v>
      </c>
      <c r="U1" s="292"/>
      <c r="V1" s="293"/>
      <c r="W1" s="56" t="s">
        <v>260</v>
      </c>
      <c r="X1" s="56" t="s">
        <v>291</v>
      </c>
      <c r="Y1" s="56" t="s">
        <v>447</v>
      </c>
      <c r="Z1" s="56" t="s">
        <v>292</v>
      </c>
      <c r="AA1" s="298" t="s">
        <v>324</v>
      </c>
      <c r="AB1" s="299"/>
      <c r="AC1" s="300"/>
      <c r="AD1" s="56" t="s">
        <v>88</v>
      </c>
      <c r="AE1" s="326" t="s">
        <v>17</v>
      </c>
      <c r="AF1" s="327"/>
      <c r="AG1" s="328"/>
    </row>
    <row r="2" spans="1:33" ht="15" thickBot="1" x14ac:dyDescent="0.35">
      <c r="A2" s="322"/>
      <c r="B2" s="66" t="s">
        <v>28</v>
      </c>
      <c r="C2" s="68" t="s">
        <v>18</v>
      </c>
      <c r="D2" s="69" t="s">
        <v>19</v>
      </c>
      <c r="E2" s="69" t="s">
        <v>20</v>
      </c>
      <c r="F2" s="68" t="s">
        <v>18</v>
      </c>
      <c r="G2" s="69" t="s">
        <v>19</v>
      </c>
      <c r="H2" s="69" t="s">
        <v>20</v>
      </c>
      <c r="I2" s="66" t="s">
        <v>19</v>
      </c>
      <c r="J2" s="66" t="s">
        <v>18</v>
      </c>
      <c r="K2" s="68" t="s">
        <v>18</v>
      </c>
      <c r="L2" s="69" t="s">
        <v>19</v>
      </c>
      <c r="M2" s="69" t="s">
        <v>20</v>
      </c>
      <c r="N2" s="29" t="s">
        <v>18</v>
      </c>
      <c r="O2" s="30" t="s">
        <v>19</v>
      </c>
      <c r="P2" s="31" t="s">
        <v>20</v>
      </c>
      <c r="Q2" s="29" t="s">
        <v>18</v>
      </c>
      <c r="R2" s="30" t="s">
        <v>19</v>
      </c>
      <c r="S2" s="31" t="s">
        <v>20</v>
      </c>
      <c r="T2" s="29" t="s">
        <v>18</v>
      </c>
      <c r="U2" s="30" t="s">
        <v>19</v>
      </c>
      <c r="V2" s="31" t="s">
        <v>20</v>
      </c>
      <c r="W2" s="66" t="s">
        <v>19</v>
      </c>
      <c r="X2" s="66" t="s">
        <v>19</v>
      </c>
      <c r="Y2" s="66" t="s">
        <v>18</v>
      </c>
      <c r="Z2" s="66" t="s">
        <v>19</v>
      </c>
      <c r="AA2" s="68" t="s">
        <v>18</v>
      </c>
      <c r="AB2" s="69" t="s">
        <v>19</v>
      </c>
      <c r="AC2" s="69" t="s">
        <v>20</v>
      </c>
      <c r="AD2" s="66" t="s">
        <v>19</v>
      </c>
      <c r="AE2" s="109" t="s">
        <v>21</v>
      </c>
      <c r="AF2" s="110" t="s">
        <v>19</v>
      </c>
      <c r="AG2" s="111" t="s">
        <v>22</v>
      </c>
    </row>
    <row r="3" spans="1:33" x14ac:dyDescent="0.3">
      <c r="A3" s="41">
        <v>2015</v>
      </c>
      <c r="B3" s="131"/>
      <c r="C3" s="122"/>
      <c r="D3" s="125"/>
      <c r="E3" s="126"/>
      <c r="F3" s="122"/>
      <c r="G3" s="125"/>
      <c r="H3" s="126"/>
      <c r="I3" s="122"/>
      <c r="J3" s="122"/>
      <c r="K3" s="122"/>
      <c r="L3" s="125"/>
      <c r="M3" s="126"/>
      <c r="N3" s="122"/>
      <c r="O3" s="125"/>
      <c r="P3" s="125"/>
      <c r="Q3" s="122"/>
      <c r="R3" s="125"/>
      <c r="S3" s="125"/>
      <c r="T3" s="122"/>
      <c r="U3" s="125"/>
      <c r="V3" s="125"/>
      <c r="W3" s="131"/>
      <c r="X3" s="131"/>
      <c r="Y3" s="122"/>
      <c r="Z3" s="131"/>
      <c r="AA3" s="122"/>
      <c r="AB3" s="125"/>
      <c r="AC3" s="126"/>
      <c r="AD3" s="132"/>
      <c r="AE3" s="203">
        <v>837.45901000000003</v>
      </c>
      <c r="AF3" s="204">
        <v>1164.5901000000001</v>
      </c>
      <c r="AG3" s="205">
        <v>1596.4073000000001</v>
      </c>
    </row>
    <row r="4" spans="1:33" x14ac:dyDescent="0.3">
      <c r="A4" s="41">
        <v>2016</v>
      </c>
      <c r="B4" s="132"/>
      <c r="C4" s="123"/>
      <c r="D4" s="127"/>
      <c r="E4" s="128"/>
      <c r="F4" s="123"/>
      <c r="G4" s="127"/>
      <c r="H4" s="128"/>
      <c r="I4" s="123"/>
      <c r="J4" s="123"/>
      <c r="K4" s="123"/>
      <c r="L4" s="127"/>
      <c r="M4" s="128"/>
      <c r="N4" s="123"/>
      <c r="O4" s="127"/>
      <c r="P4" s="127"/>
      <c r="Q4" s="123"/>
      <c r="R4" s="127"/>
      <c r="S4" s="127"/>
      <c r="T4" s="123"/>
      <c r="U4" s="127"/>
      <c r="V4" s="127"/>
      <c r="W4" s="132"/>
      <c r="X4" s="132"/>
      <c r="Y4" s="123"/>
      <c r="Z4" s="132"/>
      <c r="AA4" s="123"/>
      <c r="AB4" s="127"/>
      <c r="AC4" s="128"/>
      <c r="AD4" s="132"/>
      <c r="AE4" s="191">
        <v>850.54413</v>
      </c>
      <c r="AF4" s="192">
        <v>1138.4177999999999</v>
      </c>
      <c r="AG4" s="193">
        <v>1478.6370999999999</v>
      </c>
    </row>
    <row r="5" spans="1:33" x14ac:dyDescent="0.3">
      <c r="A5" s="41">
        <v>2017</v>
      </c>
      <c r="B5" s="132"/>
      <c r="C5" s="123"/>
      <c r="D5" s="127"/>
      <c r="E5" s="128"/>
      <c r="F5" s="123"/>
      <c r="G5" s="127"/>
      <c r="H5" s="128"/>
      <c r="I5" s="123"/>
      <c r="J5" s="123"/>
      <c r="K5" s="123"/>
      <c r="L5" s="127"/>
      <c r="M5" s="128"/>
      <c r="N5" s="123"/>
      <c r="O5" s="127"/>
      <c r="P5" s="127"/>
      <c r="Q5" s="123"/>
      <c r="R5" s="127"/>
      <c r="S5" s="127"/>
      <c r="T5" s="123"/>
      <c r="U5" s="127"/>
      <c r="V5" s="127"/>
      <c r="W5" s="132"/>
      <c r="X5" s="132"/>
      <c r="Y5" s="123"/>
      <c r="Z5" s="132"/>
      <c r="AA5" s="123"/>
      <c r="AB5" s="127"/>
      <c r="AC5" s="128"/>
      <c r="AD5" s="132"/>
      <c r="AE5" s="191">
        <v>1417.6096</v>
      </c>
      <c r="AF5" s="192">
        <v>978.5</v>
      </c>
      <c r="AG5" s="193">
        <v>1498.9177999999999</v>
      </c>
    </row>
    <row r="6" spans="1:33" x14ac:dyDescent="0.3">
      <c r="A6" s="41">
        <v>2018</v>
      </c>
      <c r="B6" s="132"/>
      <c r="C6" s="123"/>
      <c r="D6" s="127"/>
      <c r="E6" s="128"/>
      <c r="F6" s="123"/>
      <c r="G6" s="127"/>
      <c r="H6" s="128"/>
      <c r="I6" s="123"/>
      <c r="J6" s="123"/>
      <c r="K6" s="123"/>
      <c r="L6" s="127"/>
      <c r="M6" s="128"/>
      <c r="N6" s="123"/>
      <c r="O6" s="127"/>
      <c r="P6" s="127"/>
      <c r="Q6" s="123"/>
      <c r="R6" s="127"/>
      <c r="S6" s="127"/>
      <c r="T6" s="123"/>
      <c r="U6" s="127"/>
      <c r="V6" s="127"/>
      <c r="W6" s="132"/>
      <c r="X6" s="132"/>
      <c r="Y6" s="123"/>
      <c r="Z6" s="132"/>
      <c r="AA6" s="123"/>
      <c r="AB6" s="127"/>
      <c r="AC6" s="128"/>
      <c r="AD6" s="132"/>
      <c r="AE6" s="191"/>
      <c r="AF6" s="192"/>
      <c r="AG6" s="193"/>
    </row>
    <row r="7" spans="1:33" x14ac:dyDescent="0.3">
      <c r="A7" s="41">
        <v>2019</v>
      </c>
      <c r="B7" s="132"/>
      <c r="C7" s="123"/>
      <c r="D7" s="127"/>
      <c r="E7" s="128"/>
      <c r="F7" s="123"/>
      <c r="G7" s="127"/>
      <c r="H7" s="128"/>
      <c r="I7" s="123"/>
      <c r="J7" s="123"/>
      <c r="K7" s="123"/>
      <c r="L7" s="127"/>
      <c r="M7" s="128"/>
      <c r="N7" s="123"/>
      <c r="O7" s="127"/>
      <c r="P7" s="127"/>
      <c r="Q7" s="123"/>
      <c r="R7" s="127"/>
      <c r="S7" s="127"/>
      <c r="T7" s="123"/>
      <c r="U7" s="127"/>
      <c r="V7" s="127"/>
      <c r="W7" s="132"/>
      <c r="X7" s="132"/>
      <c r="Y7" s="123"/>
      <c r="Z7" s="132"/>
      <c r="AA7" s="123"/>
      <c r="AB7" s="127"/>
      <c r="AC7" s="128"/>
      <c r="AD7" s="132"/>
      <c r="AE7" s="191">
        <v>824</v>
      </c>
      <c r="AF7" s="192">
        <v>1184.5</v>
      </c>
      <c r="AG7" s="193">
        <v>1545</v>
      </c>
    </row>
    <row r="8" spans="1:33" x14ac:dyDescent="0.3">
      <c r="A8" s="41">
        <v>2020</v>
      </c>
      <c r="B8" s="132"/>
      <c r="C8" s="123">
        <v>1138.9328</v>
      </c>
      <c r="D8" s="127">
        <v>1145.4012</v>
      </c>
      <c r="E8" s="128">
        <v>1151.8696</v>
      </c>
      <c r="F8" s="123">
        <v>850.18072727272738</v>
      </c>
      <c r="G8" s="127">
        <v>1001.5825340909091</v>
      </c>
      <c r="H8" s="128">
        <v>1380.0829545454544</v>
      </c>
      <c r="I8" s="123">
        <v>1661.2903225806451</v>
      </c>
      <c r="J8" s="123">
        <v>824</v>
      </c>
      <c r="K8" s="123">
        <v>667.36374038461531</v>
      </c>
      <c r="L8" s="127">
        <v>742.78846153846143</v>
      </c>
      <c r="M8" s="128">
        <v>811.33793269230762</v>
      </c>
      <c r="N8" s="123">
        <v>1647</v>
      </c>
      <c r="O8" s="127">
        <v>2052</v>
      </c>
      <c r="P8" s="127">
        <v>2457</v>
      </c>
      <c r="Q8" s="123">
        <v>1026</v>
      </c>
      <c r="R8" s="127">
        <v>1296</v>
      </c>
      <c r="S8" s="127">
        <v>1566</v>
      </c>
      <c r="T8" s="123">
        <v>945.00000000000011</v>
      </c>
      <c r="U8" s="127">
        <v>1188</v>
      </c>
      <c r="V8" s="127">
        <v>1431</v>
      </c>
      <c r="W8" s="132">
        <v>693.26923076923083</v>
      </c>
      <c r="X8" s="132">
        <v>837.47240000000011</v>
      </c>
      <c r="Y8" s="123">
        <v>1103.1300000000001</v>
      </c>
      <c r="Z8" s="132">
        <v>206</v>
      </c>
      <c r="AA8" s="123">
        <v>926.28518000000008</v>
      </c>
      <c r="AB8" s="127">
        <v>1051.4549000000002</v>
      </c>
      <c r="AC8" s="128">
        <v>1166.6192000000001</v>
      </c>
      <c r="AD8" s="132">
        <v>793.1</v>
      </c>
      <c r="AE8" s="191">
        <v>772.5</v>
      </c>
      <c r="AF8" s="192">
        <v>983.65</v>
      </c>
      <c r="AG8" s="193">
        <v>1194.8</v>
      </c>
    </row>
    <row r="9" spans="1:33" x14ac:dyDescent="0.3">
      <c r="A9" s="41">
        <v>2021</v>
      </c>
      <c r="B9" s="132">
        <v>396.15384615384613</v>
      </c>
      <c r="C9" s="123"/>
      <c r="D9" s="127"/>
      <c r="E9" s="128"/>
      <c r="F9" s="123"/>
      <c r="G9" s="127"/>
      <c r="H9" s="128"/>
      <c r="I9" s="123">
        <v>1228.6504516129032</v>
      </c>
      <c r="J9" s="123"/>
      <c r="K9" s="46"/>
      <c r="L9" s="4"/>
      <c r="M9" s="5"/>
      <c r="N9" s="123"/>
      <c r="O9" s="127"/>
      <c r="P9" s="127"/>
      <c r="Q9" s="123"/>
      <c r="R9" s="127"/>
      <c r="S9" s="127"/>
      <c r="T9" s="123"/>
      <c r="U9" s="127"/>
      <c r="V9" s="127"/>
      <c r="W9" s="132"/>
      <c r="X9" s="132"/>
      <c r="Y9" s="123"/>
      <c r="Z9" s="132"/>
      <c r="AA9" s="123"/>
      <c r="AB9" s="127"/>
      <c r="AC9" s="128"/>
      <c r="AD9" s="132"/>
      <c r="AE9" s="191">
        <v>613.88</v>
      </c>
      <c r="AF9" s="192">
        <v>965.625</v>
      </c>
      <c r="AG9" s="193">
        <v>1317.3700000000001</v>
      </c>
    </row>
    <row r="10" spans="1:33" x14ac:dyDescent="0.3">
      <c r="A10" s="41">
        <v>2022</v>
      </c>
      <c r="B10" s="132"/>
      <c r="C10" s="123"/>
      <c r="D10" s="127"/>
      <c r="E10" s="128"/>
      <c r="F10" s="123"/>
      <c r="G10" s="127"/>
      <c r="H10" s="128"/>
      <c r="I10" s="123">
        <v>1084.1049032258065</v>
      </c>
      <c r="J10" s="123"/>
      <c r="K10" s="46"/>
      <c r="L10" s="4"/>
      <c r="M10" s="5"/>
      <c r="N10" s="123"/>
      <c r="O10" s="127"/>
      <c r="P10" s="127"/>
      <c r="Q10" s="123"/>
      <c r="R10" s="127"/>
      <c r="S10" s="127"/>
      <c r="T10" s="123"/>
      <c r="U10" s="127"/>
      <c r="V10" s="127"/>
      <c r="W10" s="132"/>
      <c r="X10" s="132"/>
      <c r="Y10" s="123"/>
      <c r="Z10" s="132"/>
      <c r="AA10" s="123"/>
      <c r="AB10" s="127"/>
      <c r="AC10" s="128"/>
      <c r="AD10" s="132"/>
      <c r="AE10" s="191">
        <v>515</v>
      </c>
      <c r="AF10" s="192">
        <v>978.5</v>
      </c>
      <c r="AG10" s="193">
        <v>1442</v>
      </c>
    </row>
    <row r="11" spans="1:33" x14ac:dyDescent="0.3">
      <c r="A11" s="41">
        <v>2023</v>
      </c>
      <c r="B11" s="132"/>
      <c r="C11" s="123"/>
      <c r="D11" s="127"/>
      <c r="E11" s="128"/>
      <c r="F11" s="123"/>
      <c r="G11" s="127"/>
      <c r="H11" s="128"/>
      <c r="I11" s="123">
        <v>991.75709677419354</v>
      </c>
      <c r="J11" s="123"/>
      <c r="K11" s="46"/>
      <c r="L11" s="4"/>
      <c r="M11" s="5"/>
      <c r="N11" s="123"/>
      <c r="O11" s="127"/>
      <c r="P11" s="127"/>
      <c r="Q11" s="123"/>
      <c r="R11" s="127"/>
      <c r="S11" s="127"/>
      <c r="T11" s="123"/>
      <c r="U11" s="127"/>
      <c r="V11" s="127"/>
      <c r="W11" s="132"/>
      <c r="X11" s="132"/>
      <c r="Y11" s="123"/>
      <c r="Z11" s="132"/>
      <c r="AA11" s="123"/>
      <c r="AB11" s="127"/>
      <c r="AC11" s="128"/>
      <c r="AD11" s="132"/>
      <c r="AE11" s="191"/>
      <c r="AF11" s="192"/>
      <c r="AG11" s="193"/>
    </row>
    <row r="12" spans="1:33" x14ac:dyDescent="0.3">
      <c r="A12" s="41">
        <v>2024</v>
      </c>
      <c r="B12" s="132"/>
      <c r="C12" s="123"/>
      <c r="D12" s="127"/>
      <c r="E12" s="128"/>
      <c r="F12" s="123"/>
      <c r="G12" s="127"/>
      <c r="H12" s="128"/>
      <c r="I12" s="123">
        <v>935.53903225806448</v>
      </c>
      <c r="J12" s="123"/>
      <c r="K12" s="46"/>
      <c r="L12" s="4"/>
      <c r="M12" s="5"/>
      <c r="N12" s="123"/>
      <c r="O12" s="127"/>
      <c r="P12" s="127"/>
      <c r="Q12" s="123"/>
      <c r="R12" s="127"/>
      <c r="S12" s="127"/>
      <c r="T12" s="123"/>
      <c r="U12" s="127"/>
      <c r="V12" s="127"/>
      <c r="W12" s="132"/>
      <c r="X12" s="132"/>
      <c r="Y12" s="123"/>
      <c r="Z12" s="132"/>
      <c r="AA12" s="123"/>
      <c r="AB12" s="127"/>
      <c r="AC12" s="128"/>
      <c r="AD12" s="132"/>
      <c r="AE12" s="191"/>
      <c r="AF12" s="192"/>
      <c r="AG12" s="193"/>
    </row>
    <row r="13" spans="1:33" x14ac:dyDescent="0.3">
      <c r="A13" s="41">
        <v>2025</v>
      </c>
      <c r="B13" s="132"/>
      <c r="C13" s="123">
        <v>718.30345999999997</v>
      </c>
      <c r="D13" s="127">
        <v>905.9684299999999</v>
      </c>
      <c r="E13" s="128">
        <v>1093.6333999999999</v>
      </c>
      <c r="F13" s="123">
        <v>675.48570454545461</v>
      </c>
      <c r="G13" s="127">
        <v>867.65093181818179</v>
      </c>
      <c r="H13" s="128">
        <v>1211.2214772727273</v>
      </c>
      <c r="I13" s="123">
        <v>911.45032258064509</v>
      </c>
      <c r="J13" s="123">
        <v>352.26</v>
      </c>
      <c r="K13" s="123">
        <v>397.19969230769232</v>
      </c>
      <c r="L13" s="127">
        <v>575.89775961538464</v>
      </c>
      <c r="M13" s="128">
        <v>775.76826923076919</v>
      </c>
      <c r="N13" s="123"/>
      <c r="O13" s="127">
        <v>1512</v>
      </c>
      <c r="P13" s="127"/>
      <c r="Q13" s="123"/>
      <c r="R13" s="127">
        <v>945.00000000000011</v>
      </c>
      <c r="S13" s="127"/>
      <c r="T13" s="123"/>
      <c r="U13" s="127">
        <v>864</v>
      </c>
      <c r="V13" s="127"/>
      <c r="W13" s="132"/>
      <c r="X13" s="132"/>
      <c r="Y13" s="123"/>
      <c r="Z13" s="132"/>
      <c r="AA13" s="123">
        <v>841.16701</v>
      </c>
      <c r="AB13" s="127">
        <v>936.29884000000004</v>
      </c>
      <c r="AC13" s="128">
        <v>1031.4317000000001</v>
      </c>
      <c r="AD13" s="132"/>
      <c r="AE13" s="191"/>
      <c r="AF13" s="192"/>
      <c r="AG13" s="193"/>
    </row>
    <row r="14" spans="1:33" x14ac:dyDescent="0.3">
      <c r="A14" s="41">
        <v>2026</v>
      </c>
      <c r="B14" s="132"/>
      <c r="C14" s="123"/>
      <c r="D14" s="127"/>
      <c r="E14" s="128"/>
      <c r="F14" s="123"/>
      <c r="G14" s="127"/>
      <c r="H14" s="128"/>
      <c r="I14" s="123">
        <v>895.38896774193552</v>
      </c>
      <c r="J14" s="123"/>
      <c r="K14" s="46"/>
      <c r="L14" s="4"/>
      <c r="M14" s="5"/>
      <c r="N14" s="123"/>
      <c r="O14" s="127"/>
      <c r="P14" s="127"/>
      <c r="Q14" s="123"/>
      <c r="R14" s="127"/>
      <c r="S14" s="127"/>
      <c r="T14" s="123"/>
      <c r="U14" s="127"/>
      <c r="V14" s="127"/>
      <c r="W14" s="132"/>
      <c r="X14" s="132"/>
      <c r="Y14" s="123"/>
      <c r="Z14" s="132"/>
      <c r="AA14" s="123"/>
      <c r="AB14" s="127"/>
      <c r="AC14" s="128"/>
      <c r="AD14" s="132"/>
      <c r="AE14" s="191"/>
      <c r="AF14" s="192"/>
      <c r="AG14" s="193"/>
    </row>
    <row r="15" spans="1:33" x14ac:dyDescent="0.3">
      <c r="A15" s="41">
        <v>2027</v>
      </c>
      <c r="B15" s="132"/>
      <c r="C15" s="123"/>
      <c r="D15" s="127"/>
      <c r="E15" s="128"/>
      <c r="F15" s="123"/>
      <c r="G15" s="127"/>
      <c r="H15" s="128"/>
      <c r="I15" s="123">
        <v>875.31393548387098</v>
      </c>
      <c r="J15" s="123"/>
      <c r="K15" s="46"/>
      <c r="L15" s="4"/>
      <c r="M15" s="5"/>
      <c r="N15" s="123"/>
      <c r="O15" s="127"/>
      <c r="P15" s="127"/>
      <c r="Q15" s="123"/>
      <c r="R15" s="127"/>
      <c r="S15" s="127"/>
      <c r="T15" s="123"/>
      <c r="U15" s="127"/>
      <c r="V15" s="127"/>
      <c r="W15" s="132"/>
      <c r="X15" s="132"/>
      <c r="Y15" s="123"/>
      <c r="Z15" s="132"/>
      <c r="AA15" s="123"/>
      <c r="AB15" s="127"/>
      <c r="AC15" s="128"/>
      <c r="AD15" s="132"/>
      <c r="AE15" s="191"/>
      <c r="AF15" s="192"/>
      <c r="AG15" s="193"/>
    </row>
    <row r="16" spans="1:33" x14ac:dyDescent="0.3">
      <c r="A16" s="41">
        <v>2028</v>
      </c>
      <c r="B16" s="132"/>
      <c r="C16" s="123"/>
      <c r="D16" s="127"/>
      <c r="E16" s="128"/>
      <c r="F16" s="123"/>
      <c r="G16" s="127"/>
      <c r="H16" s="128"/>
      <c r="I16" s="123">
        <v>847.20490322580645</v>
      </c>
      <c r="J16" s="123"/>
      <c r="K16" s="46"/>
      <c r="L16" s="4"/>
      <c r="M16" s="5"/>
      <c r="N16" s="123"/>
      <c r="O16" s="127"/>
      <c r="P16" s="127"/>
      <c r="Q16" s="123"/>
      <c r="R16" s="127"/>
      <c r="S16" s="127"/>
      <c r="T16" s="123"/>
      <c r="U16" s="127"/>
      <c r="V16" s="127"/>
      <c r="W16" s="132"/>
      <c r="X16" s="132"/>
      <c r="Y16" s="123"/>
      <c r="Z16" s="132"/>
      <c r="AA16" s="123"/>
      <c r="AB16" s="127"/>
      <c r="AC16" s="128"/>
      <c r="AD16" s="132"/>
      <c r="AE16" s="191"/>
      <c r="AF16" s="192"/>
      <c r="AG16" s="193"/>
    </row>
    <row r="17" spans="1:33" x14ac:dyDescent="0.3">
      <c r="A17" s="41">
        <v>2029</v>
      </c>
      <c r="B17" s="132"/>
      <c r="C17" s="123"/>
      <c r="D17" s="127"/>
      <c r="E17" s="128"/>
      <c r="F17" s="123"/>
      <c r="G17" s="127"/>
      <c r="H17" s="128"/>
      <c r="I17" s="123">
        <v>827.12987096774191</v>
      </c>
      <c r="J17" s="123"/>
      <c r="K17" s="46"/>
      <c r="L17" s="4"/>
      <c r="M17" s="5"/>
      <c r="N17" s="123"/>
      <c r="O17" s="127"/>
      <c r="P17" s="127"/>
      <c r="Q17" s="123"/>
      <c r="R17" s="127"/>
      <c r="S17" s="127"/>
      <c r="T17" s="123"/>
      <c r="U17" s="127"/>
      <c r="V17" s="127"/>
      <c r="W17" s="132"/>
      <c r="X17" s="132"/>
      <c r="Y17" s="123"/>
      <c r="Z17" s="132"/>
      <c r="AA17" s="123"/>
      <c r="AB17" s="127"/>
      <c r="AC17" s="128"/>
      <c r="AD17" s="132"/>
      <c r="AE17" s="191"/>
      <c r="AF17" s="192"/>
      <c r="AG17" s="193"/>
    </row>
    <row r="18" spans="1:33" x14ac:dyDescent="0.3">
      <c r="A18" s="41">
        <v>2030</v>
      </c>
      <c r="B18" s="132">
        <v>237.69230769230771</v>
      </c>
      <c r="C18" s="123">
        <v>533.87475000000006</v>
      </c>
      <c r="D18" s="127">
        <v>757.13085500000011</v>
      </c>
      <c r="E18" s="128">
        <v>980.38696000000004</v>
      </c>
      <c r="F18" s="123">
        <v>576.49217045454543</v>
      </c>
      <c r="G18" s="127">
        <v>786.12643181818191</v>
      </c>
      <c r="H18" s="128">
        <v>1141.3383181818181</v>
      </c>
      <c r="I18" s="123">
        <v>803.04116129032252</v>
      </c>
      <c r="J18" s="123">
        <v>196.73000000000002</v>
      </c>
      <c r="K18" s="123">
        <v>245.6035</v>
      </c>
      <c r="L18" s="127">
        <v>444.62723076923078</v>
      </c>
      <c r="M18" s="128">
        <v>744.4325</v>
      </c>
      <c r="N18" s="123"/>
      <c r="O18" s="127">
        <v>945.00000000000011</v>
      </c>
      <c r="P18" s="127"/>
      <c r="Q18" s="123"/>
      <c r="R18" s="127">
        <v>594</v>
      </c>
      <c r="S18" s="127"/>
      <c r="T18" s="123"/>
      <c r="U18" s="127">
        <v>540</v>
      </c>
      <c r="V18" s="127"/>
      <c r="W18" s="132">
        <v>594.23076923076928</v>
      </c>
      <c r="X18" s="132">
        <v>372.21109999999999</v>
      </c>
      <c r="Y18" s="123">
        <v>306.94</v>
      </c>
      <c r="Z18" s="132">
        <v>128.75</v>
      </c>
      <c r="AA18" s="123">
        <v>736.02049</v>
      </c>
      <c r="AB18" s="127">
        <v>836.16018000000008</v>
      </c>
      <c r="AC18" s="128">
        <v>941.30567000000008</v>
      </c>
      <c r="AD18" s="132">
        <v>556.20000000000005</v>
      </c>
      <c r="AE18" s="191"/>
      <c r="AF18" s="192"/>
      <c r="AG18" s="193"/>
    </row>
    <row r="19" spans="1:33" x14ac:dyDescent="0.3">
      <c r="A19" s="41">
        <v>2031</v>
      </c>
      <c r="B19" s="132"/>
      <c r="C19" s="123"/>
      <c r="D19" s="127"/>
      <c r="E19" s="128"/>
      <c r="F19" s="123"/>
      <c r="G19" s="127"/>
      <c r="H19" s="128"/>
      <c r="I19" s="123">
        <v>770.91845161290314</v>
      </c>
      <c r="J19" s="123"/>
      <c r="K19" s="46"/>
      <c r="L19" s="4"/>
      <c r="M19" s="5"/>
      <c r="N19" s="123"/>
      <c r="O19" s="127"/>
      <c r="P19" s="127"/>
      <c r="Q19" s="123"/>
      <c r="R19" s="127"/>
      <c r="S19" s="127"/>
      <c r="T19" s="123"/>
      <c r="U19" s="127"/>
      <c r="V19" s="127"/>
      <c r="W19" s="132"/>
      <c r="X19" s="132"/>
      <c r="Y19" s="123"/>
      <c r="Z19" s="132"/>
      <c r="AA19" s="123"/>
      <c r="AB19" s="127"/>
      <c r="AC19" s="128"/>
      <c r="AD19" s="132"/>
      <c r="AE19" s="191"/>
      <c r="AF19" s="192"/>
      <c r="AG19" s="193"/>
    </row>
    <row r="20" spans="1:33" x14ac:dyDescent="0.3">
      <c r="A20" s="41">
        <v>2032</v>
      </c>
      <c r="B20" s="132"/>
      <c r="C20" s="123"/>
      <c r="D20" s="127"/>
      <c r="E20" s="128"/>
      <c r="F20" s="123"/>
      <c r="G20" s="127"/>
      <c r="H20" s="128"/>
      <c r="I20" s="123">
        <v>750.84341935483872</v>
      </c>
      <c r="J20" s="123"/>
      <c r="K20" s="46"/>
      <c r="L20" s="4"/>
      <c r="M20" s="5"/>
      <c r="N20" s="123"/>
      <c r="O20" s="127"/>
      <c r="P20" s="127"/>
      <c r="Q20" s="123"/>
      <c r="R20" s="127"/>
      <c r="S20" s="127"/>
      <c r="T20" s="123"/>
      <c r="U20" s="127"/>
      <c r="V20" s="127"/>
      <c r="W20" s="132"/>
      <c r="X20" s="132"/>
      <c r="Y20" s="123"/>
      <c r="Z20" s="132"/>
      <c r="AA20" s="123"/>
      <c r="AB20" s="127"/>
      <c r="AC20" s="128"/>
      <c r="AD20" s="132"/>
      <c r="AE20" s="191"/>
      <c r="AF20" s="192"/>
      <c r="AG20" s="193"/>
    </row>
    <row r="21" spans="1:33" x14ac:dyDescent="0.3">
      <c r="A21" s="41">
        <v>2033</v>
      </c>
      <c r="B21" s="132"/>
      <c r="C21" s="123"/>
      <c r="D21" s="127"/>
      <c r="E21" s="128"/>
      <c r="F21" s="123"/>
      <c r="G21" s="127"/>
      <c r="H21" s="128"/>
      <c r="I21" s="123">
        <v>710.69335483870975</v>
      </c>
      <c r="J21" s="123"/>
      <c r="K21" s="46"/>
      <c r="L21" s="4"/>
      <c r="M21" s="5"/>
      <c r="N21" s="123"/>
      <c r="O21" s="127"/>
      <c r="P21" s="127"/>
      <c r="Q21" s="123"/>
      <c r="R21" s="127"/>
      <c r="S21" s="127"/>
      <c r="T21" s="123"/>
      <c r="U21" s="127"/>
      <c r="V21" s="127"/>
      <c r="W21" s="132"/>
      <c r="X21" s="132"/>
      <c r="Y21" s="123"/>
      <c r="Z21" s="132"/>
      <c r="AA21" s="123"/>
      <c r="AB21" s="127"/>
      <c r="AC21" s="128"/>
      <c r="AD21" s="132"/>
      <c r="AE21" s="191"/>
      <c r="AF21" s="192"/>
      <c r="AG21" s="193"/>
    </row>
    <row r="22" spans="1:33" x14ac:dyDescent="0.3">
      <c r="A22" s="41">
        <v>2034</v>
      </c>
      <c r="B22" s="132"/>
      <c r="C22" s="123"/>
      <c r="D22" s="127"/>
      <c r="E22" s="128"/>
      <c r="F22" s="123"/>
      <c r="G22" s="127"/>
      <c r="H22" s="128"/>
      <c r="I22" s="123">
        <v>686.59800000000007</v>
      </c>
      <c r="J22" s="123"/>
      <c r="K22" s="46"/>
      <c r="L22" s="4"/>
      <c r="M22" s="5"/>
      <c r="N22" s="123"/>
      <c r="O22" s="127"/>
      <c r="P22" s="127"/>
      <c r="Q22" s="123"/>
      <c r="R22" s="127"/>
      <c r="S22" s="127"/>
      <c r="T22" s="123"/>
      <c r="U22" s="127"/>
      <c r="V22" s="127"/>
      <c r="W22" s="132"/>
      <c r="X22" s="132"/>
      <c r="Y22" s="123"/>
      <c r="Z22" s="132"/>
      <c r="AA22" s="123"/>
      <c r="AB22" s="127"/>
      <c r="AC22" s="128"/>
      <c r="AD22" s="132"/>
      <c r="AE22" s="191"/>
      <c r="AF22" s="192"/>
      <c r="AG22" s="193"/>
    </row>
    <row r="23" spans="1:33" x14ac:dyDescent="0.3">
      <c r="A23" s="41">
        <v>2035</v>
      </c>
      <c r="B23" s="132"/>
      <c r="C23" s="123">
        <v>339.73829000000001</v>
      </c>
      <c r="D23" s="127">
        <v>618</v>
      </c>
      <c r="E23" s="128">
        <v>896.26171000000011</v>
      </c>
      <c r="F23" s="123">
        <v>547.37711363636356</v>
      </c>
      <c r="G23" s="127">
        <v>757.01020454545449</v>
      </c>
      <c r="H23" s="128">
        <v>1100.5772386363637</v>
      </c>
      <c r="I23" s="123">
        <v>654.47794838709672</v>
      </c>
      <c r="J23" s="123"/>
      <c r="K23" s="123">
        <v>177.85029807692308</v>
      </c>
      <c r="L23" s="127">
        <v>379.41535576923076</v>
      </c>
      <c r="M23" s="128">
        <v>720.71873076923077</v>
      </c>
      <c r="N23" s="123"/>
      <c r="O23" s="127"/>
      <c r="P23" s="127"/>
      <c r="Q23" s="123"/>
      <c r="R23" s="127"/>
      <c r="S23" s="127"/>
      <c r="T23" s="123"/>
      <c r="U23" s="127"/>
      <c r="V23" s="127"/>
      <c r="W23" s="132"/>
      <c r="X23" s="132"/>
      <c r="Y23" s="123"/>
      <c r="Z23" s="132"/>
      <c r="AA23" s="123">
        <v>620.86134000000004</v>
      </c>
      <c r="AB23" s="127">
        <v>751.04201</v>
      </c>
      <c r="AC23" s="128">
        <v>881.22268000000008</v>
      </c>
      <c r="AD23" s="132"/>
      <c r="AE23" s="191"/>
      <c r="AF23" s="192"/>
      <c r="AG23" s="193"/>
    </row>
    <row r="24" spans="1:33" x14ac:dyDescent="0.3">
      <c r="A24" s="41">
        <v>2036</v>
      </c>
      <c r="B24" s="132"/>
      <c r="C24" s="123"/>
      <c r="D24" s="127"/>
      <c r="E24" s="128"/>
      <c r="F24" s="123"/>
      <c r="G24" s="127"/>
      <c r="H24" s="128"/>
      <c r="I24" s="123">
        <v>622.35656774193546</v>
      </c>
      <c r="J24" s="123"/>
      <c r="K24" s="46"/>
      <c r="L24" s="4"/>
      <c r="M24" s="5"/>
      <c r="N24" s="123"/>
      <c r="O24" s="127"/>
      <c r="P24" s="127"/>
      <c r="Q24" s="123"/>
      <c r="R24" s="127"/>
      <c r="S24" s="127"/>
      <c r="T24" s="123"/>
      <c r="U24" s="127"/>
      <c r="V24" s="127"/>
      <c r="W24" s="132"/>
      <c r="X24" s="132"/>
      <c r="Y24" s="123"/>
      <c r="Z24" s="132"/>
      <c r="AA24" s="123"/>
      <c r="AB24" s="127"/>
      <c r="AC24" s="128"/>
      <c r="AD24" s="132"/>
      <c r="AE24" s="191"/>
      <c r="AF24" s="192"/>
      <c r="AG24" s="193"/>
    </row>
    <row r="25" spans="1:33" x14ac:dyDescent="0.3">
      <c r="A25" s="41">
        <v>2037</v>
      </c>
      <c r="B25" s="132"/>
      <c r="C25" s="123"/>
      <c r="D25" s="127"/>
      <c r="E25" s="128"/>
      <c r="F25" s="123"/>
      <c r="G25" s="127"/>
      <c r="H25" s="128"/>
      <c r="I25" s="123">
        <v>586.21951612903229</v>
      </c>
      <c r="J25" s="123"/>
      <c r="K25" s="46"/>
      <c r="L25" s="4"/>
      <c r="M25" s="5"/>
      <c r="N25" s="123"/>
      <c r="O25" s="127"/>
      <c r="P25" s="127"/>
      <c r="Q25" s="123"/>
      <c r="R25" s="127"/>
      <c r="S25" s="127"/>
      <c r="T25" s="123"/>
      <c r="U25" s="127"/>
      <c r="V25" s="127"/>
      <c r="W25" s="132"/>
      <c r="X25" s="132"/>
      <c r="Y25" s="123"/>
      <c r="Z25" s="132"/>
      <c r="AA25" s="123"/>
      <c r="AB25" s="127"/>
      <c r="AC25" s="128"/>
      <c r="AD25" s="132"/>
      <c r="AE25" s="191"/>
      <c r="AF25" s="192"/>
      <c r="AG25" s="193"/>
    </row>
    <row r="26" spans="1:33" x14ac:dyDescent="0.3">
      <c r="A26" s="41">
        <v>2038</v>
      </c>
      <c r="B26" s="132"/>
      <c r="C26" s="123"/>
      <c r="D26" s="127"/>
      <c r="E26" s="128"/>
      <c r="F26" s="123"/>
      <c r="G26" s="127"/>
      <c r="H26" s="128"/>
      <c r="I26" s="123">
        <v>558.1131419354839</v>
      </c>
      <c r="J26" s="123"/>
      <c r="K26" s="46"/>
      <c r="L26" s="4"/>
      <c r="M26" s="5"/>
      <c r="N26" s="123"/>
      <c r="O26" s="127"/>
      <c r="P26" s="127"/>
      <c r="Q26" s="123"/>
      <c r="R26" s="127"/>
      <c r="S26" s="127"/>
      <c r="T26" s="123"/>
      <c r="U26" s="127"/>
      <c r="V26" s="127"/>
      <c r="W26" s="132"/>
      <c r="X26" s="132"/>
      <c r="Y26" s="123"/>
      <c r="Z26" s="132"/>
      <c r="AA26" s="123"/>
      <c r="AB26" s="127"/>
      <c r="AC26" s="128"/>
      <c r="AD26" s="132"/>
      <c r="AE26" s="191"/>
      <c r="AF26" s="192"/>
      <c r="AG26" s="193"/>
    </row>
    <row r="27" spans="1:33" x14ac:dyDescent="0.3">
      <c r="A27" s="41">
        <v>2039</v>
      </c>
      <c r="B27" s="132"/>
      <c r="C27" s="123"/>
      <c r="D27" s="127"/>
      <c r="E27" s="128"/>
      <c r="F27" s="123"/>
      <c r="G27" s="127"/>
      <c r="H27" s="128"/>
      <c r="I27" s="123">
        <v>538.03744516129029</v>
      </c>
      <c r="J27" s="123"/>
      <c r="K27" s="46"/>
      <c r="L27" s="4"/>
      <c r="M27" s="5"/>
      <c r="N27" s="123"/>
      <c r="O27" s="127"/>
      <c r="P27" s="127"/>
      <c r="Q27" s="123"/>
      <c r="R27" s="127"/>
      <c r="S27" s="127"/>
      <c r="T27" s="123"/>
      <c r="U27" s="127"/>
      <c r="V27" s="127"/>
      <c r="W27" s="132"/>
      <c r="X27" s="132"/>
      <c r="Y27" s="123"/>
      <c r="Z27" s="132"/>
      <c r="AA27" s="123"/>
      <c r="AB27" s="127"/>
      <c r="AC27" s="128"/>
      <c r="AD27" s="132"/>
      <c r="AE27" s="191"/>
      <c r="AF27" s="192"/>
      <c r="AG27" s="193"/>
    </row>
    <row r="28" spans="1:33" x14ac:dyDescent="0.3">
      <c r="A28" s="41">
        <v>2040</v>
      </c>
      <c r="B28" s="132"/>
      <c r="C28" s="123">
        <v>236.19856999999999</v>
      </c>
      <c r="D28" s="127">
        <v>506.37169</v>
      </c>
      <c r="E28" s="128">
        <v>776.5448100000001</v>
      </c>
      <c r="F28" s="123">
        <v>518.26088636363636</v>
      </c>
      <c r="G28" s="127">
        <v>739.54117045454552</v>
      </c>
      <c r="H28" s="128">
        <v>1065.6379999999999</v>
      </c>
      <c r="I28" s="123">
        <v>509.93107096774196</v>
      </c>
      <c r="J28" s="123"/>
      <c r="K28" s="123">
        <v>150.74941346153844</v>
      </c>
      <c r="L28" s="127">
        <v>343.84470192307691</v>
      </c>
      <c r="M28" s="128">
        <v>701.23984615384609</v>
      </c>
      <c r="N28" s="123"/>
      <c r="O28" s="127">
        <v>729</v>
      </c>
      <c r="P28" s="127"/>
      <c r="Q28" s="123"/>
      <c r="R28" s="127">
        <v>459.00000000000006</v>
      </c>
      <c r="S28" s="127"/>
      <c r="T28" s="123"/>
      <c r="U28" s="127">
        <v>432</v>
      </c>
      <c r="V28" s="127"/>
      <c r="W28" s="132">
        <v>515</v>
      </c>
      <c r="X28" s="132"/>
      <c r="Y28" s="123"/>
      <c r="Z28" s="132"/>
      <c r="AA28" s="123">
        <v>520.72267999999997</v>
      </c>
      <c r="AB28" s="127">
        <v>670.93067000000008</v>
      </c>
      <c r="AC28" s="128">
        <v>826.14549</v>
      </c>
      <c r="AD28" s="132">
        <v>448.05</v>
      </c>
      <c r="AE28" s="191"/>
      <c r="AF28" s="192"/>
      <c r="AG28" s="193"/>
    </row>
    <row r="29" spans="1:33" x14ac:dyDescent="0.3">
      <c r="A29" s="41">
        <v>2041</v>
      </c>
      <c r="B29" s="132"/>
      <c r="C29" s="123"/>
      <c r="D29" s="127"/>
      <c r="E29" s="128"/>
      <c r="F29" s="123"/>
      <c r="G29" s="127"/>
      <c r="H29" s="128"/>
      <c r="I29" s="123">
        <v>481.82469677419357</v>
      </c>
      <c r="J29" s="123"/>
      <c r="K29" s="46"/>
      <c r="L29" s="4"/>
      <c r="M29" s="5"/>
      <c r="N29" s="123"/>
      <c r="O29" s="127"/>
      <c r="P29" s="127"/>
      <c r="Q29" s="123"/>
      <c r="R29" s="127"/>
      <c r="S29" s="127"/>
      <c r="T29" s="123"/>
      <c r="U29" s="127"/>
      <c r="V29" s="127"/>
      <c r="W29" s="132"/>
      <c r="X29" s="132"/>
      <c r="Y29" s="123"/>
      <c r="Z29" s="132"/>
      <c r="AA29" s="123"/>
      <c r="AB29" s="127"/>
      <c r="AC29" s="128"/>
      <c r="AD29" s="132"/>
      <c r="AE29" s="191"/>
      <c r="AF29" s="192"/>
      <c r="AG29" s="193"/>
    </row>
    <row r="30" spans="1:33" x14ac:dyDescent="0.3">
      <c r="A30" s="41">
        <v>2042</v>
      </c>
      <c r="B30" s="132"/>
      <c r="C30" s="123"/>
      <c r="D30" s="127"/>
      <c r="E30" s="128"/>
      <c r="F30" s="123"/>
      <c r="G30" s="127"/>
      <c r="H30" s="128"/>
      <c r="I30" s="123">
        <v>461.74833548387102</v>
      </c>
      <c r="J30" s="123"/>
      <c r="K30" s="46"/>
      <c r="L30" s="4"/>
      <c r="M30" s="5"/>
      <c r="N30" s="123"/>
      <c r="O30" s="127"/>
      <c r="P30" s="127"/>
      <c r="Q30" s="123"/>
      <c r="R30" s="127"/>
      <c r="S30" s="127"/>
      <c r="T30" s="123"/>
      <c r="U30" s="127"/>
      <c r="V30" s="127"/>
      <c r="W30" s="132"/>
      <c r="X30" s="132"/>
      <c r="Y30" s="123"/>
      <c r="Z30" s="132"/>
      <c r="AA30" s="123"/>
      <c r="AB30" s="127"/>
      <c r="AC30" s="128"/>
      <c r="AD30" s="132"/>
      <c r="AE30" s="191"/>
      <c r="AF30" s="192"/>
      <c r="AG30" s="193"/>
    </row>
    <row r="31" spans="1:33" x14ac:dyDescent="0.3">
      <c r="A31" s="41">
        <v>2043</v>
      </c>
      <c r="B31" s="132"/>
      <c r="C31" s="123"/>
      <c r="D31" s="127"/>
      <c r="E31" s="128"/>
      <c r="F31" s="123"/>
      <c r="G31" s="127"/>
      <c r="H31" s="128"/>
      <c r="I31" s="123">
        <v>449.7026516129032</v>
      </c>
      <c r="J31" s="123"/>
      <c r="K31" s="123"/>
      <c r="L31" s="127"/>
      <c r="M31" s="128"/>
      <c r="N31" s="123"/>
      <c r="O31" s="127"/>
      <c r="P31" s="127"/>
      <c r="Q31" s="123"/>
      <c r="R31" s="127"/>
      <c r="S31" s="127"/>
      <c r="T31" s="123"/>
      <c r="U31" s="127"/>
      <c r="V31" s="127"/>
      <c r="W31" s="132"/>
      <c r="X31" s="132"/>
      <c r="Y31" s="123"/>
      <c r="Z31" s="132"/>
      <c r="AA31" s="123"/>
      <c r="AB31" s="127"/>
      <c r="AC31" s="128"/>
      <c r="AD31" s="132"/>
      <c r="AE31" s="191"/>
      <c r="AF31" s="192"/>
      <c r="AG31" s="193"/>
    </row>
    <row r="32" spans="1:33" x14ac:dyDescent="0.3">
      <c r="A32" s="41">
        <v>2044</v>
      </c>
      <c r="B32" s="132"/>
      <c r="C32" s="123"/>
      <c r="D32" s="127"/>
      <c r="E32" s="128"/>
      <c r="F32" s="123"/>
      <c r="G32" s="127"/>
      <c r="H32" s="128"/>
      <c r="I32" s="123">
        <v>433.64196129032257</v>
      </c>
      <c r="J32" s="123"/>
      <c r="K32" s="123"/>
      <c r="L32" s="127"/>
      <c r="M32" s="128"/>
      <c r="N32" s="123"/>
      <c r="O32" s="127"/>
      <c r="P32" s="127"/>
      <c r="Q32" s="123"/>
      <c r="R32" s="127"/>
      <c r="S32" s="127"/>
      <c r="T32" s="123"/>
      <c r="U32" s="127"/>
      <c r="V32" s="127"/>
      <c r="W32" s="132"/>
      <c r="X32" s="132"/>
      <c r="Y32" s="123"/>
      <c r="Z32" s="132"/>
      <c r="AA32" s="123"/>
      <c r="AB32" s="127"/>
      <c r="AC32" s="128"/>
      <c r="AD32" s="132"/>
      <c r="AE32" s="191"/>
      <c r="AF32" s="192"/>
      <c r="AG32" s="193"/>
    </row>
    <row r="33" spans="1:33" x14ac:dyDescent="0.3">
      <c r="A33" s="41">
        <v>2045</v>
      </c>
      <c r="B33" s="132"/>
      <c r="C33" s="123">
        <v>171.48676</v>
      </c>
      <c r="D33" s="127">
        <v>430.33503000000002</v>
      </c>
      <c r="E33" s="128">
        <v>689.18330000000003</v>
      </c>
      <c r="F33" s="123">
        <v>506.61486363636368</v>
      </c>
      <c r="G33" s="127">
        <v>727.89514772727273</v>
      </c>
      <c r="H33" s="128">
        <v>1048.1677954545455</v>
      </c>
      <c r="I33" s="123">
        <v>417.58127096774194</v>
      </c>
      <c r="J33" s="123"/>
      <c r="K33" s="123">
        <v>133.81185576923076</v>
      </c>
      <c r="L33" s="127">
        <v>321.82548076923075</v>
      </c>
      <c r="M33" s="128">
        <v>685.99584615384606</v>
      </c>
      <c r="N33" s="123"/>
      <c r="O33" s="127"/>
      <c r="P33" s="127"/>
      <c r="Q33" s="123"/>
      <c r="R33" s="127"/>
      <c r="S33" s="127"/>
      <c r="T33" s="123"/>
      <c r="U33" s="127"/>
      <c r="V33" s="127"/>
      <c r="W33" s="132"/>
      <c r="X33" s="132"/>
      <c r="Y33" s="123"/>
      <c r="Z33" s="132"/>
      <c r="AA33" s="123">
        <v>430.59767999999997</v>
      </c>
      <c r="AB33" s="127">
        <v>600.83299</v>
      </c>
      <c r="AC33" s="128">
        <v>776.07615999999996</v>
      </c>
      <c r="AD33" s="132"/>
      <c r="AE33" s="191"/>
      <c r="AF33" s="192"/>
      <c r="AG33" s="193"/>
    </row>
    <row r="34" spans="1:33" x14ac:dyDescent="0.3">
      <c r="A34" s="41">
        <v>2046</v>
      </c>
      <c r="B34" s="132"/>
      <c r="C34" s="123"/>
      <c r="D34" s="127"/>
      <c r="E34" s="128"/>
      <c r="F34" s="123"/>
      <c r="G34" s="127"/>
      <c r="H34" s="128"/>
      <c r="I34" s="123">
        <v>405.53558709677424</v>
      </c>
      <c r="J34" s="123"/>
      <c r="K34" s="123"/>
      <c r="L34" s="127"/>
      <c r="M34" s="128"/>
      <c r="N34" s="123"/>
      <c r="O34" s="127"/>
      <c r="P34" s="127"/>
      <c r="Q34" s="123"/>
      <c r="R34" s="127"/>
      <c r="S34" s="127"/>
      <c r="T34" s="123"/>
      <c r="U34" s="127"/>
      <c r="V34" s="127"/>
      <c r="W34" s="132"/>
      <c r="X34" s="132"/>
      <c r="Y34" s="123"/>
      <c r="Z34" s="132"/>
      <c r="AA34" s="123"/>
      <c r="AB34" s="127"/>
      <c r="AC34" s="128"/>
      <c r="AD34" s="132"/>
      <c r="AE34" s="191"/>
      <c r="AF34" s="192"/>
      <c r="AG34" s="193"/>
    </row>
    <row r="35" spans="1:33" x14ac:dyDescent="0.3">
      <c r="A35" s="41">
        <v>2047</v>
      </c>
      <c r="B35" s="132"/>
      <c r="C35" s="123"/>
      <c r="D35" s="127"/>
      <c r="E35" s="128"/>
      <c r="F35" s="123"/>
      <c r="G35" s="127"/>
      <c r="H35" s="128"/>
      <c r="I35" s="123">
        <v>393.48990322580642</v>
      </c>
      <c r="J35" s="123"/>
      <c r="K35" s="123"/>
      <c r="L35" s="127"/>
      <c r="M35" s="128"/>
      <c r="N35" s="123"/>
      <c r="O35" s="127"/>
      <c r="P35" s="127"/>
      <c r="Q35" s="123"/>
      <c r="R35" s="127"/>
      <c r="S35" s="127"/>
      <c r="T35" s="123"/>
      <c r="U35" s="127"/>
      <c r="V35" s="127"/>
      <c r="W35" s="132"/>
      <c r="X35" s="132"/>
      <c r="Y35" s="123"/>
      <c r="Z35" s="132"/>
      <c r="AA35" s="123"/>
      <c r="AB35" s="127"/>
      <c r="AC35" s="128"/>
      <c r="AD35" s="132"/>
      <c r="AE35" s="191"/>
      <c r="AF35" s="192"/>
      <c r="AG35" s="193"/>
    </row>
    <row r="36" spans="1:33" x14ac:dyDescent="0.3">
      <c r="A36" s="41">
        <v>2048</v>
      </c>
      <c r="B36" s="132"/>
      <c r="C36" s="123"/>
      <c r="D36" s="127"/>
      <c r="E36" s="128"/>
      <c r="F36" s="123"/>
      <c r="G36" s="127"/>
      <c r="H36" s="128"/>
      <c r="I36" s="123">
        <v>385.45922580645157</v>
      </c>
      <c r="J36" s="123"/>
      <c r="K36" s="123"/>
      <c r="L36" s="127"/>
      <c r="M36" s="128"/>
      <c r="N36" s="123"/>
      <c r="O36" s="127"/>
      <c r="P36" s="127"/>
      <c r="Q36" s="123"/>
      <c r="R36" s="127"/>
      <c r="S36" s="127"/>
      <c r="T36" s="123"/>
      <c r="U36" s="127"/>
      <c r="V36" s="127"/>
      <c r="W36" s="132"/>
      <c r="X36" s="132"/>
      <c r="Y36" s="123"/>
      <c r="Z36" s="132"/>
      <c r="AA36" s="123"/>
      <c r="AB36" s="127"/>
      <c r="AC36" s="128"/>
      <c r="AD36" s="132"/>
      <c r="AE36" s="191"/>
      <c r="AF36" s="192"/>
      <c r="AG36" s="193"/>
    </row>
    <row r="37" spans="1:33" x14ac:dyDescent="0.3">
      <c r="A37" s="41">
        <v>2049</v>
      </c>
      <c r="B37" s="132"/>
      <c r="C37" s="123"/>
      <c r="D37" s="127"/>
      <c r="E37" s="128"/>
      <c r="F37" s="123"/>
      <c r="G37" s="127"/>
      <c r="H37" s="128"/>
      <c r="I37" s="123">
        <v>381.44421935483871</v>
      </c>
      <c r="J37" s="123"/>
      <c r="K37" s="46"/>
      <c r="L37" s="4"/>
      <c r="M37" s="5"/>
      <c r="N37" s="123"/>
      <c r="O37" s="127"/>
      <c r="P37" s="127"/>
      <c r="Q37" s="123"/>
      <c r="R37" s="127"/>
      <c r="S37" s="127"/>
      <c r="T37" s="123"/>
      <c r="U37" s="127"/>
      <c r="V37" s="127"/>
      <c r="W37" s="132"/>
      <c r="X37" s="132"/>
      <c r="Y37" s="123"/>
      <c r="Z37" s="132"/>
      <c r="AA37" s="123"/>
      <c r="AB37" s="127"/>
      <c r="AC37" s="128"/>
      <c r="AD37" s="132"/>
      <c r="AE37" s="191"/>
      <c r="AF37" s="192"/>
      <c r="AG37" s="193"/>
    </row>
    <row r="38" spans="1:33" ht="15" thickBot="1" x14ac:dyDescent="0.35">
      <c r="A38" s="42">
        <v>2050</v>
      </c>
      <c r="B38" s="133">
        <v>79.230769230769226</v>
      </c>
      <c r="C38" s="124">
        <v>135.89511000000002</v>
      </c>
      <c r="D38" s="129">
        <v>368.85845</v>
      </c>
      <c r="E38" s="130">
        <v>601.82179000000008</v>
      </c>
      <c r="F38" s="124">
        <v>494.96884090909094</v>
      </c>
      <c r="G38" s="129">
        <v>710.42494318181832</v>
      </c>
      <c r="H38" s="130">
        <v>1024.8757499999999</v>
      </c>
      <c r="I38" s="124">
        <v>369.39853548387094</v>
      </c>
      <c r="J38" s="124">
        <v>76.22</v>
      </c>
      <c r="K38" s="124">
        <v>129.57697115384616</v>
      </c>
      <c r="L38" s="129">
        <v>308.00961538461542</v>
      </c>
      <c r="M38" s="130">
        <v>673.29218269230773</v>
      </c>
      <c r="N38" s="124">
        <v>405</v>
      </c>
      <c r="O38" s="129">
        <v>513</v>
      </c>
      <c r="P38" s="129">
        <v>621</v>
      </c>
      <c r="Q38" s="124">
        <v>270</v>
      </c>
      <c r="R38" s="129">
        <v>324</v>
      </c>
      <c r="S38" s="129">
        <v>378</v>
      </c>
      <c r="T38" s="124">
        <v>243.00000000000003</v>
      </c>
      <c r="U38" s="129">
        <v>297</v>
      </c>
      <c r="V38" s="129">
        <v>351</v>
      </c>
      <c r="W38" s="133">
        <v>445.67307692307691</v>
      </c>
      <c r="X38" s="133">
        <v>186.10040000000001</v>
      </c>
      <c r="Y38" s="124">
        <v>238.96</v>
      </c>
      <c r="Z38" s="133">
        <v>92.7</v>
      </c>
      <c r="AA38" s="124">
        <v>355.49317000000002</v>
      </c>
      <c r="AB38" s="129">
        <v>535.74317000000008</v>
      </c>
      <c r="AC38" s="130">
        <v>731.01365999999996</v>
      </c>
      <c r="AD38" s="133">
        <v>381.1</v>
      </c>
      <c r="AE38" s="206"/>
      <c r="AF38" s="207"/>
      <c r="AG38" s="208"/>
    </row>
    <row r="39" spans="1:33" ht="15" thickBot="1" x14ac:dyDescent="0.35">
      <c r="B39"/>
      <c r="Z39" s="1"/>
      <c r="AA39" s="1"/>
      <c r="AB39" s="1"/>
      <c r="AC39" s="1"/>
      <c r="AD39" s="1"/>
      <c r="AE39" s="1"/>
    </row>
    <row r="40" spans="1:33" ht="15" thickBot="1" x14ac:dyDescent="0.35">
      <c r="A40"/>
      <c r="B40" s="87" t="s">
        <v>90</v>
      </c>
      <c r="Z40" s="1"/>
      <c r="AA40" s="1"/>
      <c r="AB40" s="1"/>
      <c r="AC40" s="1"/>
      <c r="AD40" s="1"/>
      <c r="AE40" s="1"/>
      <c r="AF40" s="1"/>
      <c r="AG40" s="1"/>
    </row>
    <row r="41" spans="1:33" ht="43.2" customHeight="1" thickBot="1" x14ac:dyDescent="0.35">
      <c r="B41" s="102" t="s">
        <v>91</v>
      </c>
      <c r="C41" s="329" t="s">
        <v>92</v>
      </c>
      <c r="D41" s="330"/>
      <c r="E41" s="331"/>
      <c r="F41" s="329" t="s">
        <v>59</v>
      </c>
      <c r="G41" s="330"/>
      <c r="H41" s="331"/>
      <c r="I41" s="102" t="s">
        <v>98</v>
      </c>
      <c r="J41" s="102" t="s">
        <v>91</v>
      </c>
      <c r="K41" s="329" t="s">
        <v>99</v>
      </c>
      <c r="L41" s="330"/>
      <c r="M41" s="331"/>
      <c r="N41" s="332" t="s">
        <v>259</v>
      </c>
      <c r="O41" s="333"/>
      <c r="P41" s="333"/>
      <c r="Q41" s="333"/>
      <c r="R41" s="333"/>
      <c r="S41" s="333"/>
      <c r="T41" s="333"/>
      <c r="U41" s="333"/>
      <c r="V41" s="334"/>
      <c r="W41" s="103" t="s">
        <v>97</v>
      </c>
      <c r="X41" s="103" t="s">
        <v>91</v>
      </c>
      <c r="Y41" s="102" t="s">
        <v>96</v>
      </c>
      <c r="Z41" s="103" t="s">
        <v>97</v>
      </c>
      <c r="AA41" s="329" t="s">
        <v>97</v>
      </c>
      <c r="AB41" s="330"/>
      <c r="AC41" s="331"/>
      <c r="AD41" s="103" t="s">
        <v>97</v>
      </c>
    </row>
    <row r="42" spans="1:33" x14ac:dyDescent="0.3">
      <c r="B42"/>
      <c r="C42"/>
      <c r="Q42"/>
      <c r="R42"/>
      <c r="S42"/>
      <c r="T42"/>
      <c r="U42"/>
      <c r="V42"/>
      <c r="W42"/>
      <c r="X42"/>
      <c r="Y42"/>
    </row>
    <row r="43" spans="1:33" ht="15.6" x14ac:dyDescent="0.35">
      <c r="A43" s="36" t="s">
        <v>258</v>
      </c>
      <c r="B43"/>
      <c r="C43"/>
    </row>
    <row r="44" spans="1:33" x14ac:dyDescent="0.3">
      <c r="A44" s="36" t="s">
        <v>60</v>
      </c>
      <c r="B44"/>
      <c r="C44"/>
    </row>
    <row r="45" spans="1:33" x14ac:dyDescent="0.3">
      <c r="A45" s="36" t="s">
        <v>308</v>
      </c>
      <c r="B45" s="105"/>
    </row>
    <row r="46" spans="1:33" x14ac:dyDescent="0.3">
      <c r="B46" s="105"/>
    </row>
    <row r="47" spans="1:33" x14ac:dyDescent="0.3">
      <c r="A47" s="93"/>
      <c r="B47" s="105"/>
    </row>
    <row r="48" spans="1:33" x14ac:dyDescent="0.3">
      <c r="A48" s="93"/>
      <c r="B48"/>
      <c r="C48"/>
      <c r="D48"/>
      <c r="E48"/>
      <c r="F48"/>
      <c r="G48"/>
      <c r="H48"/>
      <c r="I48"/>
      <c r="J48"/>
      <c r="K48"/>
      <c r="L48"/>
      <c r="M48"/>
      <c r="N48"/>
      <c r="O48"/>
      <c r="P48"/>
      <c r="Q48"/>
      <c r="R48"/>
      <c r="S48"/>
      <c r="T48"/>
      <c r="U48"/>
      <c r="V48"/>
      <c r="W48"/>
      <c r="X48"/>
      <c r="Y48"/>
    </row>
    <row r="49" spans="1:25" x14ac:dyDescent="0.3">
      <c r="A49" s="93"/>
      <c r="B49"/>
      <c r="C49"/>
      <c r="D49"/>
      <c r="E49"/>
      <c r="F49"/>
      <c r="G49"/>
      <c r="H49"/>
      <c r="I49"/>
      <c r="J49"/>
      <c r="K49"/>
      <c r="L49"/>
      <c r="M49"/>
      <c r="N49"/>
      <c r="O49"/>
      <c r="P49"/>
      <c r="Q49"/>
      <c r="R49"/>
      <c r="S49"/>
      <c r="T49"/>
      <c r="U49"/>
      <c r="V49"/>
      <c r="W49"/>
      <c r="X49"/>
      <c r="Y49"/>
    </row>
    <row r="50" spans="1:25" x14ac:dyDescent="0.3">
      <c r="A50" s="93"/>
      <c r="B50"/>
      <c r="C50"/>
      <c r="D50"/>
      <c r="E50"/>
      <c r="F50"/>
      <c r="G50"/>
      <c r="H50"/>
      <c r="I50"/>
      <c r="J50"/>
      <c r="K50"/>
      <c r="L50"/>
      <c r="M50"/>
      <c r="N50"/>
      <c r="O50"/>
      <c r="P50"/>
      <c r="Q50"/>
      <c r="R50"/>
      <c r="S50"/>
      <c r="T50"/>
      <c r="U50"/>
      <c r="V50"/>
      <c r="W50"/>
      <c r="X50"/>
      <c r="Y50"/>
    </row>
    <row r="51" spans="1:25" x14ac:dyDescent="0.3">
      <c r="A51"/>
      <c r="B51"/>
      <c r="C51"/>
      <c r="D51"/>
      <c r="E51"/>
      <c r="F51"/>
      <c r="G51"/>
      <c r="H51"/>
      <c r="I51"/>
      <c r="J51"/>
      <c r="K51"/>
      <c r="L51"/>
      <c r="M51"/>
      <c r="N51"/>
      <c r="O51"/>
      <c r="P51"/>
      <c r="Q51"/>
      <c r="R51"/>
      <c r="S51"/>
      <c r="T51"/>
      <c r="U51"/>
      <c r="V51"/>
      <c r="W51"/>
      <c r="X51"/>
      <c r="Y51"/>
    </row>
    <row r="52" spans="1:25" x14ac:dyDescent="0.3">
      <c r="B52"/>
      <c r="C52"/>
      <c r="D52"/>
      <c r="E52"/>
      <c r="F52"/>
      <c r="G52"/>
      <c r="H52"/>
      <c r="I52"/>
      <c r="J52"/>
      <c r="K52"/>
      <c r="L52"/>
      <c r="M52"/>
      <c r="N52"/>
      <c r="O52"/>
      <c r="P52"/>
      <c r="Q52"/>
      <c r="R52"/>
      <c r="S52"/>
      <c r="T52"/>
      <c r="U52"/>
      <c r="V52"/>
      <c r="W52"/>
      <c r="X52"/>
      <c r="Y52"/>
    </row>
    <row r="53" spans="1:25" x14ac:dyDescent="0.3">
      <c r="B53"/>
      <c r="C53"/>
      <c r="D53"/>
      <c r="E53"/>
      <c r="F53"/>
      <c r="G53"/>
      <c r="H53"/>
      <c r="I53"/>
      <c r="J53"/>
      <c r="K53"/>
      <c r="L53"/>
      <c r="M53"/>
      <c r="N53"/>
      <c r="O53"/>
      <c r="P53"/>
      <c r="Q53"/>
      <c r="R53"/>
      <c r="S53"/>
      <c r="T53"/>
      <c r="U53"/>
      <c r="V53"/>
      <c r="W53"/>
      <c r="X53"/>
      <c r="Y53"/>
    </row>
    <row r="54" spans="1:25" x14ac:dyDescent="0.3">
      <c r="B54"/>
      <c r="C54"/>
      <c r="D54"/>
      <c r="E54"/>
      <c r="F54"/>
      <c r="G54"/>
      <c r="H54"/>
      <c r="I54"/>
      <c r="J54"/>
      <c r="K54"/>
      <c r="L54"/>
      <c r="M54"/>
      <c r="N54"/>
      <c r="O54"/>
      <c r="P54"/>
      <c r="Q54"/>
      <c r="R54"/>
      <c r="S54"/>
      <c r="T54"/>
      <c r="U54"/>
      <c r="V54"/>
      <c r="W54"/>
      <c r="X54"/>
      <c r="Y54"/>
    </row>
    <row r="55" spans="1:25" x14ac:dyDescent="0.3">
      <c r="B55"/>
      <c r="C55"/>
      <c r="D55"/>
      <c r="E55"/>
      <c r="F55"/>
      <c r="G55"/>
      <c r="H55"/>
      <c r="I55"/>
      <c r="J55"/>
      <c r="K55"/>
      <c r="L55"/>
      <c r="M55"/>
      <c r="N55"/>
      <c r="O55"/>
      <c r="P55"/>
      <c r="Q55"/>
      <c r="R55"/>
      <c r="S55"/>
      <c r="T55"/>
      <c r="U55"/>
      <c r="V55"/>
      <c r="W55"/>
      <c r="X55"/>
      <c r="Y55"/>
    </row>
    <row r="56" spans="1:25" x14ac:dyDescent="0.3">
      <c r="B56"/>
      <c r="C56"/>
      <c r="D56"/>
      <c r="E56"/>
      <c r="F56"/>
      <c r="G56"/>
      <c r="H56"/>
      <c r="I56"/>
      <c r="J56"/>
      <c r="K56"/>
      <c r="L56"/>
      <c r="M56"/>
      <c r="N56"/>
      <c r="O56"/>
      <c r="P56"/>
      <c r="Q56"/>
      <c r="R56"/>
      <c r="S56"/>
      <c r="T56"/>
      <c r="U56"/>
      <c r="V56"/>
      <c r="W56"/>
      <c r="X56"/>
      <c r="Y56"/>
    </row>
    <row r="57" spans="1:25" x14ac:dyDescent="0.3">
      <c r="B57"/>
      <c r="C57"/>
      <c r="D57"/>
      <c r="E57"/>
      <c r="F57"/>
      <c r="G57"/>
      <c r="H57"/>
      <c r="I57"/>
      <c r="J57"/>
      <c r="K57"/>
      <c r="L57"/>
      <c r="M57"/>
      <c r="N57"/>
      <c r="O57"/>
      <c r="P57"/>
      <c r="Q57"/>
      <c r="R57"/>
      <c r="S57"/>
      <c r="T57"/>
      <c r="U57"/>
      <c r="V57"/>
      <c r="W57"/>
      <c r="X57"/>
      <c r="Y57"/>
    </row>
    <row r="58" spans="1:25" x14ac:dyDescent="0.3">
      <c r="B58"/>
      <c r="C58"/>
      <c r="D58"/>
      <c r="E58"/>
      <c r="F58"/>
      <c r="G58"/>
      <c r="H58"/>
      <c r="I58"/>
      <c r="J58"/>
      <c r="K58"/>
      <c r="L58"/>
      <c r="M58"/>
      <c r="N58"/>
      <c r="O58"/>
      <c r="P58"/>
      <c r="Q58"/>
      <c r="R58"/>
      <c r="S58"/>
      <c r="T58"/>
      <c r="U58"/>
      <c r="V58"/>
      <c r="W58"/>
      <c r="X58"/>
      <c r="Y58"/>
    </row>
    <row r="59" spans="1:25" x14ac:dyDescent="0.3">
      <c r="B59"/>
      <c r="C59"/>
      <c r="D59"/>
      <c r="E59"/>
      <c r="F59"/>
      <c r="G59"/>
      <c r="H59"/>
      <c r="I59"/>
      <c r="J59"/>
      <c r="K59"/>
      <c r="L59"/>
      <c r="M59"/>
      <c r="N59"/>
      <c r="O59"/>
      <c r="P59"/>
      <c r="Q59"/>
      <c r="R59"/>
      <c r="S59"/>
      <c r="T59"/>
      <c r="U59"/>
      <c r="V59"/>
      <c r="W59"/>
      <c r="X59"/>
      <c r="Y59"/>
    </row>
    <row r="60" spans="1:25" x14ac:dyDescent="0.3">
      <c r="B60"/>
      <c r="C60"/>
      <c r="D60"/>
      <c r="E60"/>
      <c r="F60"/>
      <c r="G60"/>
      <c r="H60"/>
      <c r="I60"/>
      <c r="J60"/>
      <c r="K60"/>
      <c r="L60"/>
      <c r="M60"/>
      <c r="N60"/>
      <c r="O60"/>
      <c r="P60"/>
      <c r="Q60"/>
      <c r="R60"/>
      <c r="S60"/>
      <c r="T60"/>
      <c r="U60"/>
      <c r="V60"/>
      <c r="W60"/>
      <c r="X60"/>
      <c r="Y60"/>
    </row>
    <row r="61" spans="1:25" x14ac:dyDescent="0.3">
      <c r="B61"/>
      <c r="C61"/>
      <c r="D61"/>
      <c r="E61"/>
      <c r="F61"/>
      <c r="G61"/>
      <c r="H61"/>
      <c r="I61"/>
      <c r="J61"/>
      <c r="K61"/>
      <c r="L61"/>
      <c r="M61"/>
      <c r="N61"/>
      <c r="O61"/>
      <c r="P61"/>
      <c r="Q61"/>
      <c r="R61"/>
      <c r="S61"/>
      <c r="T61"/>
      <c r="U61"/>
      <c r="V61"/>
      <c r="W61"/>
      <c r="X61"/>
      <c r="Y61"/>
    </row>
    <row r="62" spans="1:25" x14ac:dyDescent="0.3">
      <c r="B62"/>
      <c r="C62"/>
      <c r="D62"/>
      <c r="E62"/>
      <c r="F62"/>
      <c r="G62"/>
      <c r="H62"/>
      <c r="I62"/>
      <c r="J62"/>
      <c r="K62"/>
      <c r="L62"/>
      <c r="M62"/>
      <c r="N62"/>
      <c r="O62"/>
      <c r="P62"/>
      <c r="Q62"/>
      <c r="R62"/>
      <c r="S62"/>
      <c r="T62"/>
      <c r="U62"/>
      <c r="V62"/>
      <c r="W62"/>
      <c r="X62"/>
      <c r="Y62"/>
    </row>
    <row r="63" spans="1:25" x14ac:dyDescent="0.3">
      <c r="B63"/>
      <c r="C63"/>
      <c r="D63"/>
      <c r="E63"/>
      <c r="F63"/>
      <c r="G63"/>
      <c r="H63"/>
      <c r="I63"/>
      <c r="J63"/>
      <c r="K63"/>
      <c r="L63"/>
      <c r="M63"/>
      <c r="N63"/>
      <c r="O63"/>
      <c r="P63"/>
      <c r="Q63"/>
      <c r="R63"/>
      <c r="S63"/>
      <c r="T63"/>
      <c r="U63"/>
      <c r="V63"/>
      <c r="W63"/>
      <c r="X63"/>
      <c r="Y63"/>
    </row>
    <row r="64" spans="1:25" x14ac:dyDescent="0.3">
      <c r="B64"/>
      <c r="C64"/>
      <c r="D64"/>
      <c r="E64"/>
      <c r="F64"/>
      <c r="G64"/>
      <c r="H64"/>
      <c r="I64"/>
      <c r="J64"/>
      <c r="K64"/>
      <c r="L64"/>
      <c r="M64"/>
      <c r="N64"/>
      <c r="O64"/>
      <c r="P64"/>
      <c r="Q64"/>
      <c r="R64"/>
      <c r="S64"/>
      <c r="T64"/>
      <c r="U64"/>
      <c r="V64"/>
      <c r="W64"/>
      <c r="X64"/>
      <c r="Y64"/>
    </row>
    <row r="65" spans="2:25" x14ac:dyDescent="0.3">
      <c r="B65"/>
      <c r="C65"/>
      <c r="D65"/>
      <c r="E65"/>
      <c r="F65"/>
      <c r="G65"/>
      <c r="H65"/>
      <c r="I65"/>
      <c r="J65"/>
      <c r="K65"/>
      <c r="L65"/>
      <c r="M65"/>
      <c r="N65"/>
      <c r="O65"/>
      <c r="P65"/>
      <c r="Q65"/>
      <c r="R65"/>
      <c r="S65"/>
      <c r="T65"/>
      <c r="U65"/>
      <c r="V65"/>
      <c r="W65"/>
      <c r="X65"/>
      <c r="Y65"/>
    </row>
    <row r="66" spans="2:25" x14ac:dyDescent="0.3">
      <c r="B66"/>
      <c r="C66"/>
      <c r="D66"/>
      <c r="E66"/>
      <c r="F66"/>
      <c r="G66"/>
      <c r="H66"/>
      <c r="I66"/>
      <c r="J66"/>
      <c r="K66"/>
      <c r="L66"/>
      <c r="M66"/>
      <c r="N66"/>
      <c r="O66"/>
      <c r="P66"/>
      <c r="Q66"/>
      <c r="R66"/>
      <c r="S66"/>
      <c r="T66"/>
      <c r="U66"/>
      <c r="V66"/>
      <c r="W66"/>
      <c r="X66"/>
      <c r="Y66"/>
    </row>
    <row r="67" spans="2:25" x14ac:dyDescent="0.3">
      <c r="B67"/>
      <c r="C67"/>
      <c r="D67"/>
      <c r="E67"/>
      <c r="F67"/>
      <c r="G67"/>
      <c r="H67"/>
      <c r="I67"/>
      <c r="J67"/>
      <c r="K67"/>
      <c r="L67"/>
      <c r="M67"/>
      <c r="N67"/>
      <c r="O67"/>
      <c r="P67"/>
      <c r="Q67"/>
      <c r="R67"/>
      <c r="S67"/>
      <c r="T67"/>
      <c r="U67"/>
      <c r="V67"/>
      <c r="W67"/>
      <c r="X67"/>
      <c r="Y67"/>
    </row>
    <row r="68" spans="2:25" x14ac:dyDescent="0.3">
      <c r="B68"/>
      <c r="C68"/>
      <c r="D68"/>
      <c r="E68"/>
      <c r="F68"/>
      <c r="G68"/>
      <c r="H68"/>
      <c r="I68"/>
      <c r="J68"/>
      <c r="K68"/>
      <c r="L68"/>
      <c r="M68"/>
      <c r="N68"/>
      <c r="O68"/>
      <c r="P68"/>
      <c r="Q68"/>
      <c r="R68"/>
      <c r="S68"/>
      <c r="T68"/>
      <c r="U68"/>
      <c r="V68"/>
      <c r="W68"/>
      <c r="X68"/>
      <c r="Y68"/>
    </row>
    <row r="69" spans="2:25" x14ac:dyDescent="0.3">
      <c r="B69"/>
      <c r="C69"/>
      <c r="D69"/>
      <c r="E69"/>
      <c r="F69"/>
      <c r="G69"/>
      <c r="H69"/>
      <c r="I69"/>
      <c r="J69"/>
      <c r="K69"/>
      <c r="L69"/>
      <c r="M69"/>
      <c r="N69"/>
      <c r="O69"/>
      <c r="P69"/>
      <c r="Q69"/>
      <c r="R69"/>
      <c r="S69"/>
      <c r="T69"/>
      <c r="U69"/>
      <c r="V69"/>
      <c r="W69"/>
      <c r="X69"/>
      <c r="Y69"/>
    </row>
    <row r="70" spans="2:25" x14ac:dyDescent="0.3">
      <c r="B70"/>
      <c r="C70"/>
      <c r="D70"/>
      <c r="E70"/>
      <c r="F70"/>
      <c r="G70"/>
      <c r="H70"/>
      <c r="I70"/>
      <c r="J70"/>
      <c r="K70"/>
      <c r="L70"/>
      <c r="M70"/>
      <c r="N70"/>
      <c r="O70"/>
      <c r="P70"/>
      <c r="Q70"/>
      <c r="R70"/>
      <c r="S70"/>
      <c r="T70"/>
      <c r="U70"/>
      <c r="V70"/>
      <c r="W70"/>
      <c r="X70"/>
      <c r="Y70"/>
    </row>
    <row r="71" spans="2:25" x14ac:dyDescent="0.3">
      <c r="B71"/>
      <c r="C71"/>
      <c r="D71"/>
      <c r="E71"/>
      <c r="F71"/>
      <c r="G71"/>
      <c r="H71"/>
      <c r="I71"/>
      <c r="J71"/>
      <c r="K71"/>
      <c r="L71"/>
      <c r="M71"/>
      <c r="N71"/>
      <c r="O71"/>
      <c r="P71"/>
      <c r="Q71"/>
      <c r="R71"/>
      <c r="S71"/>
      <c r="T71"/>
      <c r="U71"/>
      <c r="V71"/>
      <c r="W71"/>
      <c r="X71"/>
      <c r="Y71"/>
    </row>
    <row r="72" spans="2:25" x14ac:dyDescent="0.3">
      <c r="B72"/>
      <c r="C72"/>
      <c r="D72"/>
      <c r="E72"/>
      <c r="F72"/>
      <c r="G72"/>
      <c r="H72"/>
      <c r="I72"/>
      <c r="J72"/>
      <c r="K72"/>
      <c r="L72"/>
      <c r="M72"/>
      <c r="N72"/>
      <c r="O72"/>
      <c r="P72"/>
      <c r="Q72"/>
      <c r="R72"/>
      <c r="S72"/>
      <c r="T72"/>
      <c r="U72"/>
      <c r="V72"/>
      <c r="W72"/>
      <c r="X72"/>
      <c r="Y72"/>
    </row>
    <row r="73" spans="2:25" x14ac:dyDescent="0.3">
      <c r="B73"/>
      <c r="C73"/>
      <c r="D73"/>
      <c r="E73"/>
      <c r="F73"/>
      <c r="G73"/>
      <c r="H73"/>
      <c r="I73"/>
      <c r="J73"/>
      <c r="K73"/>
      <c r="L73"/>
      <c r="M73"/>
      <c r="N73"/>
      <c r="O73"/>
      <c r="P73"/>
      <c r="Q73"/>
      <c r="R73"/>
      <c r="S73"/>
      <c r="T73"/>
      <c r="U73"/>
      <c r="V73"/>
      <c r="W73"/>
      <c r="X73"/>
      <c r="Y73"/>
    </row>
    <row r="74" spans="2:25" x14ac:dyDescent="0.3">
      <c r="B74"/>
      <c r="C74"/>
      <c r="D74"/>
      <c r="E74"/>
      <c r="F74"/>
      <c r="G74"/>
      <c r="H74"/>
      <c r="I74"/>
      <c r="J74"/>
      <c r="K74"/>
      <c r="L74"/>
      <c r="M74"/>
      <c r="N74"/>
      <c r="O74"/>
      <c r="P74"/>
      <c r="Q74"/>
      <c r="R74"/>
      <c r="S74"/>
      <c r="T74"/>
      <c r="U74"/>
      <c r="V74"/>
      <c r="W74"/>
      <c r="X74"/>
      <c r="Y74"/>
    </row>
    <row r="75" spans="2:25" x14ac:dyDescent="0.3">
      <c r="B75"/>
      <c r="C75"/>
      <c r="D75"/>
      <c r="E75"/>
      <c r="F75"/>
      <c r="G75"/>
      <c r="H75"/>
      <c r="I75"/>
      <c r="J75"/>
      <c r="K75"/>
      <c r="L75"/>
      <c r="M75"/>
      <c r="N75"/>
      <c r="O75"/>
      <c r="P75"/>
      <c r="Q75"/>
      <c r="R75"/>
      <c r="S75"/>
      <c r="T75"/>
      <c r="U75"/>
      <c r="V75"/>
      <c r="W75"/>
      <c r="X75"/>
      <c r="Y75"/>
    </row>
    <row r="76" spans="2:25" x14ac:dyDescent="0.3">
      <c r="B76"/>
      <c r="C76"/>
      <c r="D76"/>
      <c r="E76"/>
      <c r="F76"/>
      <c r="G76"/>
      <c r="H76"/>
      <c r="I76"/>
      <c r="J76"/>
      <c r="K76"/>
      <c r="L76"/>
      <c r="M76"/>
      <c r="N76"/>
      <c r="O76"/>
      <c r="P76"/>
      <c r="Q76"/>
      <c r="R76"/>
      <c r="S76"/>
      <c r="T76"/>
      <c r="U76"/>
      <c r="V76"/>
      <c r="W76"/>
      <c r="X76"/>
      <c r="Y76"/>
    </row>
    <row r="77" spans="2:25" x14ac:dyDescent="0.3">
      <c r="B77"/>
      <c r="C77"/>
      <c r="D77"/>
      <c r="E77"/>
      <c r="F77"/>
      <c r="G77"/>
      <c r="H77"/>
      <c r="I77"/>
      <c r="J77"/>
      <c r="K77"/>
      <c r="L77"/>
      <c r="M77"/>
      <c r="N77"/>
      <c r="O77"/>
      <c r="P77"/>
      <c r="Q77"/>
      <c r="R77"/>
      <c r="S77"/>
      <c r="T77"/>
      <c r="U77"/>
      <c r="V77"/>
      <c r="W77"/>
      <c r="X77"/>
      <c r="Y77"/>
    </row>
    <row r="78" spans="2:25" x14ac:dyDescent="0.3">
      <c r="B78"/>
      <c r="C78"/>
      <c r="D78"/>
      <c r="E78"/>
      <c r="F78"/>
      <c r="G78"/>
      <c r="H78"/>
      <c r="I78"/>
      <c r="J78"/>
      <c r="K78"/>
      <c r="L78"/>
      <c r="M78"/>
      <c r="N78"/>
      <c r="O78"/>
      <c r="P78"/>
      <c r="Q78"/>
      <c r="R78"/>
      <c r="S78"/>
      <c r="T78"/>
      <c r="U78"/>
      <c r="V78"/>
      <c r="W78"/>
      <c r="X78"/>
      <c r="Y78"/>
    </row>
    <row r="79" spans="2:25" x14ac:dyDescent="0.3">
      <c r="B79"/>
      <c r="C79"/>
      <c r="D79"/>
      <c r="E79"/>
      <c r="F79"/>
      <c r="G79"/>
      <c r="H79"/>
      <c r="I79"/>
      <c r="J79"/>
      <c r="K79"/>
      <c r="L79"/>
      <c r="M79"/>
      <c r="N79"/>
      <c r="O79"/>
      <c r="P79"/>
      <c r="Q79"/>
      <c r="R79"/>
      <c r="S79"/>
      <c r="T79"/>
      <c r="U79"/>
      <c r="V79"/>
      <c r="W79"/>
      <c r="X79"/>
      <c r="Y79"/>
    </row>
    <row r="80" spans="2:25" x14ac:dyDescent="0.3">
      <c r="B80"/>
      <c r="C80"/>
      <c r="D80"/>
      <c r="E80"/>
      <c r="F80"/>
      <c r="G80"/>
      <c r="H80"/>
      <c r="I80"/>
      <c r="J80"/>
      <c r="K80"/>
      <c r="L80"/>
      <c r="M80"/>
      <c r="N80"/>
      <c r="O80"/>
      <c r="P80"/>
      <c r="Q80"/>
      <c r="R80"/>
      <c r="S80"/>
      <c r="T80"/>
      <c r="U80"/>
      <c r="V80"/>
      <c r="W80"/>
      <c r="X80"/>
      <c r="Y80"/>
    </row>
    <row r="81" spans="2:25" x14ac:dyDescent="0.3">
      <c r="B81"/>
      <c r="C81"/>
      <c r="D81"/>
      <c r="E81"/>
      <c r="F81"/>
      <c r="G81"/>
      <c r="H81"/>
      <c r="I81"/>
      <c r="J81"/>
      <c r="K81"/>
      <c r="L81"/>
      <c r="M81"/>
      <c r="N81"/>
      <c r="O81"/>
      <c r="P81"/>
      <c r="Q81"/>
      <c r="R81"/>
      <c r="S81"/>
      <c r="T81"/>
      <c r="U81"/>
      <c r="V81"/>
      <c r="W81"/>
      <c r="X81"/>
      <c r="Y81"/>
    </row>
    <row r="82" spans="2:25" x14ac:dyDescent="0.3">
      <c r="B82"/>
      <c r="C82"/>
      <c r="D82"/>
      <c r="E82"/>
      <c r="F82"/>
      <c r="G82"/>
      <c r="H82"/>
      <c r="I82"/>
      <c r="J82"/>
      <c r="K82"/>
      <c r="L82"/>
      <c r="M82"/>
      <c r="N82"/>
      <c r="O82"/>
      <c r="P82"/>
      <c r="Q82"/>
      <c r="R82"/>
      <c r="S82"/>
      <c r="T82"/>
      <c r="U82"/>
      <c r="V82"/>
      <c r="W82"/>
      <c r="X82"/>
      <c r="Y82"/>
    </row>
    <row r="83" spans="2:25" x14ac:dyDescent="0.3">
      <c r="B83"/>
      <c r="C83"/>
      <c r="D83"/>
      <c r="E83"/>
      <c r="F83"/>
      <c r="G83"/>
      <c r="H83"/>
      <c r="I83"/>
      <c r="J83"/>
      <c r="K83"/>
      <c r="L83"/>
      <c r="M83"/>
      <c r="N83"/>
      <c r="O83"/>
      <c r="P83"/>
      <c r="Q83"/>
      <c r="R83"/>
      <c r="S83"/>
      <c r="T83"/>
      <c r="U83"/>
      <c r="V83"/>
      <c r="W83"/>
      <c r="X83"/>
      <c r="Y83"/>
    </row>
    <row r="84" spans="2:25" x14ac:dyDescent="0.3">
      <c r="B84"/>
      <c r="C84"/>
      <c r="D84"/>
      <c r="E84"/>
      <c r="F84"/>
      <c r="G84"/>
      <c r="H84"/>
      <c r="I84"/>
      <c r="J84"/>
      <c r="K84"/>
      <c r="L84"/>
      <c r="M84"/>
      <c r="N84"/>
      <c r="O84"/>
      <c r="P84"/>
      <c r="Q84"/>
      <c r="R84"/>
      <c r="S84"/>
      <c r="T84"/>
      <c r="U84"/>
      <c r="V84"/>
      <c r="W84"/>
      <c r="X84"/>
      <c r="Y84"/>
    </row>
    <row r="85" spans="2:25" x14ac:dyDescent="0.3">
      <c r="B85"/>
      <c r="C85"/>
      <c r="D85"/>
      <c r="E85"/>
      <c r="F85"/>
      <c r="G85"/>
      <c r="H85"/>
      <c r="I85"/>
      <c r="J85"/>
      <c r="K85"/>
      <c r="L85"/>
      <c r="M85"/>
      <c r="N85"/>
      <c r="O85"/>
      <c r="P85"/>
      <c r="Q85"/>
      <c r="R85"/>
      <c r="S85"/>
      <c r="T85"/>
      <c r="U85"/>
      <c r="V85"/>
      <c r="W85"/>
      <c r="X85"/>
      <c r="Y85"/>
    </row>
    <row r="86" spans="2:25" x14ac:dyDescent="0.3">
      <c r="B86"/>
      <c r="C86"/>
      <c r="D86"/>
      <c r="E86"/>
      <c r="F86"/>
      <c r="G86"/>
      <c r="H86"/>
      <c r="I86"/>
      <c r="J86"/>
      <c r="K86"/>
      <c r="L86"/>
      <c r="M86"/>
      <c r="N86"/>
      <c r="O86"/>
      <c r="P86"/>
      <c r="Q86"/>
      <c r="R86"/>
      <c r="S86"/>
      <c r="T86"/>
      <c r="U86"/>
      <c r="V86"/>
      <c r="W86"/>
      <c r="X86"/>
      <c r="Y86"/>
    </row>
    <row r="87" spans="2:25" x14ac:dyDescent="0.3">
      <c r="B87"/>
      <c r="C87"/>
      <c r="D87"/>
      <c r="E87"/>
      <c r="F87"/>
      <c r="G87"/>
      <c r="H87"/>
      <c r="I87"/>
      <c r="J87"/>
      <c r="K87"/>
      <c r="L87"/>
      <c r="M87"/>
      <c r="N87"/>
      <c r="O87"/>
      <c r="P87"/>
      <c r="Q87"/>
      <c r="R87"/>
      <c r="S87"/>
      <c r="T87"/>
      <c r="U87"/>
      <c r="V87"/>
      <c r="W87"/>
      <c r="X87"/>
      <c r="Y87"/>
    </row>
    <row r="88" spans="2:25" x14ac:dyDescent="0.3">
      <c r="B88"/>
      <c r="C88"/>
      <c r="D88"/>
      <c r="E88"/>
      <c r="F88"/>
      <c r="G88"/>
      <c r="H88"/>
      <c r="I88"/>
      <c r="J88"/>
      <c r="K88"/>
      <c r="L88"/>
      <c r="M88"/>
      <c r="N88"/>
      <c r="O88"/>
      <c r="P88"/>
      <c r="Q88"/>
      <c r="R88"/>
      <c r="S88"/>
      <c r="T88"/>
      <c r="U88"/>
      <c r="V88"/>
      <c r="W88"/>
      <c r="X88"/>
      <c r="Y88"/>
    </row>
  </sheetData>
  <mergeCells count="14">
    <mergeCell ref="AE1:AG1"/>
    <mergeCell ref="C41:E41"/>
    <mergeCell ref="F41:H41"/>
    <mergeCell ref="K41:M41"/>
    <mergeCell ref="AA41:AC41"/>
    <mergeCell ref="N41:V41"/>
    <mergeCell ref="A1:A2"/>
    <mergeCell ref="C1:E1"/>
    <mergeCell ref="F1:H1"/>
    <mergeCell ref="K1:M1"/>
    <mergeCell ref="AA1:AC1"/>
    <mergeCell ref="T1:V1"/>
    <mergeCell ref="Q1:S1"/>
    <mergeCell ref="N1:P1"/>
  </mergeCells>
  <conditionalFormatting sqref="B45:B47 A47:A49">
    <cfRule type="duplicateValues" dxfId="0" priority="1"/>
  </conditionalFormatting>
  <pageMargins left="0.25" right="0.25" top="0.75" bottom="0.75" header="0.3" footer="0.3"/>
  <pageSetup paperSize="9" scale="28" orientation="landscape" r:id="rId1"/>
  <headerFooter>
    <oddFooter>&amp;C_x000D_&amp;1#&amp;"Calibri"&amp;7&amp;K000000 Classification: In-Confidence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414B1-F1B0-4E3E-A94C-194FDE1B01C8}">
  <sheetPr>
    <tabColor theme="6" tint="0.39997558519241921"/>
    <pageSetUpPr fitToPage="1"/>
  </sheetPr>
  <dimension ref="A1:AC47"/>
  <sheetViews>
    <sheetView topLeftCell="H1" zoomScale="60" zoomScaleNormal="60" workbookViewId="0">
      <selection activeCell="O39" sqref="O39"/>
    </sheetView>
  </sheetViews>
  <sheetFormatPr defaultRowHeight="14.4" x14ac:dyDescent="0.3"/>
  <cols>
    <col min="1" max="1" width="9.88671875" style="1" customWidth="1"/>
    <col min="2" max="4" width="13.44140625" style="1" bestFit="1" customWidth="1"/>
    <col min="5" max="7" width="9" style="1" bestFit="1" customWidth="1"/>
    <col min="8" max="8" width="21" style="1" bestFit="1" customWidth="1"/>
    <col min="9" max="9" width="23.88671875" style="1" customWidth="1"/>
    <col min="10" max="10" width="35.33203125" style="1" customWidth="1"/>
    <col min="11" max="13" width="13.44140625" style="1" bestFit="1" customWidth="1"/>
    <col min="14" max="14" width="40.33203125" style="1" bestFit="1" customWidth="1"/>
    <col min="15" max="15" width="34.5546875" style="1" customWidth="1"/>
    <col min="16" max="16" width="40.109375" style="1" bestFit="1" customWidth="1"/>
    <col min="17" max="17" width="6.5546875" style="1" bestFit="1" customWidth="1"/>
    <col min="18" max="18" width="7.6640625" style="1" bestFit="1" customWidth="1"/>
    <col min="19" max="19" width="7" style="1" bestFit="1" customWidth="1"/>
    <col min="20" max="20" width="21" style="1" bestFit="1" customWidth="1"/>
    <col min="21" max="23" width="9" style="1" bestFit="1" customWidth="1"/>
    <col min="24" max="24" width="10.109375" style="1" bestFit="1" customWidth="1"/>
    <col min="25" max="25" width="11.33203125" style="1" bestFit="1" customWidth="1"/>
    <col min="26" max="26" width="9" style="1" bestFit="1" customWidth="1"/>
    <col min="27" max="27" width="5.88671875" style="1" bestFit="1" customWidth="1"/>
    <col min="28" max="28" width="7.6640625" style="1" bestFit="1" customWidth="1"/>
    <col min="29" max="29" width="6.33203125" style="1" bestFit="1" customWidth="1"/>
    <col min="30" max="30" width="14.44140625" customWidth="1"/>
  </cols>
  <sheetData>
    <row r="1" spans="1:29" ht="40.950000000000003" customHeight="1" thickBot="1" x14ac:dyDescent="0.35">
      <c r="A1" s="321" t="s">
        <v>0</v>
      </c>
      <c r="B1" s="298" t="s">
        <v>282</v>
      </c>
      <c r="C1" s="299"/>
      <c r="D1" s="300"/>
      <c r="E1" s="298" t="s">
        <v>290</v>
      </c>
      <c r="F1" s="299"/>
      <c r="G1" s="300"/>
      <c r="H1" s="56" t="s">
        <v>82</v>
      </c>
      <c r="I1" s="56" t="s">
        <v>83</v>
      </c>
      <c r="J1" s="56" t="s">
        <v>84</v>
      </c>
      <c r="K1" s="298" t="s">
        <v>85</v>
      </c>
      <c r="L1" s="299"/>
      <c r="M1" s="300"/>
      <c r="N1" s="56" t="s">
        <v>86</v>
      </c>
      <c r="O1" s="56" t="s">
        <v>87</v>
      </c>
      <c r="P1" s="56" t="s">
        <v>291</v>
      </c>
      <c r="Q1" s="298" t="s">
        <v>447</v>
      </c>
      <c r="R1" s="299"/>
      <c r="S1" s="300"/>
      <c r="T1" s="56" t="s">
        <v>292</v>
      </c>
      <c r="U1" s="298" t="s">
        <v>324</v>
      </c>
      <c r="V1" s="299"/>
      <c r="W1" s="300"/>
      <c r="X1" s="298" t="s">
        <v>88</v>
      </c>
      <c r="Y1" s="299"/>
      <c r="Z1" s="300"/>
      <c r="AA1" s="326" t="s">
        <v>89</v>
      </c>
      <c r="AB1" s="327"/>
      <c r="AC1" s="328"/>
    </row>
    <row r="2" spans="1:29" ht="15" customHeight="1" thickBot="1" x14ac:dyDescent="0.35">
      <c r="A2" s="322"/>
      <c r="B2" s="68" t="s">
        <v>18</v>
      </c>
      <c r="C2" s="69" t="s">
        <v>19</v>
      </c>
      <c r="D2" s="69" t="s">
        <v>20</v>
      </c>
      <c r="E2" s="68" t="s">
        <v>18</v>
      </c>
      <c r="F2" s="69" t="s">
        <v>19</v>
      </c>
      <c r="G2" s="69" t="s">
        <v>20</v>
      </c>
      <c r="H2" s="66" t="s">
        <v>19</v>
      </c>
      <c r="I2" s="66" t="s">
        <v>19</v>
      </c>
      <c r="J2" s="66" t="s">
        <v>19</v>
      </c>
      <c r="K2" s="68" t="s">
        <v>21</v>
      </c>
      <c r="L2" s="69" t="s">
        <v>19</v>
      </c>
      <c r="M2" s="69" t="s">
        <v>22</v>
      </c>
      <c r="N2" s="66" t="s">
        <v>19</v>
      </c>
      <c r="O2" s="66" t="s">
        <v>19</v>
      </c>
      <c r="P2" s="66" t="s">
        <v>19</v>
      </c>
      <c r="Q2" s="68" t="s">
        <v>18</v>
      </c>
      <c r="R2" s="69" t="s">
        <v>19</v>
      </c>
      <c r="S2" s="69" t="s">
        <v>20</v>
      </c>
      <c r="T2" s="66" t="s">
        <v>19</v>
      </c>
      <c r="U2" s="68" t="s">
        <v>18</v>
      </c>
      <c r="V2" s="69" t="s">
        <v>19</v>
      </c>
      <c r="W2" s="69" t="s">
        <v>20</v>
      </c>
      <c r="X2" s="68" t="s">
        <v>18</v>
      </c>
      <c r="Y2" s="69" t="s">
        <v>19</v>
      </c>
      <c r="Z2" s="69" t="s">
        <v>20</v>
      </c>
      <c r="AA2" s="109" t="s">
        <v>21</v>
      </c>
      <c r="AB2" s="110" t="s">
        <v>19</v>
      </c>
      <c r="AC2" s="111" t="s">
        <v>22</v>
      </c>
    </row>
    <row r="3" spans="1:29" x14ac:dyDescent="0.3">
      <c r="A3" s="41">
        <v>2015</v>
      </c>
      <c r="B3" s="122"/>
      <c r="C3" s="125"/>
      <c r="D3" s="126"/>
      <c r="E3" s="122"/>
      <c r="F3" s="125"/>
      <c r="G3" s="126"/>
      <c r="H3" s="131"/>
      <c r="I3" s="131"/>
      <c r="J3" s="131"/>
      <c r="K3" s="122"/>
      <c r="L3" s="125"/>
      <c r="M3" s="126"/>
      <c r="N3" s="131"/>
      <c r="O3" s="131"/>
      <c r="P3" s="131"/>
      <c r="Q3" s="122"/>
      <c r="R3" s="125"/>
      <c r="S3" s="126"/>
      <c r="T3" s="131"/>
      <c r="U3" s="122"/>
      <c r="V3" s="125"/>
      <c r="W3" s="126"/>
      <c r="X3" s="122"/>
      <c r="Y3" s="125"/>
      <c r="Z3" s="126"/>
      <c r="AA3" s="122"/>
      <c r="AB3" s="125"/>
      <c r="AC3" s="126"/>
    </row>
    <row r="4" spans="1:29" x14ac:dyDescent="0.3">
      <c r="A4" s="41">
        <v>2016</v>
      </c>
      <c r="B4" s="123"/>
      <c r="C4" s="127"/>
      <c r="D4" s="128"/>
      <c r="E4" s="123"/>
      <c r="F4" s="127"/>
      <c r="G4" s="128"/>
      <c r="H4" s="132"/>
      <c r="I4" s="132"/>
      <c r="J4" s="132"/>
      <c r="K4" s="123"/>
      <c r="L4" s="127"/>
      <c r="M4" s="128"/>
      <c r="N4" s="132"/>
      <c r="O4" s="132"/>
      <c r="P4" s="132"/>
      <c r="Q4" s="123"/>
      <c r="R4" s="127"/>
      <c r="S4" s="128"/>
      <c r="T4" s="132"/>
      <c r="U4" s="123"/>
      <c r="V4" s="127"/>
      <c r="W4" s="128"/>
      <c r="X4" s="123"/>
      <c r="Y4" s="127"/>
      <c r="Z4" s="128"/>
      <c r="AA4" s="123">
        <v>2.5750000000000002</v>
      </c>
      <c r="AB4" s="127">
        <v>6.4375</v>
      </c>
      <c r="AC4" s="128">
        <v>10.3</v>
      </c>
    </row>
    <row r="5" spans="1:29" x14ac:dyDescent="0.3">
      <c r="A5" s="41">
        <v>2017</v>
      </c>
      <c r="B5" s="123"/>
      <c r="C5" s="127"/>
      <c r="D5" s="128"/>
      <c r="E5" s="123"/>
      <c r="F5" s="127"/>
      <c r="G5" s="128"/>
      <c r="H5" s="132"/>
      <c r="I5" s="132"/>
      <c r="J5" s="132"/>
      <c r="K5" s="123"/>
      <c r="L5" s="127"/>
      <c r="M5" s="128"/>
      <c r="N5" s="132"/>
      <c r="O5" s="132"/>
      <c r="P5" s="132"/>
      <c r="Q5" s="123"/>
      <c r="R5" s="127"/>
      <c r="S5" s="128"/>
      <c r="T5" s="132"/>
      <c r="U5" s="123"/>
      <c r="V5" s="127"/>
      <c r="W5" s="128"/>
      <c r="X5" s="123"/>
      <c r="Y5" s="127"/>
      <c r="Z5" s="128"/>
      <c r="AA5" s="123">
        <v>1.7509999999999999</v>
      </c>
      <c r="AB5" s="127">
        <v>5.4589999999999996</v>
      </c>
      <c r="AC5" s="128">
        <v>9.1669999999999998</v>
      </c>
    </row>
    <row r="6" spans="1:29" x14ac:dyDescent="0.3">
      <c r="A6" s="41">
        <v>2018</v>
      </c>
      <c r="B6" s="123"/>
      <c r="C6" s="127"/>
      <c r="D6" s="128"/>
      <c r="E6" s="123"/>
      <c r="F6" s="127"/>
      <c r="G6" s="128"/>
      <c r="H6" s="132"/>
      <c r="I6" s="132"/>
      <c r="J6" s="132"/>
      <c r="K6" s="123"/>
      <c r="L6" s="127"/>
      <c r="M6" s="128"/>
      <c r="N6" s="132"/>
      <c r="O6" s="132"/>
      <c r="P6" s="132"/>
      <c r="Q6" s="123"/>
      <c r="R6" s="127"/>
      <c r="S6" s="128"/>
      <c r="T6" s="132"/>
      <c r="U6" s="123"/>
      <c r="V6" s="127"/>
      <c r="W6" s="128"/>
      <c r="X6" s="123"/>
      <c r="Y6" s="127"/>
      <c r="Z6" s="128"/>
      <c r="AA6" s="123">
        <v>3.09</v>
      </c>
      <c r="AB6" s="127">
        <v>5.4074999999999998</v>
      </c>
      <c r="AC6" s="128">
        <v>7.7250000000000005</v>
      </c>
    </row>
    <row r="7" spans="1:29" x14ac:dyDescent="0.3">
      <c r="A7" s="41">
        <v>2019</v>
      </c>
      <c r="B7" s="123"/>
      <c r="C7" s="127"/>
      <c r="D7" s="128"/>
      <c r="E7" s="123"/>
      <c r="F7" s="127"/>
      <c r="G7" s="128"/>
      <c r="H7" s="132"/>
      <c r="I7" s="132"/>
      <c r="J7" s="132"/>
      <c r="K7" s="123"/>
      <c r="L7" s="127"/>
      <c r="M7" s="128"/>
      <c r="N7" s="132"/>
      <c r="O7" s="132"/>
      <c r="P7" s="132"/>
      <c r="Q7" s="123"/>
      <c r="R7" s="127"/>
      <c r="S7" s="128"/>
      <c r="T7" s="132">
        <v>4.8410000000000002</v>
      </c>
      <c r="U7" s="123"/>
      <c r="V7" s="127"/>
      <c r="W7" s="128"/>
      <c r="X7" s="123"/>
      <c r="Y7" s="127"/>
      <c r="Z7" s="128"/>
      <c r="AA7" s="123">
        <v>2.9045999999999998</v>
      </c>
      <c r="AB7" s="127">
        <v>4.9851999999999999</v>
      </c>
      <c r="AC7" s="128">
        <v>7.0658000000000003</v>
      </c>
    </row>
    <row r="8" spans="1:29" x14ac:dyDescent="0.3">
      <c r="A8" s="41">
        <v>2020</v>
      </c>
      <c r="B8" s="123"/>
      <c r="C8" s="127"/>
      <c r="D8" s="128"/>
      <c r="E8" s="123">
        <v>3.9401929</v>
      </c>
      <c r="F8" s="127">
        <v>4.53825725</v>
      </c>
      <c r="G8" s="128">
        <v>5.1363216000000005</v>
      </c>
      <c r="H8" s="132"/>
      <c r="I8" s="132">
        <v>3.7986369790398573</v>
      </c>
      <c r="J8" s="132">
        <v>8.8051891950715415</v>
      </c>
      <c r="K8" s="123">
        <v>2.2381236823808055</v>
      </c>
      <c r="L8" s="127">
        <v>4.3637524478801524</v>
      </c>
      <c r="M8" s="128">
        <v>6.4893812133795006</v>
      </c>
      <c r="N8" s="132">
        <v>3.4383794774343448</v>
      </c>
      <c r="O8" s="132">
        <v>3.1915326652962026</v>
      </c>
      <c r="P8" s="132">
        <v>4.7137950000000002</v>
      </c>
      <c r="Q8" s="123">
        <v>3.8308377999999998</v>
      </c>
      <c r="R8" s="127">
        <v>4.9600113500000003</v>
      </c>
      <c r="S8" s="128">
        <v>6.0891849000000002</v>
      </c>
      <c r="T8" s="132"/>
      <c r="U8" s="123">
        <v>3.4114939</v>
      </c>
      <c r="V8" s="127">
        <v>5.1315732999999994</v>
      </c>
      <c r="W8" s="128">
        <v>7.21</v>
      </c>
      <c r="X8" s="123">
        <v>2.6686373000000003</v>
      </c>
      <c r="Y8" s="127">
        <v>4.7910604499999998</v>
      </c>
      <c r="Z8" s="128">
        <v>6.9134836000000002</v>
      </c>
      <c r="AA8" s="123">
        <v>3.5019999999999998</v>
      </c>
      <c r="AB8" s="127">
        <v>5.15</v>
      </c>
      <c r="AC8" s="128">
        <v>6.798</v>
      </c>
    </row>
    <row r="9" spans="1:29" x14ac:dyDescent="0.3">
      <c r="A9" s="41">
        <v>2021</v>
      </c>
      <c r="B9" s="123">
        <v>1.5846153846153848</v>
      </c>
      <c r="C9" s="127">
        <v>2.1293269230769232</v>
      </c>
      <c r="D9" s="128">
        <v>2.6740384615384616</v>
      </c>
      <c r="E9" s="123"/>
      <c r="F9" s="127"/>
      <c r="G9" s="128"/>
      <c r="H9" s="132"/>
      <c r="I9" s="132"/>
      <c r="J9" s="132"/>
      <c r="K9" s="123"/>
      <c r="L9" s="127"/>
      <c r="M9" s="128"/>
      <c r="N9" s="132"/>
      <c r="O9" s="132"/>
      <c r="P9" s="132"/>
      <c r="Q9" s="123"/>
      <c r="R9" s="127"/>
      <c r="S9" s="128"/>
      <c r="T9" s="132"/>
      <c r="U9" s="123"/>
      <c r="V9" s="127"/>
      <c r="W9" s="128"/>
      <c r="X9" s="123">
        <v>2.5437910000000001</v>
      </c>
      <c r="Y9" s="127">
        <v>4.4789395500000007</v>
      </c>
      <c r="Z9" s="128">
        <v>6.4140880999999998</v>
      </c>
      <c r="AA9" s="123">
        <v>3.2754000000000003</v>
      </c>
      <c r="AB9" s="127">
        <v>4.5989500000000003</v>
      </c>
      <c r="AC9" s="128">
        <v>5.9225000000000003</v>
      </c>
    </row>
    <row r="10" spans="1:29" x14ac:dyDescent="0.3">
      <c r="A10" s="41">
        <v>2022</v>
      </c>
      <c r="B10" s="123"/>
      <c r="C10" s="127"/>
      <c r="D10" s="128"/>
      <c r="E10" s="123"/>
      <c r="F10" s="127"/>
      <c r="G10" s="128"/>
      <c r="H10" s="132"/>
      <c r="I10" s="132"/>
      <c r="J10" s="132"/>
      <c r="K10" s="123"/>
      <c r="L10" s="127"/>
      <c r="M10" s="128"/>
      <c r="N10" s="132"/>
      <c r="O10" s="132"/>
      <c r="P10" s="132"/>
      <c r="Q10" s="123"/>
      <c r="R10" s="127"/>
      <c r="S10" s="128"/>
      <c r="T10" s="132"/>
      <c r="U10" s="123"/>
      <c r="V10" s="127"/>
      <c r="W10" s="128"/>
      <c r="X10" s="123">
        <v>2.2940880999999997</v>
      </c>
      <c r="Y10" s="127">
        <v>4.1434067499999996</v>
      </c>
      <c r="Z10" s="128">
        <v>5.9927254000000003</v>
      </c>
      <c r="AA10" s="191">
        <v>3.1002999999999998</v>
      </c>
      <c r="AB10" s="192">
        <v>3.8727999999999998</v>
      </c>
      <c r="AC10" s="193">
        <v>4.6452999999999998</v>
      </c>
    </row>
    <row r="11" spans="1:29" x14ac:dyDescent="0.3">
      <c r="A11" s="41">
        <v>2023</v>
      </c>
      <c r="B11" s="123"/>
      <c r="C11" s="127"/>
      <c r="D11" s="128"/>
      <c r="E11" s="123"/>
      <c r="F11" s="127"/>
      <c r="G11" s="128"/>
      <c r="H11" s="132"/>
      <c r="I11" s="132"/>
      <c r="J11" s="132"/>
      <c r="K11" s="123"/>
      <c r="L11" s="127"/>
      <c r="M11" s="128"/>
      <c r="N11" s="132"/>
      <c r="O11" s="132"/>
      <c r="P11" s="132"/>
      <c r="Q11" s="123"/>
      <c r="R11" s="127"/>
      <c r="S11" s="128"/>
      <c r="T11" s="132"/>
      <c r="U11" s="123"/>
      <c r="V11" s="127"/>
      <c r="W11" s="128"/>
      <c r="X11" s="123">
        <v>2.2004508</v>
      </c>
      <c r="Y11" s="127">
        <v>3.8937090000000003</v>
      </c>
      <c r="Z11" s="128">
        <v>5.5869672000000001</v>
      </c>
      <c r="AA11" s="123"/>
      <c r="AB11" s="127"/>
      <c r="AC11" s="128"/>
    </row>
    <row r="12" spans="1:29" x14ac:dyDescent="0.3">
      <c r="A12" s="41">
        <v>2024</v>
      </c>
      <c r="B12" s="123"/>
      <c r="C12" s="127"/>
      <c r="D12" s="128"/>
      <c r="E12" s="123"/>
      <c r="F12" s="127"/>
      <c r="G12" s="128"/>
      <c r="H12" s="132"/>
      <c r="I12" s="132"/>
      <c r="J12" s="132"/>
      <c r="K12" s="123"/>
      <c r="L12" s="127"/>
      <c r="M12" s="128"/>
      <c r="N12" s="132"/>
      <c r="O12" s="132"/>
      <c r="P12" s="132"/>
      <c r="Q12" s="123"/>
      <c r="R12" s="127"/>
      <c r="S12" s="128"/>
      <c r="T12" s="132"/>
      <c r="U12" s="123"/>
      <c r="V12" s="127"/>
      <c r="W12" s="128"/>
      <c r="X12" s="123">
        <v>2.2004508</v>
      </c>
      <c r="Y12" s="127">
        <v>3.7064395499999998</v>
      </c>
      <c r="Z12" s="128">
        <v>5.2124283</v>
      </c>
      <c r="AA12" s="123"/>
      <c r="AB12" s="127"/>
      <c r="AC12" s="128"/>
    </row>
    <row r="13" spans="1:29" x14ac:dyDescent="0.3">
      <c r="A13" s="41">
        <v>2025</v>
      </c>
      <c r="B13" s="123"/>
      <c r="C13" s="127"/>
      <c r="D13" s="128"/>
      <c r="E13" s="123">
        <v>3.3069489000000001</v>
      </c>
      <c r="F13" s="127">
        <v>4.3506273000000002</v>
      </c>
      <c r="G13" s="128">
        <v>5.3943057000000003</v>
      </c>
      <c r="H13" s="132">
        <v>6.2301087996</v>
      </c>
      <c r="I13" s="132">
        <v>1.7426382507591314</v>
      </c>
      <c r="J13" s="132">
        <v>9.0608831995452892</v>
      </c>
      <c r="K13" s="123"/>
      <c r="L13" s="127"/>
      <c r="M13" s="128"/>
      <c r="N13" s="132"/>
      <c r="O13" s="132"/>
      <c r="P13" s="132"/>
      <c r="Q13" s="123"/>
      <c r="R13" s="127"/>
      <c r="S13" s="128"/>
      <c r="T13" s="132"/>
      <c r="U13" s="123"/>
      <c r="V13" s="127"/>
      <c r="W13" s="128"/>
      <c r="X13" s="123">
        <v>2.0443955000000003</v>
      </c>
      <c r="Y13" s="127">
        <v>3.4723514500000001</v>
      </c>
      <c r="Z13" s="128">
        <v>4.9003074</v>
      </c>
      <c r="AA13" s="123"/>
      <c r="AB13" s="127"/>
      <c r="AC13" s="128"/>
    </row>
    <row r="14" spans="1:29" x14ac:dyDescent="0.3">
      <c r="A14" s="41">
        <v>2026</v>
      </c>
      <c r="B14" s="123"/>
      <c r="C14" s="127"/>
      <c r="D14" s="128"/>
      <c r="E14" s="123"/>
      <c r="F14" s="127"/>
      <c r="G14" s="128"/>
      <c r="H14" s="132"/>
      <c r="I14" s="132"/>
      <c r="J14" s="132"/>
      <c r="K14" s="123"/>
      <c r="L14" s="127"/>
      <c r="M14" s="128"/>
      <c r="N14" s="132"/>
      <c r="O14" s="132"/>
      <c r="P14" s="132"/>
      <c r="Q14" s="123"/>
      <c r="R14" s="127"/>
      <c r="S14" s="128"/>
      <c r="T14" s="132"/>
      <c r="U14" s="123"/>
      <c r="V14" s="127"/>
      <c r="W14" s="128"/>
      <c r="X14" s="123">
        <v>1.9975717</v>
      </c>
      <c r="Y14" s="127">
        <v>3.2928791000000004</v>
      </c>
      <c r="Z14" s="128">
        <v>4.5881864999999999</v>
      </c>
      <c r="AA14" s="123"/>
      <c r="AB14" s="127"/>
      <c r="AC14" s="128"/>
    </row>
    <row r="15" spans="1:29" x14ac:dyDescent="0.3">
      <c r="A15" s="41">
        <v>2027</v>
      </c>
      <c r="B15" s="123"/>
      <c r="C15" s="127"/>
      <c r="D15" s="128"/>
      <c r="E15" s="123"/>
      <c r="F15" s="127"/>
      <c r="G15" s="128"/>
      <c r="H15" s="132"/>
      <c r="I15" s="132"/>
      <c r="J15" s="132"/>
      <c r="K15" s="123"/>
      <c r="L15" s="127"/>
      <c r="M15" s="128"/>
      <c r="N15" s="132"/>
      <c r="O15" s="132"/>
      <c r="P15" s="132"/>
      <c r="Q15" s="123"/>
      <c r="R15" s="127"/>
      <c r="S15" s="128"/>
      <c r="T15" s="132"/>
      <c r="U15" s="123"/>
      <c r="V15" s="127"/>
      <c r="W15" s="128"/>
      <c r="X15" s="123">
        <v>1.8727254</v>
      </c>
      <c r="Y15" s="127">
        <v>3.0665881000000001</v>
      </c>
      <c r="Z15" s="128">
        <v>4.2604508000000001</v>
      </c>
      <c r="AA15" s="123"/>
      <c r="AB15" s="127"/>
      <c r="AC15" s="128"/>
    </row>
    <row r="16" spans="1:29" x14ac:dyDescent="0.3">
      <c r="A16" s="41">
        <v>2028</v>
      </c>
      <c r="B16" s="123"/>
      <c r="C16" s="127"/>
      <c r="D16" s="128"/>
      <c r="E16" s="123"/>
      <c r="F16" s="127"/>
      <c r="G16" s="128"/>
      <c r="H16" s="132"/>
      <c r="I16" s="132"/>
      <c r="J16" s="132"/>
      <c r="K16" s="123"/>
      <c r="L16" s="127"/>
      <c r="M16" s="128"/>
      <c r="N16" s="132"/>
      <c r="O16" s="132"/>
      <c r="P16" s="132"/>
      <c r="Q16" s="123"/>
      <c r="R16" s="127"/>
      <c r="S16" s="128"/>
      <c r="T16" s="132"/>
      <c r="U16" s="123"/>
      <c r="V16" s="127"/>
      <c r="W16" s="128"/>
      <c r="X16" s="123">
        <v>1.8727254</v>
      </c>
      <c r="Y16" s="127">
        <v>2.9105276500000001</v>
      </c>
      <c r="Z16" s="128">
        <v>3.9483299000000001</v>
      </c>
      <c r="AA16" s="123"/>
      <c r="AB16" s="127"/>
      <c r="AC16" s="128"/>
    </row>
    <row r="17" spans="1:29" x14ac:dyDescent="0.3">
      <c r="A17" s="41">
        <v>2029</v>
      </c>
      <c r="B17" s="123"/>
      <c r="C17" s="127"/>
      <c r="D17" s="128"/>
      <c r="E17" s="123"/>
      <c r="F17" s="127"/>
      <c r="G17" s="128"/>
      <c r="H17" s="132"/>
      <c r="I17" s="132"/>
      <c r="J17" s="132"/>
      <c r="K17" s="123"/>
      <c r="L17" s="127"/>
      <c r="M17" s="128"/>
      <c r="N17" s="132"/>
      <c r="O17" s="132"/>
      <c r="P17" s="132"/>
      <c r="Q17" s="123"/>
      <c r="R17" s="127"/>
      <c r="S17" s="128"/>
      <c r="T17" s="132"/>
      <c r="U17" s="123"/>
      <c r="V17" s="127"/>
      <c r="W17" s="128"/>
      <c r="X17" s="123">
        <v>1.7478791000000002</v>
      </c>
      <c r="Y17" s="127">
        <v>2.6998462999999999</v>
      </c>
      <c r="Z17" s="128">
        <v>3.6518135000000003</v>
      </c>
      <c r="AA17" s="123"/>
      <c r="AB17" s="127"/>
      <c r="AC17" s="128"/>
    </row>
    <row r="18" spans="1:29" x14ac:dyDescent="0.3">
      <c r="A18" s="41">
        <v>2030</v>
      </c>
      <c r="B18" s="123">
        <v>0.99038461538461531</v>
      </c>
      <c r="C18" s="127">
        <v>1.3865384615384617</v>
      </c>
      <c r="D18" s="128">
        <v>1.7826923076923078</v>
      </c>
      <c r="E18" s="123">
        <v>2.6150669999999998</v>
      </c>
      <c r="F18" s="127">
        <v>3.6528847</v>
      </c>
      <c r="G18" s="128">
        <v>4.6907024000000002</v>
      </c>
      <c r="H18" s="132">
        <v>5.1041912876600009</v>
      </c>
      <c r="I18" s="132">
        <v>1.1647040352020455</v>
      </c>
      <c r="J18" s="132">
        <v>9.0703209823488304</v>
      </c>
      <c r="K18" s="123">
        <v>1.9482770728285987</v>
      </c>
      <c r="L18" s="127">
        <v>3.4927183321983857</v>
      </c>
      <c r="M18" s="128">
        <v>5.0371595915681722</v>
      </c>
      <c r="N18" s="132">
        <v>2.6356286310841552</v>
      </c>
      <c r="O18" s="132">
        <v>2.5228167527482812</v>
      </c>
      <c r="P18" s="132">
        <v>2.3294891999999998</v>
      </c>
      <c r="Q18" s="123">
        <v>1.7063082999999999</v>
      </c>
      <c r="R18" s="127">
        <v>2.6681995500000002</v>
      </c>
      <c r="S18" s="128">
        <v>3.6300908000000001</v>
      </c>
      <c r="T18" s="132">
        <v>2.0291000000000001</v>
      </c>
      <c r="U18" s="123">
        <v>1.7344170000000001</v>
      </c>
      <c r="V18" s="127">
        <v>2.4081090999999999</v>
      </c>
      <c r="W18" s="128">
        <v>7.1096574000000006</v>
      </c>
      <c r="X18" s="123">
        <v>1.6230328000000001</v>
      </c>
      <c r="Y18" s="127">
        <v>2.4657582000000002</v>
      </c>
      <c r="Z18" s="128">
        <v>3.3084836000000002</v>
      </c>
      <c r="AA18" s="123"/>
      <c r="AB18" s="127"/>
      <c r="AC18" s="128"/>
    </row>
    <row r="19" spans="1:29" x14ac:dyDescent="0.3">
      <c r="A19" s="41">
        <v>2031</v>
      </c>
      <c r="B19" s="123"/>
      <c r="C19" s="127"/>
      <c r="D19" s="128"/>
      <c r="E19" s="123"/>
      <c r="F19" s="127"/>
      <c r="G19" s="128"/>
      <c r="H19" s="132"/>
      <c r="I19" s="132"/>
      <c r="J19" s="132"/>
      <c r="K19" s="123"/>
      <c r="L19" s="127"/>
      <c r="M19" s="128"/>
      <c r="N19" s="132"/>
      <c r="O19" s="132"/>
      <c r="P19" s="132"/>
      <c r="Q19" s="123"/>
      <c r="R19" s="127"/>
      <c r="S19" s="128"/>
      <c r="T19" s="132"/>
      <c r="U19" s="123"/>
      <c r="V19" s="127"/>
      <c r="W19" s="128"/>
      <c r="X19" s="123">
        <v>1.6386373000000001</v>
      </c>
      <c r="Y19" s="127">
        <v>2.4501537</v>
      </c>
      <c r="Z19" s="128">
        <v>3.2616700999999999</v>
      </c>
      <c r="AA19" s="123"/>
      <c r="AB19" s="127"/>
      <c r="AC19" s="128"/>
    </row>
    <row r="20" spans="1:29" x14ac:dyDescent="0.3">
      <c r="A20" s="41">
        <v>2032</v>
      </c>
      <c r="B20" s="123"/>
      <c r="C20" s="127"/>
      <c r="D20" s="128"/>
      <c r="E20" s="123"/>
      <c r="F20" s="127"/>
      <c r="G20" s="128"/>
      <c r="H20" s="132"/>
      <c r="I20" s="132"/>
      <c r="J20" s="132"/>
      <c r="K20" s="123"/>
      <c r="L20" s="127"/>
      <c r="M20" s="128"/>
      <c r="N20" s="132"/>
      <c r="O20" s="132"/>
      <c r="P20" s="132"/>
      <c r="Q20" s="123"/>
      <c r="R20" s="127"/>
      <c r="S20" s="128"/>
      <c r="T20" s="132"/>
      <c r="U20" s="123"/>
      <c r="V20" s="127"/>
      <c r="W20" s="128"/>
      <c r="X20" s="123">
        <v>1.576209</v>
      </c>
      <c r="Y20" s="127">
        <v>2.36431865</v>
      </c>
      <c r="Z20" s="128">
        <v>3.1524283</v>
      </c>
      <c r="AA20" s="123"/>
      <c r="AB20" s="127"/>
      <c r="AC20" s="128"/>
    </row>
    <row r="21" spans="1:29" x14ac:dyDescent="0.3">
      <c r="A21" s="41">
        <v>2033</v>
      </c>
      <c r="B21" s="123"/>
      <c r="C21" s="127"/>
      <c r="D21" s="128"/>
      <c r="E21" s="123"/>
      <c r="F21" s="127"/>
      <c r="G21" s="128"/>
      <c r="H21" s="132"/>
      <c r="I21" s="132"/>
      <c r="J21" s="132"/>
      <c r="K21" s="123"/>
      <c r="L21" s="127"/>
      <c r="M21" s="128"/>
      <c r="N21" s="132"/>
      <c r="O21" s="132"/>
      <c r="P21" s="132"/>
      <c r="Q21" s="123"/>
      <c r="R21" s="127"/>
      <c r="S21" s="128"/>
      <c r="T21" s="132"/>
      <c r="U21" s="123"/>
      <c r="V21" s="127"/>
      <c r="W21" s="128"/>
      <c r="X21" s="123">
        <v>1.5449999999999999</v>
      </c>
      <c r="Y21" s="127">
        <v>2.3096977499999998</v>
      </c>
      <c r="Z21" s="128">
        <v>3.0743955000000001</v>
      </c>
      <c r="AA21" s="123"/>
      <c r="AB21" s="127"/>
      <c r="AC21" s="128"/>
    </row>
    <row r="22" spans="1:29" x14ac:dyDescent="0.3">
      <c r="A22" s="41">
        <v>2034</v>
      </c>
      <c r="B22" s="123"/>
      <c r="C22" s="127"/>
      <c r="D22" s="128"/>
      <c r="E22" s="123"/>
      <c r="F22" s="127"/>
      <c r="G22" s="128"/>
      <c r="H22" s="132"/>
      <c r="I22" s="132"/>
      <c r="J22" s="132"/>
      <c r="K22" s="123"/>
      <c r="L22" s="127"/>
      <c r="M22" s="128"/>
      <c r="N22" s="132"/>
      <c r="O22" s="132"/>
      <c r="P22" s="132"/>
      <c r="Q22" s="123"/>
      <c r="R22" s="127"/>
      <c r="S22" s="128"/>
      <c r="T22" s="132"/>
      <c r="U22" s="123"/>
      <c r="V22" s="127"/>
      <c r="W22" s="128"/>
      <c r="X22" s="123">
        <v>1.4825717</v>
      </c>
      <c r="Y22" s="127">
        <v>2.2472694500000006</v>
      </c>
      <c r="Z22" s="128">
        <v>3.0119672000000004</v>
      </c>
      <c r="AA22" s="123"/>
      <c r="AB22" s="127"/>
      <c r="AC22" s="128"/>
    </row>
    <row r="23" spans="1:29" x14ac:dyDescent="0.3">
      <c r="A23" s="41">
        <v>2035</v>
      </c>
      <c r="B23" s="123"/>
      <c r="C23" s="127"/>
      <c r="D23" s="128"/>
      <c r="E23" s="123">
        <v>2.063914</v>
      </c>
      <c r="F23" s="127">
        <v>3.18967825</v>
      </c>
      <c r="G23" s="128">
        <v>4.3154425000000005</v>
      </c>
      <c r="H23" s="132">
        <v>4.6701890847999996</v>
      </c>
      <c r="I23" s="132"/>
      <c r="J23" s="132">
        <v>8.9945565592870604</v>
      </c>
      <c r="K23" s="123"/>
      <c r="L23" s="127"/>
      <c r="M23" s="128"/>
      <c r="N23" s="132"/>
      <c r="O23" s="132"/>
      <c r="P23" s="132"/>
      <c r="Q23" s="123"/>
      <c r="R23" s="127"/>
      <c r="S23" s="128"/>
      <c r="T23" s="132"/>
      <c r="U23" s="123"/>
      <c r="V23" s="127"/>
      <c r="W23" s="128"/>
      <c r="X23" s="123">
        <v>1.4513627</v>
      </c>
      <c r="Y23" s="127">
        <v>2.1926485499999999</v>
      </c>
      <c r="Z23" s="128">
        <v>2.9339344000000001</v>
      </c>
      <c r="AA23" s="123"/>
      <c r="AB23" s="127"/>
      <c r="AC23" s="128"/>
    </row>
    <row r="24" spans="1:29" x14ac:dyDescent="0.3">
      <c r="A24" s="41">
        <v>2036</v>
      </c>
      <c r="B24" s="123"/>
      <c r="C24" s="127"/>
      <c r="D24" s="128"/>
      <c r="E24" s="123"/>
      <c r="F24" s="127"/>
      <c r="G24" s="128"/>
      <c r="H24" s="132"/>
      <c r="I24" s="132"/>
      <c r="J24" s="132"/>
      <c r="K24" s="123"/>
      <c r="L24" s="127"/>
      <c r="M24" s="128"/>
      <c r="N24" s="132"/>
      <c r="O24" s="132"/>
      <c r="P24" s="132"/>
      <c r="Q24" s="123"/>
      <c r="R24" s="127"/>
      <c r="S24" s="128"/>
      <c r="T24" s="132"/>
      <c r="U24" s="123"/>
      <c r="V24" s="127"/>
      <c r="W24" s="128"/>
      <c r="X24" s="123">
        <v>1.4201537</v>
      </c>
      <c r="Y24" s="127">
        <v>2.1458350500000001</v>
      </c>
      <c r="Z24" s="128">
        <v>2.8715164</v>
      </c>
      <c r="AA24" s="123"/>
      <c r="AB24" s="127"/>
      <c r="AC24" s="128"/>
    </row>
    <row r="25" spans="1:29" x14ac:dyDescent="0.3">
      <c r="A25" s="41">
        <v>2037</v>
      </c>
      <c r="B25" s="123"/>
      <c r="C25" s="127"/>
      <c r="D25" s="128"/>
      <c r="E25" s="123"/>
      <c r="F25" s="127"/>
      <c r="G25" s="128"/>
      <c r="H25" s="132"/>
      <c r="I25" s="132"/>
      <c r="J25" s="132"/>
      <c r="K25" s="123"/>
      <c r="L25" s="127"/>
      <c r="M25" s="128"/>
      <c r="N25" s="132"/>
      <c r="O25" s="132"/>
      <c r="P25" s="132"/>
      <c r="Q25" s="123"/>
      <c r="R25" s="127"/>
      <c r="S25" s="128"/>
      <c r="T25" s="132"/>
      <c r="U25" s="123"/>
      <c r="V25" s="127"/>
      <c r="W25" s="128"/>
      <c r="X25" s="123">
        <v>1.4201537</v>
      </c>
      <c r="Y25" s="127">
        <v>2.1146208999999998</v>
      </c>
      <c r="Z25" s="128">
        <v>2.8090880999999999</v>
      </c>
      <c r="AA25" s="123"/>
      <c r="AB25" s="127"/>
      <c r="AC25" s="128"/>
    </row>
    <row r="26" spans="1:29" x14ac:dyDescent="0.3">
      <c r="A26" s="41">
        <v>2038</v>
      </c>
      <c r="B26" s="123"/>
      <c r="C26" s="127"/>
      <c r="D26" s="128"/>
      <c r="E26" s="123"/>
      <c r="F26" s="127"/>
      <c r="G26" s="128"/>
      <c r="H26" s="132"/>
      <c r="I26" s="132"/>
      <c r="J26" s="132"/>
      <c r="K26" s="123"/>
      <c r="L26" s="127"/>
      <c r="M26" s="128"/>
      <c r="N26" s="132"/>
      <c r="O26" s="132"/>
      <c r="P26" s="132"/>
      <c r="Q26" s="123"/>
      <c r="R26" s="127"/>
      <c r="S26" s="128"/>
      <c r="T26" s="132"/>
      <c r="U26" s="123"/>
      <c r="V26" s="127"/>
      <c r="W26" s="128"/>
      <c r="X26" s="123">
        <v>1.3733298999999999</v>
      </c>
      <c r="Y26" s="127">
        <v>2.0521977499999999</v>
      </c>
      <c r="Z26" s="128">
        <v>2.7310656</v>
      </c>
      <c r="AA26" s="123"/>
      <c r="AB26" s="127"/>
      <c r="AC26" s="128"/>
    </row>
    <row r="27" spans="1:29" x14ac:dyDescent="0.3">
      <c r="A27" s="41">
        <v>2039</v>
      </c>
      <c r="B27" s="123"/>
      <c r="C27" s="127"/>
      <c r="D27" s="128"/>
      <c r="E27" s="123"/>
      <c r="F27" s="127"/>
      <c r="G27" s="128"/>
      <c r="H27" s="132"/>
      <c r="I27" s="132"/>
      <c r="J27" s="132"/>
      <c r="K27" s="123"/>
      <c r="L27" s="127"/>
      <c r="M27" s="128"/>
      <c r="N27" s="132"/>
      <c r="O27" s="132"/>
      <c r="P27" s="132"/>
      <c r="Q27" s="123"/>
      <c r="R27" s="127"/>
      <c r="S27" s="128"/>
      <c r="T27" s="132"/>
      <c r="U27" s="123"/>
      <c r="V27" s="127"/>
      <c r="W27" s="128"/>
      <c r="X27" s="123">
        <v>1.2953074</v>
      </c>
      <c r="Y27" s="127">
        <v>1.9741700999999998</v>
      </c>
      <c r="Z27" s="128">
        <v>2.6530328000000001</v>
      </c>
      <c r="AA27" s="123"/>
      <c r="AB27" s="127"/>
      <c r="AC27" s="128"/>
    </row>
    <row r="28" spans="1:29" x14ac:dyDescent="0.3">
      <c r="A28" s="41">
        <v>2040</v>
      </c>
      <c r="B28" s="123"/>
      <c r="C28" s="127"/>
      <c r="D28" s="128"/>
      <c r="E28" s="123">
        <v>1.7238286000000003</v>
      </c>
      <c r="F28" s="127">
        <v>2.8495979999999999</v>
      </c>
      <c r="G28" s="128">
        <v>3.9753674000000001</v>
      </c>
      <c r="H28" s="132">
        <v>4.3180108915200002</v>
      </c>
      <c r="I28" s="132"/>
      <c r="J28" s="132">
        <v>8.7673506769795608</v>
      </c>
      <c r="K28" s="123">
        <v>1.7494167958953097</v>
      </c>
      <c r="L28" s="127">
        <v>3.0287974859411846</v>
      </c>
      <c r="M28" s="128">
        <v>4.3081781759870594</v>
      </c>
      <c r="N28" s="132">
        <v>2.2478386316648233</v>
      </c>
      <c r="O28" s="132">
        <v>2.2776477477960388</v>
      </c>
      <c r="P28" s="132"/>
      <c r="Q28" s="123"/>
      <c r="R28" s="127"/>
      <c r="S28" s="128"/>
      <c r="T28" s="132"/>
      <c r="U28" s="123"/>
      <c r="V28" s="127"/>
      <c r="W28" s="128"/>
      <c r="X28" s="123">
        <v>1.2640881000000002</v>
      </c>
      <c r="Y28" s="127">
        <v>1.9195440500000001</v>
      </c>
      <c r="Z28" s="128">
        <v>2.5750000000000002</v>
      </c>
      <c r="AA28" s="123"/>
      <c r="AB28" s="127"/>
      <c r="AC28" s="128"/>
    </row>
    <row r="29" spans="1:29" x14ac:dyDescent="0.3">
      <c r="A29" s="41">
        <v>2041</v>
      </c>
      <c r="B29" s="123"/>
      <c r="C29" s="127"/>
      <c r="D29" s="128"/>
      <c r="E29" s="123"/>
      <c r="F29" s="127"/>
      <c r="G29" s="128"/>
      <c r="H29" s="132"/>
      <c r="I29" s="132"/>
      <c r="J29" s="132"/>
      <c r="K29" s="123"/>
      <c r="L29" s="127"/>
      <c r="M29" s="128"/>
      <c r="N29" s="132"/>
      <c r="O29" s="132"/>
      <c r="P29" s="132"/>
      <c r="Q29" s="123"/>
      <c r="R29" s="127"/>
      <c r="S29" s="128"/>
      <c r="T29" s="132"/>
      <c r="U29" s="123"/>
      <c r="V29" s="127"/>
      <c r="W29" s="128"/>
      <c r="X29" s="123">
        <v>1.1860656000000001</v>
      </c>
      <c r="Y29" s="127">
        <v>1.8649283000000001</v>
      </c>
      <c r="Z29" s="128">
        <v>2.5437910000000001</v>
      </c>
      <c r="AA29" s="123"/>
      <c r="AB29" s="127"/>
      <c r="AC29" s="128"/>
    </row>
    <row r="30" spans="1:29" x14ac:dyDescent="0.3">
      <c r="A30" s="41">
        <v>2042</v>
      </c>
      <c r="B30" s="123"/>
      <c r="C30" s="127"/>
      <c r="D30" s="128"/>
      <c r="E30" s="123"/>
      <c r="F30" s="127"/>
      <c r="G30" s="128"/>
      <c r="H30" s="132"/>
      <c r="I30" s="132"/>
      <c r="J30" s="132"/>
      <c r="K30" s="123"/>
      <c r="L30" s="127"/>
      <c r="M30" s="128"/>
      <c r="N30" s="132"/>
      <c r="O30" s="132"/>
      <c r="P30" s="132"/>
      <c r="Q30" s="123"/>
      <c r="R30" s="127"/>
      <c r="S30" s="128"/>
      <c r="T30" s="132"/>
      <c r="U30" s="123"/>
      <c r="V30" s="127"/>
      <c r="W30" s="128"/>
      <c r="X30" s="123">
        <v>1.2172746000000001</v>
      </c>
      <c r="Y30" s="127">
        <v>1.8493186500000001</v>
      </c>
      <c r="Z30" s="128">
        <v>2.4813627</v>
      </c>
      <c r="AA30" s="123"/>
      <c r="AB30" s="127"/>
      <c r="AC30" s="128"/>
    </row>
    <row r="31" spans="1:29" x14ac:dyDescent="0.3">
      <c r="A31" s="41">
        <v>2043</v>
      </c>
      <c r="B31" s="123"/>
      <c r="C31" s="127"/>
      <c r="D31" s="128"/>
      <c r="E31" s="123"/>
      <c r="F31" s="127"/>
      <c r="G31" s="128"/>
      <c r="H31" s="132"/>
      <c r="I31" s="132"/>
      <c r="J31" s="132"/>
      <c r="K31" s="123"/>
      <c r="L31" s="127"/>
      <c r="M31" s="128"/>
      <c r="N31" s="132"/>
      <c r="O31" s="132"/>
      <c r="P31" s="132"/>
      <c r="Q31" s="123"/>
      <c r="R31" s="127"/>
      <c r="S31" s="128"/>
      <c r="T31" s="132"/>
      <c r="U31" s="123"/>
      <c r="V31" s="127"/>
      <c r="W31" s="128"/>
      <c r="X31" s="123">
        <v>1.1704508</v>
      </c>
      <c r="Y31" s="127">
        <v>1.7946926000000001</v>
      </c>
      <c r="Z31" s="128">
        <v>2.4189343999999999</v>
      </c>
      <c r="AA31" s="123"/>
      <c r="AB31" s="127"/>
      <c r="AC31" s="128"/>
    </row>
    <row r="32" spans="1:29" x14ac:dyDescent="0.3">
      <c r="A32" s="41">
        <v>2044</v>
      </c>
      <c r="B32" s="123"/>
      <c r="C32" s="127"/>
      <c r="D32" s="128"/>
      <c r="E32" s="123"/>
      <c r="F32" s="127"/>
      <c r="G32" s="128"/>
      <c r="H32" s="132"/>
      <c r="I32" s="132"/>
      <c r="J32" s="132"/>
      <c r="K32" s="123"/>
      <c r="L32" s="127"/>
      <c r="M32" s="128"/>
      <c r="N32" s="132"/>
      <c r="O32" s="132"/>
      <c r="P32" s="132"/>
      <c r="Q32" s="123"/>
      <c r="R32" s="127"/>
      <c r="S32" s="128"/>
      <c r="T32" s="132"/>
      <c r="U32" s="123"/>
      <c r="V32" s="127"/>
      <c r="W32" s="128"/>
      <c r="X32" s="123">
        <v>1.1548463</v>
      </c>
      <c r="Y32" s="127">
        <v>1.7556813499999999</v>
      </c>
      <c r="Z32" s="128">
        <v>2.3565163999999998</v>
      </c>
      <c r="AA32" s="123"/>
      <c r="AB32" s="127"/>
      <c r="AC32" s="128"/>
    </row>
    <row r="33" spans="1:29" x14ac:dyDescent="0.3">
      <c r="A33" s="41">
        <v>2045</v>
      </c>
      <c r="B33" s="123"/>
      <c r="C33" s="127"/>
      <c r="D33" s="128"/>
      <c r="E33" s="123">
        <v>1.5010293000000001</v>
      </c>
      <c r="F33" s="127">
        <v>2.5857532000000001</v>
      </c>
      <c r="G33" s="128">
        <v>3.6704770999999998</v>
      </c>
      <c r="H33" s="132">
        <v>4.2926502335799999</v>
      </c>
      <c r="I33" s="132"/>
      <c r="J33" s="132">
        <v>8.4833083693440621</v>
      </c>
      <c r="K33" s="123"/>
      <c r="L33" s="127"/>
      <c r="M33" s="128"/>
      <c r="N33" s="132"/>
      <c r="O33" s="132"/>
      <c r="P33" s="132"/>
      <c r="Q33" s="123"/>
      <c r="R33" s="127"/>
      <c r="S33" s="128"/>
      <c r="T33" s="132"/>
      <c r="U33" s="123"/>
      <c r="V33" s="127"/>
      <c r="W33" s="128"/>
      <c r="X33" s="123">
        <v>1.1080328000000002</v>
      </c>
      <c r="Y33" s="127">
        <v>1.6932582000000003</v>
      </c>
      <c r="Z33" s="128">
        <v>2.2784835999999999</v>
      </c>
      <c r="AA33" s="123"/>
      <c r="AB33" s="127"/>
      <c r="AC33" s="128"/>
    </row>
    <row r="34" spans="1:29" x14ac:dyDescent="0.3">
      <c r="A34" s="41">
        <v>2046</v>
      </c>
      <c r="B34" s="123"/>
      <c r="C34" s="127"/>
      <c r="D34" s="128"/>
      <c r="E34" s="123"/>
      <c r="F34" s="127"/>
      <c r="G34" s="128"/>
      <c r="H34" s="132"/>
      <c r="I34" s="132"/>
      <c r="J34" s="132"/>
      <c r="K34" s="123"/>
      <c r="L34" s="127"/>
      <c r="M34" s="128"/>
      <c r="N34" s="132"/>
      <c r="O34" s="132"/>
      <c r="P34" s="132"/>
      <c r="Q34" s="123"/>
      <c r="R34" s="127"/>
      <c r="S34" s="128"/>
      <c r="T34" s="132"/>
      <c r="U34" s="123"/>
      <c r="V34" s="127"/>
      <c r="W34" s="128"/>
      <c r="X34" s="123">
        <v>1.0612090000000001</v>
      </c>
      <c r="Y34" s="127">
        <v>1.6386373000000001</v>
      </c>
      <c r="Z34" s="128">
        <v>2.2160656000000003</v>
      </c>
      <c r="AA34" s="123"/>
      <c r="AB34" s="127"/>
      <c r="AC34" s="128"/>
    </row>
    <row r="35" spans="1:29" x14ac:dyDescent="0.3">
      <c r="A35" s="41">
        <v>2047</v>
      </c>
      <c r="B35" s="123"/>
      <c r="C35" s="127"/>
      <c r="D35" s="128"/>
      <c r="E35" s="123"/>
      <c r="F35" s="127"/>
      <c r="G35" s="128"/>
      <c r="H35" s="132"/>
      <c r="I35" s="132"/>
      <c r="J35" s="132"/>
      <c r="K35" s="123"/>
      <c r="L35" s="127"/>
      <c r="M35" s="128"/>
      <c r="N35" s="132"/>
      <c r="O35" s="132"/>
      <c r="P35" s="132"/>
      <c r="Q35" s="123"/>
      <c r="R35" s="127"/>
      <c r="S35" s="128"/>
      <c r="T35" s="132"/>
      <c r="U35" s="123"/>
      <c r="V35" s="127"/>
      <c r="W35" s="128"/>
      <c r="X35" s="123">
        <v>0.98318134999999995</v>
      </c>
      <c r="Y35" s="127">
        <v>1.5762115749999999</v>
      </c>
      <c r="Z35" s="128">
        <v>2.1692418</v>
      </c>
      <c r="AA35" s="123"/>
      <c r="AB35" s="127"/>
      <c r="AC35" s="128"/>
    </row>
    <row r="36" spans="1:29" x14ac:dyDescent="0.3">
      <c r="A36" s="41">
        <v>2048</v>
      </c>
      <c r="B36" s="123"/>
      <c r="C36" s="127"/>
      <c r="D36" s="128"/>
      <c r="E36" s="123"/>
      <c r="F36" s="127"/>
      <c r="G36" s="128"/>
      <c r="H36" s="132"/>
      <c r="I36" s="132"/>
      <c r="J36" s="132"/>
      <c r="K36" s="123"/>
      <c r="L36" s="127"/>
      <c r="M36" s="128"/>
      <c r="N36" s="132"/>
      <c r="O36" s="132"/>
      <c r="P36" s="132"/>
      <c r="Q36" s="123"/>
      <c r="R36" s="127"/>
      <c r="S36" s="128"/>
      <c r="T36" s="132"/>
      <c r="U36" s="123"/>
      <c r="V36" s="127"/>
      <c r="W36" s="128"/>
      <c r="X36" s="123">
        <v>0.93636373000000006</v>
      </c>
      <c r="Y36" s="127">
        <v>1.5215886150000002</v>
      </c>
      <c r="Z36" s="128">
        <v>2.1068135000000003</v>
      </c>
      <c r="AA36" s="123"/>
      <c r="AB36" s="127"/>
      <c r="AC36" s="128"/>
    </row>
    <row r="37" spans="1:29" x14ac:dyDescent="0.3">
      <c r="A37" s="41">
        <v>2049</v>
      </c>
      <c r="B37" s="123"/>
      <c r="C37" s="127"/>
      <c r="D37" s="128"/>
      <c r="E37" s="123"/>
      <c r="F37" s="127"/>
      <c r="G37" s="128"/>
      <c r="H37" s="132"/>
      <c r="I37" s="132"/>
      <c r="J37" s="132"/>
      <c r="K37" s="123"/>
      <c r="L37" s="127"/>
      <c r="M37" s="128"/>
      <c r="N37" s="132"/>
      <c r="O37" s="132"/>
      <c r="P37" s="132"/>
      <c r="Q37" s="123"/>
      <c r="R37" s="127"/>
      <c r="S37" s="128"/>
      <c r="T37" s="132"/>
      <c r="U37" s="123"/>
      <c r="V37" s="127"/>
      <c r="W37" s="128"/>
      <c r="X37" s="123">
        <v>0.98318134999999995</v>
      </c>
      <c r="Y37" s="127">
        <v>1.5137884250000002</v>
      </c>
      <c r="Z37" s="128">
        <v>2.0443955000000003</v>
      </c>
      <c r="AA37" s="123"/>
      <c r="AB37" s="127"/>
      <c r="AC37" s="128"/>
    </row>
    <row r="38" spans="1:29" ht="15" thickBot="1" x14ac:dyDescent="0.35">
      <c r="A38" s="42">
        <v>2050</v>
      </c>
      <c r="B38" s="124">
        <v>0.49519230769230765</v>
      </c>
      <c r="C38" s="129">
        <v>0.69326923076923086</v>
      </c>
      <c r="D38" s="130">
        <v>0.8913461538461539</v>
      </c>
      <c r="E38" s="124">
        <v>1.3603004000000001</v>
      </c>
      <c r="F38" s="129">
        <v>2.3570777500000002</v>
      </c>
      <c r="G38" s="130">
        <v>3.3538551000000001</v>
      </c>
      <c r="H38" s="133">
        <v>4.2510204743199997</v>
      </c>
      <c r="I38" s="133">
        <v>0.73592212245002597</v>
      </c>
      <c r="J38" s="133">
        <v>8.237139534551666</v>
      </c>
      <c r="K38" s="124">
        <v>1.5989401204736142</v>
      </c>
      <c r="L38" s="129">
        <v>2.6772545417105107</v>
      </c>
      <c r="M38" s="130">
        <v>3.7555689629474078</v>
      </c>
      <c r="N38" s="133">
        <v>1.9599446005862289</v>
      </c>
      <c r="O38" s="133">
        <v>2.1409662754216781</v>
      </c>
      <c r="P38" s="133">
        <v>1.2743675000000001</v>
      </c>
      <c r="Q38" s="124">
        <v>0.82400000000000007</v>
      </c>
      <c r="R38" s="129">
        <v>1.4728999999999999</v>
      </c>
      <c r="S38" s="130">
        <v>2.472</v>
      </c>
      <c r="T38" s="133">
        <v>1.1330000000000002</v>
      </c>
      <c r="U38" s="124">
        <v>1.3760593999999999</v>
      </c>
      <c r="V38" s="129">
        <v>2.0640993999999999</v>
      </c>
      <c r="W38" s="130">
        <v>6.1779503</v>
      </c>
      <c r="X38" s="124">
        <v>0.93636373000000006</v>
      </c>
      <c r="Y38" s="129">
        <v>1.451363215</v>
      </c>
      <c r="Z38" s="130">
        <v>1.9663626999999999</v>
      </c>
      <c r="AA38" s="124"/>
      <c r="AB38" s="129"/>
      <c r="AC38" s="130"/>
    </row>
    <row r="39" spans="1:29" ht="15" thickBot="1" x14ac:dyDescent="0.35">
      <c r="B39"/>
      <c r="C39"/>
      <c r="D39"/>
    </row>
    <row r="40" spans="1:29" ht="15" thickBot="1" x14ac:dyDescent="0.35">
      <c r="A40"/>
      <c r="B40" s="108" t="s">
        <v>100</v>
      </c>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spans="1:29" s="104" customFormat="1" ht="33.6" customHeight="1" thickBot="1" x14ac:dyDescent="0.35">
      <c r="A41" s="101"/>
      <c r="B41" s="329" t="s">
        <v>91</v>
      </c>
      <c r="C41" s="330"/>
      <c r="D41" s="331"/>
      <c r="E41" s="329" t="s">
        <v>92</v>
      </c>
      <c r="F41" s="330"/>
      <c r="G41" s="331"/>
      <c r="H41" s="103" t="s">
        <v>59</v>
      </c>
      <c r="I41" s="102" t="s">
        <v>91</v>
      </c>
      <c r="J41" s="102" t="s">
        <v>93</v>
      </c>
      <c r="K41" s="329" t="s">
        <v>94</v>
      </c>
      <c r="L41" s="330"/>
      <c r="M41" s="331"/>
      <c r="N41" s="103" t="s">
        <v>91</v>
      </c>
      <c r="O41" s="103" t="s">
        <v>95</v>
      </c>
      <c r="P41" s="103" t="s">
        <v>91</v>
      </c>
      <c r="Q41" s="329" t="s">
        <v>96</v>
      </c>
      <c r="R41" s="330"/>
      <c r="S41" s="331"/>
      <c r="T41" s="103" t="s">
        <v>97</v>
      </c>
      <c r="U41" s="329" t="s">
        <v>97</v>
      </c>
      <c r="V41" s="330"/>
      <c r="W41" s="331"/>
      <c r="X41" s="329" t="s">
        <v>97</v>
      </c>
      <c r="Y41" s="330"/>
      <c r="Z41" s="331"/>
      <c r="AA41" s="101"/>
      <c r="AB41" s="101"/>
      <c r="AC41" s="101"/>
    </row>
    <row r="42" spans="1:29" x14ac:dyDescent="0.3">
      <c r="B42"/>
      <c r="C42"/>
      <c r="D42"/>
      <c r="K42"/>
      <c r="L42"/>
      <c r="M42"/>
      <c r="N42"/>
      <c r="O42"/>
      <c r="AA42"/>
      <c r="AB42"/>
      <c r="AC42"/>
    </row>
    <row r="43" spans="1:29" ht="15.6" x14ac:dyDescent="0.35">
      <c r="A43" s="36" t="s">
        <v>261</v>
      </c>
      <c r="B43"/>
      <c r="C43"/>
      <c r="D43"/>
      <c r="L43"/>
    </row>
    <row r="44" spans="1:29" x14ac:dyDescent="0.3">
      <c r="A44" s="36" t="s">
        <v>60</v>
      </c>
      <c r="D44"/>
      <c r="L44"/>
    </row>
    <row r="45" spans="1:29" x14ac:dyDescent="0.3">
      <c r="A45" s="36" t="s">
        <v>308</v>
      </c>
      <c r="D45"/>
      <c r="L45"/>
    </row>
    <row r="46" spans="1:29" x14ac:dyDescent="0.3">
      <c r="A46"/>
      <c r="D46"/>
      <c r="L46"/>
    </row>
    <row r="47" spans="1:29" x14ac:dyDescent="0.3">
      <c r="A47" s="93"/>
      <c r="D47"/>
      <c r="K47"/>
    </row>
  </sheetData>
  <mergeCells count="14">
    <mergeCell ref="A1:A2"/>
    <mergeCell ref="B1:D1"/>
    <mergeCell ref="E1:G1"/>
    <mergeCell ref="K1:M1"/>
    <mergeCell ref="Q1:S1"/>
    <mergeCell ref="X1:Z1"/>
    <mergeCell ref="AA1:AC1"/>
    <mergeCell ref="B41:D41"/>
    <mergeCell ref="E41:G41"/>
    <mergeCell ref="K41:M41"/>
    <mergeCell ref="Q41:S41"/>
    <mergeCell ref="U41:W41"/>
    <mergeCell ref="X41:Z41"/>
    <mergeCell ref="U1:W1"/>
  </mergeCells>
  <pageMargins left="0.25" right="0.25" top="0.75" bottom="0.75" header="0.3" footer="0.3"/>
  <pageSetup paperSize="9" scale="32" orientation="landscape" r:id="rId1"/>
  <headerFooter>
    <oddFooter>&amp;C_x000D_&amp;1#&amp;"Calibri"&amp;7&amp;K000000 Classification: In-Confidence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F83C2-4806-4A1C-8705-FDD2D782D252}">
  <sheetPr>
    <tabColor rgb="FFFF0000"/>
    <pageSetUpPr fitToPage="1"/>
  </sheetPr>
  <dimension ref="A1:AV85"/>
  <sheetViews>
    <sheetView topLeftCell="S1" zoomScale="55" zoomScaleNormal="55" workbookViewId="0">
      <selection activeCell="O39" sqref="O39"/>
    </sheetView>
  </sheetViews>
  <sheetFormatPr defaultRowHeight="14.4" x14ac:dyDescent="0.3"/>
  <cols>
    <col min="1" max="1" width="6.88671875" style="1" bestFit="1" customWidth="1"/>
    <col min="2" max="2" width="12.33203125" style="1" customWidth="1"/>
    <col min="3" max="3" width="11.6640625" style="1" customWidth="1"/>
    <col min="4" max="4" width="12.44140625" style="1" customWidth="1"/>
    <col min="5" max="5" width="18.88671875" style="1" bestFit="1" customWidth="1"/>
    <col min="6" max="7" width="11.5546875" style="1" customWidth="1"/>
    <col min="8" max="8" width="13.6640625" style="1" customWidth="1"/>
    <col min="9" max="9" width="20.109375" style="1" bestFit="1" customWidth="1"/>
    <col min="10" max="10" width="15.88671875" style="1" customWidth="1"/>
    <col min="11" max="11" width="18.109375" style="1" customWidth="1"/>
    <col min="12" max="12" width="17.6640625" style="1" customWidth="1"/>
    <col min="13" max="13" width="11.21875" style="1" customWidth="1"/>
    <col min="14" max="14" width="11.5546875" style="1" customWidth="1"/>
    <col min="15" max="15" width="13" style="1" customWidth="1"/>
    <col min="16" max="16" width="13.33203125" style="1" customWidth="1"/>
    <col min="17" max="17" width="13.88671875" style="1" customWidth="1"/>
    <col min="18" max="18" width="13.109375" style="1" customWidth="1"/>
    <col min="19" max="19" width="12.77734375" style="1" customWidth="1"/>
    <col min="20" max="20" width="13" style="1" customWidth="1"/>
    <col min="21" max="21" width="12.88671875" style="1" customWidth="1"/>
    <col min="22" max="22" width="29.6640625" style="1" bestFit="1" customWidth="1"/>
    <col min="23" max="23" width="23.88671875" style="1" bestFit="1" customWidth="1"/>
    <col min="24" max="24" width="26.88671875" style="1" bestFit="1" customWidth="1"/>
    <col min="25" max="25" width="30" style="1" bestFit="1" customWidth="1"/>
    <col min="26" max="26" width="11.5546875" style="1" customWidth="1"/>
    <col min="27" max="27" width="8.88671875" style="1" customWidth="1"/>
    <col min="28" max="28" width="11.44140625" style="1" customWidth="1"/>
    <col min="29" max="29" width="21.6640625" style="1" bestFit="1" customWidth="1"/>
    <col min="30" max="30" width="14" bestFit="1" customWidth="1"/>
    <col min="31" max="31" width="19.88671875" bestFit="1" customWidth="1"/>
    <col min="32" max="33" width="9.109375" bestFit="1" customWidth="1"/>
    <col min="34" max="34" width="9" bestFit="1" customWidth="1"/>
    <col min="35" max="35" width="21.109375" bestFit="1" customWidth="1"/>
  </cols>
  <sheetData>
    <row r="1" spans="1:48" ht="40.950000000000003" customHeight="1" thickBot="1" x14ac:dyDescent="0.35">
      <c r="A1" s="321" t="s">
        <v>0</v>
      </c>
      <c r="B1" s="298" t="s">
        <v>328</v>
      </c>
      <c r="C1" s="299"/>
      <c r="D1" s="300"/>
      <c r="E1" s="56" t="s">
        <v>327</v>
      </c>
      <c r="F1" s="298" t="s">
        <v>82</v>
      </c>
      <c r="G1" s="299"/>
      <c r="H1" s="300"/>
      <c r="I1" s="56" t="s">
        <v>83</v>
      </c>
      <c r="J1" s="298" t="s">
        <v>84</v>
      </c>
      <c r="K1" s="299"/>
      <c r="L1" s="300"/>
      <c r="M1" s="291" t="s">
        <v>320</v>
      </c>
      <c r="N1" s="292"/>
      <c r="O1" s="293"/>
      <c r="P1" s="291" t="s">
        <v>321</v>
      </c>
      <c r="Q1" s="292"/>
      <c r="R1" s="293"/>
      <c r="S1" s="291" t="s">
        <v>322</v>
      </c>
      <c r="T1" s="292"/>
      <c r="U1" s="293"/>
      <c r="V1" s="56" t="s">
        <v>291</v>
      </c>
      <c r="W1" s="56" t="s">
        <v>447</v>
      </c>
      <c r="X1" s="56" t="s">
        <v>326</v>
      </c>
      <c r="Y1" s="56" t="s">
        <v>323</v>
      </c>
      <c r="Z1" s="298" t="s">
        <v>325</v>
      </c>
      <c r="AA1" s="299"/>
      <c r="AB1" s="300"/>
      <c r="AC1" s="56" t="s">
        <v>104</v>
      </c>
      <c r="AD1" s="56" t="s">
        <v>446</v>
      </c>
      <c r="AE1" s="56" t="s">
        <v>103</v>
      </c>
      <c r="AF1" s="298" t="s">
        <v>324</v>
      </c>
      <c r="AG1" s="299"/>
      <c r="AH1" s="300"/>
      <c r="AI1" s="56" t="s">
        <v>105</v>
      </c>
      <c r="AJ1" s="335" t="s">
        <v>17</v>
      </c>
      <c r="AK1" s="336"/>
      <c r="AL1" s="337"/>
    </row>
    <row r="2" spans="1:48" ht="15" customHeight="1" thickBot="1" x14ac:dyDescent="0.35">
      <c r="A2" s="322"/>
      <c r="B2" s="68" t="s">
        <v>18</v>
      </c>
      <c r="C2" s="69" t="s">
        <v>19</v>
      </c>
      <c r="D2" s="69" t="s">
        <v>20</v>
      </c>
      <c r="E2" s="66" t="s">
        <v>19</v>
      </c>
      <c r="F2" s="68" t="s">
        <v>18</v>
      </c>
      <c r="G2" s="69" t="s">
        <v>19</v>
      </c>
      <c r="H2" s="69" t="s">
        <v>20</v>
      </c>
      <c r="I2" s="66" t="s">
        <v>19</v>
      </c>
      <c r="J2" s="68" t="s">
        <v>18</v>
      </c>
      <c r="K2" s="69" t="s">
        <v>19</v>
      </c>
      <c r="L2" s="69" t="s">
        <v>20</v>
      </c>
      <c r="M2" s="29" t="s">
        <v>18</v>
      </c>
      <c r="N2" s="30" t="s">
        <v>19</v>
      </c>
      <c r="O2" s="31" t="s">
        <v>20</v>
      </c>
      <c r="P2" s="29" t="s">
        <v>18</v>
      </c>
      <c r="Q2" s="30" t="s">
        <v>19</v>
      </c>
      <c r="R2" s="31" t="s">
        <v>20</v>
      </c>
      <c r="S2" s="29" t="s">
        <v>18</v>
      </c>
      <c r="T2" s="30" t="s">
        <v>19</v>
      </c>
      <c r="U2" s="31" t="s">
        <v>20</v>
      </c>
      <c r="V2" s="66" t="s">
        <v>19</v>
      </c>
      <c r="W2" s="66" t="s">
        <v>19</v>
      </c>
      <c r="X2" s="66" t="s">
        <v>19</v>
      </c>
      <c r="Y2" s="66" t="s">
        <v>19</v>
      </c>
      <c r="Z2" s="68" t="s">
        <v>18</v>
      </c>
      <c r="AA2" s="69" t="s">
        <v>19</v>
      </c>
      <c r="AB2" s="69" t="s">
        <v>20</v>
      </c>
      <c r="AC2" s="66" t="s">
        <v>19</v>
      </c>
      <c r="AD2" s="66" t="s">
        <v>19</v>
      </c>
      <c r="AE2" s="66" t="s">
        <v>19</v>
      </c>
      <c r="AF2" s="68" t="s">
        <v>106</v>
      </c>
      <c r="AG2" s="69" t="s">
        <v>19</v>
      </c>
      <c r="AH2" s="69" t="s">
        <v>20</v>
      </c>
      <c r="AI2" s="66" t="s">
        <v>19</v>
      </c>
      <c r="AJ2" s="113" t="s">
        <v>21</v>
      </c>
      <c r="AK2" s="114" t="s">
        <v>19</v>
      </c>
      <c r="AL2" s="115" t="s">
        <v>22</v>
      </c>
    </row>
    <row r="3" spans="1:48" x14ac:dyDescent="0.3">
      <c r="A3" s="41">
        <v>2015</v>
      </c>
      <c r="B3" s="122"/>
      <c r="C3" s="125"/>
      <c r="D3" s="126"/>
      <c r="E3" s="131"/>
      <c r="F3" s="122"/>
      <c r="G3" s="125"/>
      <c r="H3" s="126"/>
      <c r="I3" s="131"/>
      <c r="J3" s="195"/>
      <c r="K3" s="196"/>
      <c r="L3" s="197"/>
      <c r="M3" s="122"/>
      <c r="N3" s="125"/>
      <c r="O3" s="125"/>
      <c r="P3" s="122"/>
      <c r="Q3" s="125"/>
      <c r="R3" s="125"/>
      <c r="S3" s="122"/>
      <c r="T3" s="125"/>
      <c r="U3" s="125"/>
      <c r="V3" s="131"/>
      <c r="W3" s="131"/>
      <c r="X3" s="131"/>
      <c r="Y3" s="131"/>
      <c r="Z3" s="122"/>
      <c r="AA3" s="125"/>
      <c r="AB3" s="126"/>
      <c r="AC3" s="131"/>
      <c r="AD3" s="131"/>
      <c r="AE3" s="131">
        <v>1801.47</v>
      </c>
      <c r="AF3" s="122"/>
      <c r="AG3" s="125"/>
      <c r="AH3" s="126"/>
      <c r="AI3" s="122"/>
      <c r="AJ3" s="122"/>
      <c r="AK3" s="127">
        <v>2621.8134999999997</v>
      </c>
      <c r="AL3" s="126"/>
      <c r="AV3" s="1"/>
    </row>
    <row r="4" spans="1:48" x14ac:dyDescent="0.3">
      <c r="A4" s="41">
        <v>2016</v>
      </c>
      <c r="B4" s="123"/>
      <c r="C4" s="127"/>
      <c r="D4" s="128"/>
      <c r="E4" s="132"/>
      <c r="F4" s="123"/>
      <c r="G4" s="127"/>
      <c r="H4" s="128"/>
      <c r="I4" s="132"/>
      <c r="J4" s="198"/>
      <c r="K4" s="190"/>
      <c r="L4" s="199"/>
      <c r="M4" s="123"/>
      <c r="N4" s="127"/>
      <c r="O4" s="127"/>
      <c r="P4" s="123"/>
      <c r="Q4" s="127"/>
      <c r="R4" s="127"/>
      <c r="S4" s="123"/>
      <c r="T4" s="127"/>
      <c r="U4" s="127"/>
      <c r="V4" s="132"/>
      <c r="W4" s="132"/>
      <c r="X4" s="132"/>
      <c r="Y4" s="132"/>
      <c r="Z4" s="123"/>
      <c r="AA4" s="127"/>
      <c r="AB4" s="128"/>
      <c r="AC4" s="132">
        <v>1789.0585000000001</v>
      </c>
      <c r="AD4" s="132"/>
      <c r="AE4" s="132"/>
      <c r="AF4" s="123"/>
      <c r="AG4" s="127"/>
      <c r="AH4" s="128"/>
      <c r="AI4" s="123"/>
      <c r="AJ4" s="123"/>
      <c r="AK4" s="127">
        <v>1920.8057999999999</v>
      </c>
      <c r="AL4" s="128"/>
      <c r="AV4" s="1"/>
    </row>
    <row r="5" spans="1:48" x14ac:dyDescent="0.3">
      <c r="A5" s="41">
        <v>2017</v>
      </c>
      <c r="B5" s="123"/>
      <c r="C5" s="127"/>
      <c r="D5" s="128"/>
      <c r="E5" s="132"/>
      <c r="F5" s="123"/>
      <c r="G5" s="127"/>
      <c r="H5" s="128"/>
      <c r="I5" s="132"/>
      <c r="J5" s="198"/>
      <c r="K5" s="190"/>
      <c r="L5" s="199"/>
      <c r="M5" s="123"/>
      <c r="N5" s="127"/>
      <c r="O5" s="127"/>
      <c r="P5" s="123"/>
      <c r="Q5" s="127"/>
      <c r="R5" s="127"/>
      <c r="S5" s="123"/>
      <c r="T5" s="127"/>
      <c r="U5" s="127"/>
      <c r="V5" s="132"/>
      <c r="W5" s="132"/>
      <c r="X5" s="132"/>
      <c r="Y5" s="132"/>
      <c r="Z5" s="123"/>
      <c r="AA5" s="127"/>
      <c r="AB5" s="128"/>
      <c r="AC5" s="132">
        <v>1318.8595516666667</v>
      </c>
      <c r="AD5" s="132"/>
      <c r="AE5" s="132"/>
      <c r="AF5" s="123"/>
      <c r="AG5" s="127"/>
      <c r="AH5" s="128"/>
      <c r="AI5" s="123"/>
      <c r="AJ5" s="123"/>
      <c r="AK5" s="127">
        <v>1670.2685999999999</v>
      </c>
      <c r="AL5" s="128"/>
      <c r="AV5" s="1"/>
    </row>
    <row r="6" spans="1:48" x14ac:dyDescent="0.3">
      <c r="A6" s="41">
        <v>2018</v>
      </c>
      <c r="B6" s="123"/>
      <c r="C6" s="127"/>
      <c r="D6" s="128"/>
      <c r="E6" s="132"/>
      <c r="F6" s="123"/>
      <c r="G6" s="127"/>
      <c r="H6" s="128"/>
      <c r="I6" s="132"/>
      <c r="J6" s="198"/>
      <c r="K6" s="190"/>
      <c r="L6" s="199"/>
      <c r="M6" s="123"/>
      <c r="N6" s="127"/>
      <c r="O6" s="127"/>
      <c r="P6" s="123"/>
      <c r="Q6" s="127"/>
      <c r="R6" s="127"/>
      <c r="S6" s="123"/>
      <c r="T6" s="127"/>
      <c r="U6" s="127"/>
      <c r="V6" s="132"/>
      <c r="W6" s="132"/>
      <c r="X6" s="132"/>
      <c r="Y6" s="132"/>
      <c r="Z6" s="123"/>
      <c r="AA6" s="127"/>
      <c r="AB6" s="128"/>
      <c r="AC6" s="132">
        <v>1221.374</v>
      </c>
      <c r="AD6" s="132"/>
      <c r="AE6" s="132"/>
      <c r="AF6" s="123"/>
      <c r="AG6" s="127"/>
      <c r="AH6" s="128"/>
      <c r="AI6" s="123"/>
      <c r="AJ6" s="123"/>
      <c r="AK6" s="127">
        <v>1252.7066</v>
      </c>
      <c r="AL6" s="128"/>
      <c r="AV6" s="1"/>
    </row>
    <row r="7" spans="1:48" x14ac:dyDescent="0.3">
      <c r="A7" s="41">
        <v>2019</v>
      </c>
      <c r="B7" s="123"/>
      <c r="C7" s="127"/>
      <c r="D7" s="128"/>
      <c r="E7" s="132">
        <v>473.8</v>
      </c>
      <c r="F7" s="123"/>
      <c r="G7" s="127"/>
      <c r="H7" s="128"/>
      <c r="I7" s="132"/>
      <c r="J7" s="198"/>
      <c r="K7" s="190"/>
      <c r="L7" s="199"/>
      <c r="M7" s="123"/>
      <c r="N7" s="127"/>
      <c r="O7" s="127"/>
      <c r="P7" s="123"/>
      <c r="Q7" s="127"/>
      <c r="R7" s="127"/>
      <c r="S7" s="123"/>
      <c r="T7" s="127"/>
      <c r="U7" s="127"/>
      <c r="V7" s="132"/>
      <c r="W7" s="132"/>
      <c r="X7" s="132"/>
      <c r="Y7" s="132"/>
      <c r="Z7" s="123"/>
      <c r="AA7" s="127"/>
      <c r="AB7" s="128"/>
      <c r="AC7" s="132">
        <v>923.20101666666665</v>
      </c>
      <c r="AD7" s="132"/>
      <c r="AE7" s="132"/>
      <c r="AF7" s="123"/>
      <c r="AG7" s="127"/>
      <c r="AH7" s="128"/>
      <c r="AI7" s="123"/>
      <c r="AJ7" s="123"/>
      <c r="AK7" s="127"/>
      <c r="AL7" s="128"/>
      <c r="AV7" s="1"/>
    </row>
    <row r="8" spans="1:48" x14ac:dyDescent="0.3">
      <c r="A8" s="41">
        <v>2020</v>
      </c>
      <c r="B8" s="123">
        <v>1147.2757999999999</v>
      </c>
      <c r="C8" s="127">
        <v>1491.4606000000001</v>
      </c>
      <c r="D8" s="128">
        <v>1835.6454000000001</v>
      </c>
      <c r="E8" s="132"/>
      <c r="F8" s="123">
        <v>979.00985000000003</v>
      </c>
      <c r="G8" s="127">
        <v>1193.1726000000001</v>
      </c>
      <c r="H8" s="128">
        <v>1947.8226999999999</v>
      </c>
      <c r="I8" s="189">
        <v>1442</v>
      </c>
      <c r="J8" s="198">
        <v>768.98809615384653</v>
      </c>
      <c r="K8" s="190">
        <v>841.82692307692309</v>
      </c>
      <c r="L8" s="199">
        <v>921.9361634615384</v>
      </c>
      <c r="M8" s="123">
        <v>1647</v>
      </c>
      <c r="N8" s="127">
        <v>2052</v>
      </c>
      <c r="O8" s="127">
        <v>2457</v>
      </c>
      <c r="P8" s="123">
        <v>1134</v>
      </c>
      <c r="Q8" s="127">
        <v>1404</v>
      </c>
      <c r="R8" s="127">
        <v>1674</v>
      </c>
      <c r="S8" s="123">
        <v>1026</v>
      </c>
      <c r="T8" s="127">
        <v>1296</v>
      </c>
      <c r="U8" s="127">
        <v>1566</v>
      </c>
      <c r="V8" s="132">
        <v>1025.8285000000001</v>
      </c>
      <c r="W8" s="132">
        <v>1521.31</v>
      </c>
      <c r="X8" s="132">
        <v>1030</v>
      </c>
      <c r="Y8" s="132">
        <v>1442</v>
      </c>
      <c r="Z8" s="123">
        <v>1143.3</v>
      </c>
      <c r="AA8" s="127">
        <v>1496.075</v>
      </c>
      <c r="AB8" s="128">
        <v>1848.8500000000001</v>
      </c>
      <c r="AC8" s="132">
        <v>856.68498999999997</v>
      </c>
      <c r="AD8" s="132">
        <v>1811.3064999999999</v>
      </c>
      <c r="AE8" s="132"/>
      <c r="AF8" s="123">
        <v>1326.8357000000001</v>
      </c>
      <c r="AG8" s="127">
        <v>1492.0682999999999</v>
      </c>
      <c r="AH8" s="128">
        <v>1657.3009</v>
      </c>
      <c r="AI8" s="123">
        <v>978.5</v>
      </c>
      <c r="AJ8" s="123"/>
      <c r="AK8" s="127">
        <v>1217.46</v>
      </c>
      <c r="AL8" s="128"/>
      <c r="AV8" s="1"/>
    </row>
    <row r="9" spans="1:48" x14ac:dyDescent="0.3">
      <c r="A9" s="41">
        <v>2021</v>
      </c>
      <c r="B9" s="123"/>
      <c r="C9" s="127"/>
      <c r="D9" s="128"/>
      <c r="E9" s="132"/>
      <c r="F9" s="123"/>
      <c r="G9" s="127"/>
      <c r="H9" s="128"/>
      <c r="I9" s="132"/>
      <c r="J9" s="198">
        <v>634.73353846153839</v>
      </c>
      <c r="K9" s="190">
        <v>780.88360576923083</v>
      </c>
      <c r="L9" s="199">
        <v>904.94116346153839</v>
      </c>
      <c r="M9" s="123"/>
      <c r="N9" s="127"/>
      <c r="O9" s="127"/>
      <c r="P9" s="123"/>
      <c r="Q9" s="127"/>
      <c r="R9" s="127"/>
      <c r="S9" s="123"/>
      <c r="T9" s="127"/>
      <c r="U9" s="127"/>
      <c r="V9" s="132"/>
      <c r="W9" s="132"/>
      <c r="X9" s="132"/>
      <c r="Y9" s="132"/>
      <c r="Z9" s="123"/>
      <c r="AA9" s="127"/>
      <c r="AB9" s="128"/>
      <c r="AC9" s="132">
        <v>774.11298000000011</v>
      </c>
      <c r="AD9" s="132"/>
      <c r="AE9" s="132"/>
      <c r="AF9" s="123"/>
      <c r="AG9" s="127">
        <v>1458.0206199999998</v>
      </c>
      <c r="AH9" s="128"/>
      <c r="AI9" s="123"/>
      <c r="AJ9" s="123"/>
      <c r="AK9" s="127">
        <v>992.22990000000004</v>
      </c>
      <c r="AL9" s="128"/>
      <c r="AV9" s="1"/>
    </row>
    <row r="10" spans="1:48" x14ac:dyDescent="0.3">
      <c r="A10" s="41">
        <v>2022</v>
      </c>
      <c r="B10" s="123"/>
      <c r="C10" s="127"/>
      <c r="D10" s="128"/>
      <c r="E10" s="132"/>
      <c r="F10" s="123"/>
      <c r="G10" s="127"/>
      <c r="H10" s="128"/>
      <c r="I10" s="132"/>
      <c r="J10" s="198">
        <v>539.56649038461524</v>
      </c>
      <c r="K10" s="190">
        <v>719.70457692307696</v>
      </c>
      <c r="L10" s="199">
        <v>878.6008942307692</v>
      </c>
      <c r="M10" s="123"/>
      <c r="N10" s="127"/>
      <c r="O10" s="127"/>
      <c r="P10" s="123"/>
      <c r="Q10" s="127"/>
      <c r="R10" s="127"/>
      <c r="S10" s="123"/>
      <c r="T10" s="127"/>
      <c r="U10" s="127"/>
      <c r="V10" s="132"/>
      <c r="W10" s="132"/>
      <c r="X10" s="132"/>
      <c r="Y10" s="132"/>
      <c r="Z10" s="123"/>
      <c r="AA10" s="127"/>
      <c r="AB10" s="128"/>
      <c r="AC10" s="132">
        <v>739.70789000000002</v>
      </c>
      <c r="AD10" s="132"/>
      <c r="AE10" s="132"/>
      <c r="AF10" s="123"/>
      <c r="AG10" s="127">
        <v>1423.9729399999999</v>
      </c>
      <c r="AH10" s="128"/>
      <c r="AI10" s="123"/>
      <c r="AJ10" s="191">
        <v>511.70400000000001</v>
      </c>
      <c r="AK10" s="4">
        <v>1234.7640000000001</v>
      </c>
      <c r="AL10" s="193">
        <v>2769.8760000000002</v>
      </c>
      <c r="AV10" s="1"/>
    </row>
    <row r="11" spans="1:48" x14ac:dyDescent="0.3">
      <c r="A11" s="41">
        <v>2023</v>
      </c>
      <c r="B11" s="123"/>
      <c r="C11" s="127"/>
      <c r="D11" s="128"/>
      <c r="E11" s="132"/>
      <c r="F11" s="123"/>
      <c r="G11" s="127"/>
      <c r="H11" s="128"/>
      <c r="I11" s="132"/>
      <c r="J11" s="198">
        <v>468.19046153846148</v>
      </c>
      <c r="K11" s="190">
        <v>657.67579807692312</v>
      </c>
      <c r="L11" s="199">
        <v>851.40988461538461</v>
      </c>
      <c r="M11" s="123"/>
      <c r="N11" s="127"/>
      <c r="O11" s="127"/>
      <c r="P11" s="123"/>
      <c r="Q11" s="127"/>
      <c r="R11" s="127"/>
      <c r="S11" s="123"/>
      <c r="T11" s="127"/>
      <c r="U11" s="127"/>
      <c r="V11" s="132"/>
      <c r="W11" s="132"/>
      <c r="X11" s="132"/>
      <c r="Y11" s="132"/>
      <c r="Z11" s="123"/>
      <c r="AA11" s="127"/>
      <c r="AB11" s="128"/>
      <c r="AC11" s="132">
        <v>688.09974</v>
      </c>
      <c r="AD11" s="132"/>
      <c r="AE11" s="132"/>
      <c r="AF11" s="123"/>
      <c r="AG11" s="127">
        <v>1389.9252599999998</v>
      </c>
      <c r="AH11" s="128"/>
      <c r="AI11" s="123"/>
      <c r="AJ11" s="123">
        <v>1010.1416</v>
      </c>
      <c r="AK11" s="127">
        <v>1718.2048</v>
      </c>
      <c r="AL11" s="128">
        <v>2426.268</v>
      </c>
    </row>
    <row r="12" spans="1:48" x14ac:dyDescent="0.3">
      <c r="A12" s="41">
        <v>2024</v>
      </c>
      <c r="B12" s="123"/>
      <c r="C12" s="127"/>
      <c r="D12" s="128"/>
      <c r="E12" s="132"/>
      <c r="F12" s="123"/>
      <c r="G12" s="127"/>
      <c r="H12" s="128"/>
      <c r="I12" s="132"/>
      <c r="J12" s="198">
        <v>407.86118269230775</v>
      </c>
      <c r="K12" s="190">
        <v>605.84302884615386</v>
      </c>
      <c r="L12" s="199">
        <v>820.81987499999991</v>
      </c>
      <c r="M12" s="123"/>
      <c r="N12" s="127"/>
      <c r="O12" s="127"/>
      <c r="P12" s="123"/>
      <c r="Q12" s="127"/>
      <c r="R12" s="127"/>
      <c r="S12" s="123"/>
      <c r="T12" s="127"/>
      <c r="U12" s="127"/>
      <c r="V12" s="132"/>
      <c r="W12" s="132"/>
      <c r="X12" s="132"/>
      <c r="Y12" s="132"/>
      <c r="Z12" s="123"/>
      <c r="AA12" s="127"/>
      <c r="AB12" s="128"/>
      <c r="AC12" s="132">
        <v>602.08753000000002</v>
      </c>
      <c r="AD12" s="132"/>
      <c r="AE12" s="132"/>
      <c r="AF12" s="123"/>
      <c r="AG12" s="127">
        <v>1355.8775799999999</v>
      </c>
      <c r="AH12" s="128"/>
      <c r="AI12" s="123"/>
      <c r="AJ12" s="123"/>
      <c r="AK12" s="127"/>
      <c r="AL12" s="128"/>
    </row>
    <row r="13" spans="1:48" x14ac:dyDescent="0.3">
      <c r="A13" s="41">
        <v>2025</v>
      </c>
      <c r="B13" s="123"/>
      <c r="C13" s="127"/>
      <c r="D13" s="128"/>
      <c r="E13" s="132"/>
      <c r="F13" s="123">
        <v>616.98030000000006</v>
      </c>
      <c r="G13" s="127">
        <v>749.55468999999994</v>
      </c>
      <c r="H13" s="128">
        <v>1509.3105</v>
      </c>
      <c r="I13" s="189">
        <v>831.21</v>
      </c>
      <c r="J13" s="198">
        <v>357.72791346153849</v>
      </c>
      <c r="K13" s="190">
        <v>555.71074999999996</v>
      </c>
      <c r="L13" s="199">
        <v>791.08060576923083</v>
      </c>
      <c r="M13" s="123"/>
      <c r="N13" s="127">
        <v>1539</v>
      </c>
      <c r="O13" s="127"/>
      <c r="P13" s="123"/>
      <c r="Q13" s="127">
        <v>1053</v>
      </c>
      <c r="R13" s="127"/>
      <c r="S13" s="123"/>
      <c r="T13" s="127">
        <v>972.00000000000011</v>
      </c>
      <c r="U13" s="127"/>
      <c r="V13" s="132"/>
      <c r="W13" s="132"/>
      <c r="X13" s="132">
        <v>772.5</v>
      </c>
      <c r="Y13" s="132"/>
      <c r="Z13" s="123">
        <v>860.05000000000007</v>
      </c>
      <c r="AA13" s="127">
        <v>1246.3</v>
      </c>
      <c r="AB13" s="128">
        <v>1632.55</v>
      </c>
      <c r="AC13" s="132">
        <v>657.13567399999988</v>
      </c>
      <c r="AD13" s="132">
        <v>600.72072000000003</v>
      </c>
      <c r="AE13" s="132"/>
      <c r="AF13" s="123">
        <v>1186.6424</v>
      </c>
      <c r="AG13" s="127">
        <v>1321.8299</v>
      </c>
      <c r="AH13" s="128">
        <v>1457.0174</v>
      </c>
      <c r="AI13" s="123"/>
      <c r="AJ13" s="123"/>
      <c r="AK13" s="127"/>
      <c r="AL13" s="128"/>
    </row>
    <row r="14" spans="1:48" x14ac:dyDescent="0.3">
      <c r="A14" s="41">
        <v>2026</v>
      </c>
      <c r="B14" s="123"/>
      <c r="C14" s="127"/>
      <c r="D14" s="128"/>
      <c r="E14" s="132"/>
      <c r="F14" s="123"/>
      <c r="G14" s="127"/>
      <c r="H14" s="128"/>
      <c r="I14" s="132"/>
      <c r="J14" s="198">
        <v>315.24239423076921</v>
      </c>
      <c r="K14" s="190">
        <v>506.42723076923079</v>
      </c>
      <c r="L14" s="199">
        <v>758.79109615384618</v>
      </c>
      <c r="M14" s="123"/>
      <c r="N14" s="127"/>
      <c r="O14" s="127"/>
      <c r="P14" s="123"/>
      <c r="Q14" s="127"/>
      <c r="R14" s="127"/>
      <c r="S14" s="123"/>
      <c r="T14" s="127"/>
      <c r="U14" s="127"/>
      <c r="V14" s="132"/>
      <c r="W14" s="132"/>
      <c r="X14" s="132"/>
      <c r="Y14" s="132"/>
      <c r="Z14" s="123"/>
      <c r="AA14" s="127"/>
      <c r="AB14" s="128"/>
      <c r="AC14" s="132"/>
      <c r="AD14" s="132"/>
      <c r="AE14" s="132"/>
      <c r="AF14" s="123"/>
      <c r="AG14" s="127"/>
      <c r="AH14" s="128"/>
      <c r="AI14" s="123"/>
      <c r="AJ14" s="123"/>
      <c r="AK14" s="127"/>
      <c r="AL14" s="128"/>
    </row>
    <row r="15" spans="1:48" x14ac:dyDescent="0.3">
      <c r="A15" s="41">
        <v>2027</v>
      </c>
      <c r="B15" s="123"/>
      <c r="C15" s="127"/>
      <c r="D15" s="128"/>
      <c r="E15" s="132"/>
      <c r="F15" s="123"/>
      <c r="G15" s="127"/>
      <c r="H15" s="128"/>
      <c r="I15" s="132"/>
      <c r="J15" s="198">
        <v>282.10412500000001</v>
      </c>
      <c r="K15" s="190">
        <v>466.49096153846153</v>
      </c>
      <c r="L15" s="199">
        <v>729.05182692307687</v>
      </c>
      <c r="M15" s="123"/>
      <c r="N15" s="127"/>
      <c r="O15" s="127"/>
      <c r="P15" s="123"/>
      <c r="Q15" s="127"/>
      <c r="R15" s="127"/>
      <c r="S15" s="123"/>
      <c r="T15" s="127"/>
      <c r="U15" s="127"/>
      <c r="V15" s="132"/>
      <c r="W15" s="132"/>
      <c r="X15" s="132"/>
      <c r="Y15" s="132"/>
      <c r="Z15" s="123"/>
      <c r="AA15" s="127"/>
      <c r="AB15" s="128"/>
      <c r="AC15" s="132"/>
      <c r="AD15" s="132"/>
      <c r="AE15" s="132"/>
      <c r="AF15" s="123"/>
      <c r="AG15" s="127"/>
      <c r="AH15" s="128"/>
      <c r="AI15" s="123"/>
      <c r="AJ15" s="123"/>
      <c r="AK15" s="127"/>
      <c r="AL15" s="128"/>
    </row>
    <row r="16" spans="1:48" x14ac:dyDescent="0.3">
      <c r="A16" s="41">
        <v>2028</v>
      </c>
      <c r="B16" s="123"/>
      <c r="C16" s="127"/>
      <c r="D16" s="128"/>
      <c r="E16" s="132"/>
      <c r="F16" s="123"/>
      <c r="G16" s="127"/>
      <c r="H16" s="128"/>
      <c r="I16" s="132"/>
      <c r="J16" s="198">
        <v>247.26536538461536</v>
      </c>
      <c r="K16" s="190">
        <v>426.55469230769233</v>
      </c>
      <c r="L16" s="199">
        <v>701.01106730769231</v>
      </c>
      <c r="M16" s="123"/>
      <c r="N16" s="127"/>
      <c r="O16" s="127"/>
      <c r="P16" s="123"/>
      <c r="Q16" s="127"/>
      <c r="R16" s="127"/>
      <c r="S16" s="123"/>
      <c r="T16" s="127"/>
      <c r="U16" s="127"/>
      <c r="V16" s="132"/>
      <c r="W16" s="132"/>
      <c r="X16" s="132"/>
      <c r="Y16" s="132"/>
      <c r="Z16" s="123"/>
      <c r="AA16" s="127"/>
      <c r="AB16" s="128"/>
      <c r="AC16" s="132"/>
      <c r="AD16" s="132"/>
      <c r="AE16" s="132"/>
      <c r="AF16" s="123"/>
      <c r="AG16" s="127"/>
      <c r="AH16" s="128"/>
      <c r="AI16" s="123"/>
      <c r="AJ16" s="123"/>
      <c r="AK16" s="127"/>
      <c r="AL16" s="128"/>
    </row>
    <row r="17" spans="1:38" x14ac:dyDescent="0.3">
      <c r="A17" s="41">
        <v>2029</v>
      </c>
      <c r="B17" s="123"/>
      <c r="C17" s="127"/>
      <c r="D17" s="128"/>
      <c r="E17" s="132"/>
      <c r="F17" s="123"/>
      <c r="G17" s="127"/>
      <c r="H17" s="128"/>
      <c r="I17" s="132"/>
      <c r="J17" s="198">
        <v>221.77484615384614</v>
      </c>
      <c r="K17" s="190">
        <v>392.56667307692311</v>
      </c>
      <c r="L17" s="199">
        <v>680.61805769230762</v>
      </c>
      <c r="M17" s="123"/>
      <c r="N17" s="127"/>
      <c r="O17" s="127"/>
      <c r="P17" s="123"/>
      <c r="Q17" s="127"/>
      <c r="R17" s="127"/>
      <c r="S17" s="123"/>
      <c r="T17" s="127"/>
      <c r="U17" s="127"/>
      <c r="V17" s="132"/>
      <c r="W17" s="132"/>
      <c r="X17" s="132"/>
      <c r="Y17" s="132"/>
      <c r="Z17" s="123"/>
      <c r="AA17" s="127"/>
      <c r="AB17" s="128"/>
      <c r="AC17" s="132"/>
      <c r="AD17" s="132"/>
      <c r="AE17" s="132"/>
      <c r="AF17" s="123"/>
      <c r="AG17" s="127"/>
      <c r="AH17" s="128"/>
      <c r="AI17" s="123"/>
      <c r="AJ17" s="123"/>
      <c r="AK17" s="127"/>
      <c r="AL17" s="128"/>
    </row>
    <row r="18" spans="1:38" x14ac:dyDescent="0.3">
      <c r="A18" s="41">
        <v>2030</v>
      </c>
      <c r="B18" s="123">
        <v>336.53498999999999</v>
      </c>
      <c r="C18" s="127">
        <v>535.39606000000003</v>
      </c>
      <c r="D18" s="128">
        <v>734.25712999999996</v>
      </c>
      <c r="E18" s="132"/>
      <c r="F18" s="123">
        <v>458.91135000000003</v>
      </c>
      <c r="G18" s="127">
        <v>581.28668000000005</v>
      </c>
      <c r="H18" s="128">
        <v>1249.2560999999998</v>
      </c>
      <c r="I18" s="132">
        <v>569.59</v>
      </c>
      <c r="J18" s="198">
        <v>197.13308653846153</v>
      </c>
      <c r="K18" s="190">
        <v>361.12691346153844</v>
      </c>
      <c r="L18" s="199">
        <v>655.97629807692306</v>
      </c>
      <c r="M18" s="123"/>
      <c r="N18" s="127">
        <v>1026</v>
      </c>
      <c r="O18" s="127"/>
      <c r="P18" s="123"/>
      <c r="Q18" s="127">
        <v>702</v>
      </c>
      <c r="R18" s="127"/>
      <c r="S18" s="123"/>
      <c r="T18" s="127">
        <v>648</v>
      </c>
      <c r="U18" s="127"/>
      <c r="V18" s="132">
        <v>606.17560000000003</v>
      </c>
      <c r="W18" s="132">
        <v>449.08</v>
      </c>
      <c r="X18" s="132">
        <v>669.5</v>
      </c>
      <c r="Y18" s="132"/>
      <c r="Z18" s="123">
        <v>576.80000000000007</v>
      </c>
      <c r="AA18" s="127">
        <v>991.375</v>
      </c>
      <c r="AB18" s="128">
        <v>1405.95</v>
      </c>
      <c r="AC18" s="132">
        <v>705.30280000000016</v>
      </c>
      <c r="AD18" s="132">
        <v>454.35154</v>
      </c>
      <c r="AE18" s="132">
        <v>772.5</v>
      </c>
      <c r="AF18" s="123">
        <v>1016.4101800000001</v>
      </c>
      <c r="AG18" s="127">
        <v>1181.6366</v>
      </c>
      <c r="AH18" s="128">
        <v>1346.8692000000001</v>
      </c>
      <c r="AI18" s="123">
        <v>643.75</v>
      </c>
      <c r="AJ18" s="123"/>
      <c r="AK18" s="127"/>
      <c r="AL18" s="128"/>
    </row>
    <row r="19" spans="1:38" x14ac:dyDescent="0.3">
      <c r="A19" s="41">
        <v>2031</v>
      </c>
      <c r="B19" s="123"/>
      <c r="C19" s="127"/>
      <c r="D19" s="128"/>
      <c r="E19" s="132"/>
      <c r="F19" s="123"/>
      <c r="G19" s="127"/>
      <c r="H19" s="128"/>
      <c r="I19" s="132"/>
      <c r="J19" s="198">
        <v>175.89032692307694</v>
      </c>
      <c r="K19" s="190">
        <v>333.93590384615379</v>
      </c>
      <c r="L19" s="199">
        <v>635.58328846153847</v>
      </c>
      <c r="M19" s="123"/>
      <c r="N19" s="127"/>
      <c r="O19" s="127"/>
      <c r="P19" s="123"/>
      <c r="Q19" s="127"/>
      <c r="R19" s="127"/>
      <c r="S19" s="123"/>
      <c r="T19" s="127"/>
      <c r="U19" s="127"/>
      <c r="V19" s="132"/>
      <c r="W19" s="132"/>
      <c r="X19" s="132"/>
      <c r="Y19" s="132"/>
      <c r="Z19" s="123"/>
      <c r="AA19" s="127"/>
      <c r="AB19" s="128"/>
      <c r="AC19" s="132"/>
      <c r="AD19" s="132"/>
      <c r="AE19" s="132"/>
      <c r="AF19" s="123"/>
      <c r="AG19" s="127"/>
      <c r="AH19" s="128"/>
      <c r="AI19" s="123"/>
      <c r="AJ19" s="123"/>
      <c r="AK19" s="127"/>
      <c r="AL19" s="128"/>
    </row>
    <row r="20" spans="1:38" x14ac:dyDescent="0.3">
      <c r="A20" s="41">
        <v>2032</v>
      </c>
      <c r="B20" s="123"/>
      <c r="C20" s="127"/>
      <c r="D20" s="128"/>
      <c r="E20" s="132"/>
      <c r="F20" s="123"/>
      <c r="G20" s="127"/>
      <c r="H20" s="128"/>
      <c r="I20" s="132"/>
      <c r="J20" s="198">
        <v>157.19681730769233</v>
      </c>
      <c r="K20" s="190">
        <v>310.14389423076921</v>
      </c>
      <c r="L20" s="199">
        <v>620.28877884615395</v>
      </c>
      <c r="M20" s="123"/>
      <c r="N20" s="127"/>
      <c r="O20" s="127"/>
      <c r="P20" s="123"/>
      <c r="Q20" s="127"/>
      <c r="R20" s="127"/>
      <c r="S20" s="123"/>
      <c r="T20" s="127"/>
      <c r="U20" s="127"/>
      <c r="V20" s="132"/>
      <c r="W20" s="132"/>
      <c r="X20" s="132"/>
      <c r="Y20" s="132"/>
      <c r="Z20" s="123"/>
      <c r="AA20" s="127"/>
      <c r="AB20" s="128"/>
      <c r="AC20" s="132"/>
      <c r="AD20" s="132"/>
      <c r="AE20" s="132"/>
      <c r="AF20" s="123"/>
      <c r="AG20" s="127"/>
      <c r="AH20" s="128"/>
      <c r="AI20" s="123"/>
      <c r="AJ20" s="123"/>
      <c r="AK20" s="127"/>
      <c r="AL20" s="128"/>
    </row>
    <row r="21" spans="1:38" x14ac:dyDescent="0.3">
      <c r="A21" s="41">
        <v>2033</v>
      </c>
      <c r="B21" s="123"/>
      <c r="C21" s="127"/>
      <c r="D21" s="128"/>
      <c r="E21" s="132"/>
      <c r="F21" s="123"/>
      <c r="G21" s="127"/>
      <c r="H21" s="128"/>
      <c r="I21" s="132"/>
      <c r="J21" s="198">
        <v>141.05156730769232</v>
      </c>
      <c r="K21" s="190">
        <v>288.90113461538465</v>
      </c>
      <c r="L21" s="199">
        <v>605.84302884615386</v>
      </c>
      <c r="M21" s="123"/>
      <c r="N21" s="127"/>
      <c r="O21" s="127"/>
      <c r="P21" s="123"/>
      <c r="Q21" s="127"/>
      <c r="R21" s="127"/>
      <c r="S21" s="123"/>
      <c r="T21" s="127"/>
      <c r="U21" s="127"/>
      <c r="V21" s="132"/>
      <c r="W21" s="132"/>
      <c r="X21" s="132"/>
      <c r="Y21" s="132"/>
      <c r="Z21" s="123"/>
      <c r="AA21" s="127"/>
      <c r="AB21" s="128"/>
      <c r="AC21" s="132"/>
      <c r="AD21" s="132"/>
      <c r="AE21" s="132"/>
      <c r="AF21" s="123"/>
      <c r="AG21" s="127"/>
      <c r="AH21" s="128"/>
      <c r="AI21" s="123"/>
      <c r="AJ21" s="123"/>
      <c r="AK21" s="127"/>
      <c r="AL21" s="128"/>
    </row>
    <row r="22" spans="1:38" x14ac:dyDescent="0.3">
      <c r="A22" s="41">
        <v>2034</v>
      </c>
      <c r="B22" s="123"/>
      <c r="C22" s="127"/>
      <c r="D22" s="128"/>
      <c r="E22" s="132"/>
      <c r="F22" s="123"/>
      <c r="G22" s="127"/>
      <c r="H22" s="128"/>
      <c r="I22" s="132"/>
      <c r="J22" s="198">
        <v>129.15605769230768</v>
      </c>
      <c r="K22" s="190">
        <v>270.20762500000006</v>
      </c>
      <c r="L22" s="199">
        <v>593.94751923076922</v>
      </c>
      <c r="M22" s="123"/>
      <c r="N22" s="127"/>
      <c r="O22" s="127"/>
      <c r="P22" s="123"/>
      <c r="Q22" s="127"/>
      <c r="R22" s="127"/>
      <c r="S22" s="123"/>
      <c r="T22" s="127"/>
      <c r="U22" s="127"/>
      <c r="V22" s="132"/>
      <c r="W22" s="132"/>
      <c r="X22" s="132"/>
      <c r="Y22" s="132"/>
      <c r="Z22" s="123"/>
      <c r="AA22" s="127"/>
      <c r="AB22" s="128"/>
      <c r="AC22" s="132"/>
      <c r="AD22" s="132"/>
      <c r="AE22" s="132"/>
      <c r="AF22" s="123"/>
      <c r="AG22" s="127"/>
      <c r="AH22" s="128"/>
      <c r="AI22" s="123"/>
      <c r="AJ22" s="123"/>
      <c r="AK22" s="127"/>
      <c r="AL22" s="128"/>
    </row>
    <row r="23" spans="1:38" x14ac:dyDescent="0.3">
      <c r="A23" s="41">
        <v>2035</v>
      </c>
      <c r="B23" s="123"/>
      <c r="C23" s="127"/>
      <c r="D23" s="128"/>
      <c r="E23" s="132">
        <v>239.99</v>
      </c>
      <c r="F23" s="123">
        <v>407.92120000000006</v>
      </c>
      <c r="G23" s="127">
        <v>535.39606000000003</v>
      </c>
      <c r="H23" s="128">
        <v>1121.7832999999998</v>
      </c>
      <c r="I23" s="132"/>
      <c r="J23" s="198">
        <v>117.25955769230769</v>
      </c>
      <c r="K23" s="190">
        <v>255.76286538461537</v>
      </c>
      <c r="L23" s="199">
        <v>581.20225961538461</v>
      </c>
      <c r="M23" s="123"/>
      <c r="N23" s="127"/>
      <c r="O23" s="127"/>
      <c r="P23" s="123"/>
      <c r="Q23" s="127"/>
      <c r="R23" s="127"/>
      <c r="S23" s="123"/>
      <c r="T23" s="127"/>
      <c r="U23" s="127"/>
      <c r="V23" s="132"/>
      <c r="W23" s="132"/>
      <c r="X23" s="132"/>
      <c r="Y23" s="132"/>
      <c r="Z23" s="123">
        <v>478.95</v>
      </c>
      <c r="AA23" s="127">
        <v>860.05000000000007</v>
      </c>
      <c r="AB23" s="128">
        <v>1241.1500000000001</v>
      </c>
      <c r="AC23" s="132"/>
      <c r="AD23" s="132">
        <v>414.71096</v>
      </c>
      <c r="AE23" s="132"/>
      <c r="AF23" s="123">
        <v>836.16018000000008</v>
      </c>
      <c r="AG23" s="127">
        <v>1041.4433000000001</v>
      </c>
      <c r="AH23" s="128">
        <v>1256.7442000000001</v>
      </c>
      <c r="AI23" s="123"/>
      <c r="AJ23" s="123"/>
      <c r="AK23" s="127"/>
      <c r="AL23" s="128"/>
    </row>
    <row r="24" spans="1:38" x14ac:dyDescent="0.3">
      <c r="A24" s="41">
        <v>2036</v>
      </c>
      <c r="B24" s="123"/>
      <c r="C24" s="127"/>
      <c r="D24" s="128"/>
      <c r="E24" s="132"/>
      <c r="F24" s="123"/>
      <c r="G24" s="127"/>
      <c r="H24" s="128"/>
      <c r="I24" s="132"/>
      <c r="J24" s="198">
        <v>105.36404807692307</v>
      </c>
      <c r="K24" s="190">
        <v>243.01760576923078</v>
      </c>
      <c r="L24" s="199">
        <v>572.70475961538466</v>
      </c>
      <c r="M24" s="123"/>
      <c r="N24" s="127"/>
      <c r="O24" s="127"/>
      <c r="P24" s="123"/>
      <c r="Q24" s="127"/>
      <c r="R24" s="127"/>
      <c r="S24" s="123"/>
      <c r="T24" s="127"/>
      <c r="U24" s="127"/>
      <c r="V24" s="132"/>
      <c r="W24" s="132"/>
      <c r="X24" s="132"/>
      <c r="Y24" s="132"/>
      <c r="Z24" s="123"/>
      <c r="AA24" s="127"/>
      <c r="AB24" s="128"/>
      <c r="AC24" s="132"/>
      <c r="AD24" s="132"/>
      <c r="AE24" s="132"/>
      <c r="AF24" s="123"/>
      <c r="AG24" s="127"/>
      <c r="AH24" s="128"/>
      <c r="AI24" s="123"/>
      <c r="AJ24" s="123"/>
      <c r="AK24" s="127"/>
      <c r="AL24" s="128"/>
    </row>
    <row r="25" spans="1:38" x14ac:dyDescent="0.3">
      <c r="A25" s="41">
        <v>2037</v>
      </c>
      <c r="B25" s="123"/>
      <c r="C25" s="127"/>
      <c r="D25" s="128"/>
      <c r="E25" s="132"/>
      <c r="F25" s="123"/>
      <c r="G25" s="127"/>
      <c r="H25" s="128"/>
      <c r="I25" s="132"/>
      <c r="J25" s="198">
        <v>96.866944230769235</v>
      </c>
      <c r="K25" s="190">
        <v>231.97085576923078</v>
      </c>
      <c r="L25" s="199">
        <v>563.35750961538463</v>
      </c>
      <c r="M25" s="123"/>
      <c r="N25" s="127"/>
      <c r="O25" s="127"/>
      <c r="P25" s="123"/>
      <c r="Q25" s="127"/>
      <c r="R25" s="127"/>
      <c r="S25" s="123"/>
      <c r="T25" s="127"/>
      <c r="U25" s="127"/>
      <c r="V25" s="132"/>
      <c r="W25" s="132"/>
      <c r="X25" s="132"/>
      <c r="Y25" s="132"/>
      <c r="Z25" s="123"/>
      <c r="AA25" s="127"/>
      <c r="AB25" s="128"/>
      <c r="AC25" s="132"/>
      <c r="AD25" s="132"/>
      <c r="AE25" s="132"/>
      <c r="AF25" s="123"/>
      <c r="AG25" s="127"/>
      <c r="AH25" s="128"/>
      <c r="AI25" s="123"/>
      <c r="AJ25" s="123"/>
      <c r="AK25" s="127"/>
      <c r="AL25" s="128"/>
    </row>
    <row r="26" spans="1:38" x14ac:dyDescent="0.3">
      <c r="A26" s="41">
        <v>2038</v>
      </c>
      <c r="B26" s="123"/>
      <c r="C26" s="127"/>
      <c r="D26" s="128"/>
      <c r="E26" s="132"/>
      <c r="F26" s="123"/>
      <c r="G26" s="127"/>
      <c r="H26" s="128"/>
      <c r="I26" s="132"/>
      <c r="J26" s="198">
        <v>90.918991346153845</v>
      </c>
      <c r="K26" s="190">
        <v>220.07534615384614</v>
      </c>
      <c r="L26" s="199">
        <v>554.8610000000001</v>
      </c>
      <c r="M26" s="123"/>
      <c r="N26" s="127"/>
      <c r="O26" s="127"/>
      <c r="P26" s="123"/>
      <c r="Q26" s="127"/>
      <c r="R26" s="127"/>
      <c r="S26" s="123"/>
      <c r="T26" s="127"/>
      <c r="U26" s="127"/>
      <c r="V26" s="132"/>
      <c r="W26" s="132"/>
      <c r="X26" s="132"/>
      <c r="Y26" s="132"/>
      <c r="Z26" s="123"/>
      <c r="AA26" s="127"/>
      <c r="AB26" s="128"/>
      <c r="AC26" s="132"/>
      <c r="AD26" s="132"/>
      <c r="AE26" s="132"/>
      <c r="AF26" s="123"/>
      <c r="AG26" s="127"/>
      <c r="AH26" s="128"/>
      <c r="AI26" s="123"/>
      <c r="AJ26" s="123"/>
      <c r="AK26" s="127"/>
      <c r="AL26" s="128"/>
    </row>
    <row r="27" spans="1:38" x14ac:dyDescent="0.3">
      <c r="A27" s="41">
        <v>2039</v>
      </c>
      <c r="B27" s="123"/>
      <c r="C27" s="127"/>
      <c r="D27" s="128"/>
      <c r="E27" s="132"/>
      <c r="F27" s="123"/>
      <c r="G27" s="127"/>
      <c r="H27" s="128"/>
      <c r="I27" s="132"/>
      <c r="J27" s="198">
        <v>84.121288461538455</v>
      </c>
      <c r="K27" s="190">
        <v>214.12709615384614</v>
      </c>
      <c r="L27" s="199">
        <v>548.91274999999996</v>
      </c>
      <c r="M27" s="123"/>
      <c r="N27" s="127"/>
      <c r="O27" s="127"/>
      <c r="P27" s="123"/>
      <c r="Q27" s="127"/>
      <c r="R27" s="127"/>
      <c r="S27" s="123"/>
      <c r="T27" s="127"/>
      <c r="U27" s="127"/>
      <c r="V27" s="132"/>
      <c r="W27" s="132"/>
      <c r="X27" s="132"/>
      <c r="Y27" s="132"/>
      <c r="Z27" s="123"/>
      <c r="AA27" s="127"/>
      <c r="AB27" s="128"/>
      <c r="AC27" s="132"/>
      <c r="AD27" s="132"/>
      <c r="AE27" s="132"/>
      <c r="AF27" s="123"/>
      <c r="AG27" s="127"/>
      <c r="AH27" s="128"/>
      <c r="AI27" s="123"/>
      <c r="AJ27" s="123"/>
      <c r="AK27" s="127"/>
      <c r="AL27" s="128"/>
    </row>
    <row r="28" spans="1:38" x14ac:dyDescent="0.3">
      <c r="A28" s="41">
        <v>2040</v>
      </c>
      <c r="B28" s="123">
        <v>214.15862999999999</v>
      </c>
      <c r="C28" s="127">
        <v>351.83203500000002</v>
      </c>
      <c r="D28" s="128">
        <v>489.50544000000002</v>
      </c>
      <c r="E28" s="132"/>
      <c r="F28" s="123">
        <v>372.22758000000005</v>
      </c>
      <c r="G28" s="127">
        <v>489.50544000000002</v>
      </c>
      <c r="H28" s="128">
        <v>1004.50544</v>
      </c>
      <c r="I28" s="132"/>
      <c r="J28" s="198">
        <v>79.872736538461552</v>
      </c>
      <c r="K28" s="190">
        <v>207.32909615384617</v>
      </c>
      <c r="L28" s="199">
        <v>542.11475000000007</v>
      </c>
      <c r="M28" s="123"/>
      <c r="N28" s="127">
        <v>783</v>
      </c>
      <c r="O28" s="127"/>
      <c r="P28" s="123"/>
      <c r="Q28" s="127">
        <v>540</v>
      </c>
      <c r="R28" s="127"/>
      <c r="S28" s="123"/>
      <c r="T28" s="127">
        <v>486.00000000000006</v>
      </c>
      <c r="U28" s="127"/>
      <c r="V28" s="132"/>
      <c r="W28" s="132"/>
      <c r="X28" s="132"/>
      <c r="Y28" s="132"/>
      <c r="Z28" s="123">
        <v>370.8</v>
      </c>
      <c r="AA28" s="127">
        <v>733.875</v>
      </c>
      <c r="AB28" s="128">
        <v>1096.95</v>
      </c>
      <c r="AC28" s="132"/>
      <c r="AD28" s="132">
        <v>381.16798</v>
      </c>
      <c r="AE28" s="132">
        <v>472.77000000000004</v>
      </c>
      <c r="AF28" s="123">
        <v>680.94433000000004</v>
      </c>
      <c r="AG28" s="127">
        <v>931.29201</v>
      </c>
      <c r="AH28" s="128">
        <v>1171.625</v>
      </c>
      <c r="AI28" s="123">
        <v>553.625</v>
      </c>
      <c r="AJ28" s="123"/>
      <c r="AK28" s="127"/>
      <c r="AL28" s="128"/>
    </row>
    <row r="29" spans="1:38" x14ac:dyDescent="0.3">
      <c r="A29" s="41">
        <v>2041</v>
      </c>
      <c r="B29" s="123"/>
      <c r="C29" s="127"/>
      <c r="D29" s="128"/>
      <c r="E29" s="132"/>
      <c r="F29" s="123"/>
      <c r="G29" s="127"/>
      <c r="H29" s="128"/>
      <c r="I29" s="132"/>
      <c r="J29" s="198">
        <v>74.774533653846163</v>
      </c>
      <c r="K29" s="190">
        <v>203.08034615384614</v>
      </c>
      <c r="L29" s="199">
        <v>536.16749038461546</v>
      </c>
      <c r="M29" s="123"/>
      <c r="N29" s="127"/>
      <c r="O29" s="127"/>
      <c r="P29" s="123"/>
      <c r="Q29" s="127"/>
      <c r="R29" s="127"/>
      <c r="S29" s="123"/>
      <c r="T29" s="127"/>
      <c r="U29" s="127"/>
      <c r="V29" s="132"/>
      <c r="W29" s="132"/>
      <c r="X29" s="132"/>
      <c r="Y29" s="132"/>
      <c r="Z29" s="123"/>
      <c r="AA29" s="127"/>
      <c r="AB29" s="128"/>
      <c r="AC29" s="132"/>
      <c r="AD29" s="132"/>
      <c r="AE29" s="132"/>
      <c r="AF29" s="123"/>
      <c r="AG29" s="127"/>
      <c r="AH29" s="128"/>
      <c r="AI29" s="123"/>
      <c r="AJ29" s="123"/>
      <c r="AK29" s="127"/>
      <c r="AL29" s="128"/>
    </row>
    <row r="30" spans="1:38" x14ac:dyDescent="0.3">
      <c r="A30" s="41">
        <v>2042</v>
      </c>
      <c r="B30" s="123"/>
      <c r="C30" s="127"/>
      <c r="D30" s="128"/>
      <c r="E30" s="132"/>
      <c r="F30" s="123"/>
      <c r="G30" s="127"/>
      <c r="H30" s="128"/>
      <c r="I30" s="132"/>
      <c r="J30" s="198">
        <v>73.07513269230769</v>
      </c>
      <c r="K30" s="190">
        <v>197.98283653846156</v>
      </c>
      <c r="L30" s="199">
        <v>530.21924038461532</v>
      </c>
      <c r="M30" s="123"/>
      <c r="N30" s="127"/>
      <c r="O30" s="127"/>
      <c r="P30" s="123"/>
      <c r="Q30" s="127"/>
      <c r="R30" s="127"/>
      <c r="S30" s="123"/>
      <c r="T30" s="127"/>
      <c r="U30" s="127"/>
      <c r="V30" s="132"/>
      <c r="W30" s="132"/>
      <c r="X30" s="132"/>
      <c r="Y30" s="132"/>
      <c r="Z30" s="123"/>
      <c r="AA30" s="127"/>
      <c r="AB30" s="128"/>
      <c r="AC30" s="132"/>
      <c r="AD30" s="132"/>
      <c r="AE30" s="132"/>
      <c r="AF30" s="123"/>
      <c r="AG30" s="127"/>
      <c r="AH30" s="128"/>
      <c r="AI30" s="123"/>
      <c r="AJ30" s="123"/>
      <c r="AK30" s="127"/>
      <c r="AL30" s="128"/>
    </row>
    <row r="31" spans="1:38" x14ac:dyDescent="0.3">
      <c r="A31" s="41">
        <v>2043</v>
      </c>
      <c r="B31" s="123"/>
      <c r="C31" s="127"/>
      <c r="D31" s="128"/>
      <c r="E31" s="132"/>
      <c r="F31" s="123"/>
      <c r="G31" s="127"/>
      <c r="H31" s="128"/>
      <c r="I31" s="132"/>
      <c r="J31" s="198">
        <v>67.976830769230759</v>
      </c>
      <c r="K31" s="190">
        <v>192.88433653846153</v>
      </c>
      <c r="L31" s="199">
        <v>524.2709903846154</v>
      </c>
      <c r="M31" s="123"/>
      <c r="N31" s="127"/>
      <c r="O31" s="127"/>
      <c r="P31" s="123"/>
      <c r="Q31" s="127"/>
      <c r="R31" s="127"/>
      <c r="S31" s="123"/>
      <c r="T31" s="127"/>
      <c r="U31" s="127"/>
      <c r="V31" s="132"/>
      <c r="W31" s="132"/>
      <c r="X31" s="132"/>
      <c r="Y31" s="132"/>
      <c r="Z31" s="123"/>
      <c r="AA31" s="127"/>
      <c r="AB31" s="128"/>
      <c r="AC31" s="132"/>
      <c r="AD31" s="132"/>
      <c r="AE31" s="132"/>
      <c r="AF31" s="123"/>
      <c r="AG31" s="127"/>
      <c r="AH31" s="128"/>
      <c r="AI31" s="123"/>
      <c r="AJ31" s="123"/>
      <c r="AK31" s="127"/>
      <c r="AL31" s="128"/>
    </row>
    <row r="32" spans="1:38" x14ac:dyDescent="0.3">
      <c r="A32" s="41">
        <v>2044</v>
      </c>
      <c r="B32" s="123"/>
      <c r="C32" s="127"/>
      <c r="D32" s="128"/>
      <c r="E32" s="132"/>
      <c r="F32" s="123"/>
      <c r="G32" s="127"/>
      <c r="H32" s="128"/>
      <c r="I32" s="132"/>
      <c r="J32" s="198">
        <v>65.4276798076923</v>
      </c>
      <c r="K32" s="190">
        <v>188.63558653846155</v>
      </c>
      <c r="L32" s="199">
        <v>519.17348076923088</v>
      </c>
      <c r="M32" s="123"/>
      <c r="N32" s="127"/>
      <c r="O32" s="127"/>
      <c r="P32" s="123"/>
      <c r="Q32" s="127"/>
      <c r="R32" s="127"/>
      <c r="S32" s="123"/>
      <c r="T32" s="127"/>
      <c r="U32" s="127"/>
      <c r="V32" s="132"/>
      <c r="W32" s="132"/>
      <c r="X32" s="132"/>
      <c r="Y32" s="132"/>
      <c r="Z32" s="123"/>
      <c r="AA32" s="127"/>
      <c r="AB32" s="128"/>
      <c r="AC32" s="132"/>
      <c r="AD32" s="132"/>
      <c r="AE32" s="132"/>
      <c r="AF32" s="123"/>
      <c r="AG32" s="127"/>
      <c r="AH32" s="128"/>
      <c r="AI32" s="123"/>
      <c r="AJ32" s="123"/>
      <c r="AK32" s="127"/>
      <c r="AL32" s="128"/>
    </row>
    <row r="33" spans="1:42" x14ac:dyDescent="0.3">
      <c r="A33" s="41">
        <v>2045</v>
      </c>
      <c r="B33" s="123"/>
      <c r="C33" s="127"/>
      <c r="D33" s="128"/>
      <c r="E33" s="132"/>
      <c r="F33" s="123">
        <v>356.93105000000003</v>
      </c>
      <c r="G33" s="127">
        <v>474.20788000000005</v>
      </c>
      <c r="H33" s="128">
        <v>958.61378999999999</v>
      </c>
      <c r="I33" s="132"/>
      <c r="J33" s="198">
        <v>63.728278846153842</v>
      </c>
      <c r="K33" s="190">
        <v>185.23658653846152</v>
      </c>
      <c r="L33" s="199">
        <v>516.62423076923073</v>
      </c>
      <c r="M33" s="123"/>
      <c r="N33" s="127"/>
      <c r="O33" s="127"/>
      <c r="P33" s="123"/>
      <c r="Q33" s="127"/>
      <c r="R33" s="127"/>
      <c r="S33" s="123"/>
      <c r="T33" s="127"/>
      <c r="U33" s="127"/>
      <c r="V33" s="132"/>
      <c r="W33" s="132"/>
      <c r="X33" s="132"/>
      <c r="Y33" s="132"/>
      <c r="Z33" s="123">
        <v>262.65000000000003</v>
      </c>
      <c r="AA33" s="127">
        <v>599.97500000000002</v>
      </c>
      <c r="AB33" s="128">
        <v>937.30000000000007</v>
      </c>
      <c r="AC33" s="132"/>
      <c r="AD33" s="132">
        <v>362.87209000000001</v>
      </c>
      <c r="AE33" s="132"/>
      <c r="AF33" s="123">
        <v>540.75</v>
      </c>
      <c r="AG33" s="127">
        <v>826.14549</v>
      </c>
      <c r="AH33" s="128">
        <v>1096.5174</v>
      </c>
      <c r="AI33" s="123"/>
      <c r="AJ33" s="123"/>
      <c r="AK33" s="127"/>
      <c r="AL33" s="128"/>
    </row>
    <row r="34" spans="1:42" x14ac:dyDescent="0.3">
      <c r="A34" s="41">
        <v>2046</v>
      </c>
      <c r="B34" s="123"/>
      <c r="C34" s="127"/>
      <c r="D34" s="128"/>
      <c r="E34" s="132"/>
      <c r="F34" s="123"/>
      <c r="G34" s="127"/>
      <c r="H34" s="128"/>
      <c r="I34" s="132"/>
      <c r="J34" s="198">
        <v>62.028877884615383</v>
      </c>
      <c r="K34" s="190">
        <v>180.13907692307694</v>
      </c>
      <c r="L34" s="199">
        <v>511.52573076923073</v>
      </c>
      <c r="M34" s="123"/>
      <c r="N34" s="127"/>
      <c r="O34" s="127"/>
      <c r="P34" s="123"/>
      <c r="Q34" s="127"/>
      <c r="R34" s="127"/>
      <c r="S34" s="123"/>
      <c r="T34" s="127"/>
      <c r="U34" s="127"/>
      <c r="V34" s="132"/>
      <c r="W34" s="132"/>
      <c r="X34" s="132"/>
      <c r="Y34" s="132"/>
      <c r="Z34" s="123"/>
      <c r="AA34" s="127"/>
      <c r="AB34" s="128"/>
      <c r="AC34" s="132"/>
      <c r="AD34" s="132"/>
      <c r="AE34" s="132"/>
      <c r="AF34" s="123"/>
      <c r="AG34" s="127"/>
      <c r="AH34" s="128"/>
      <c r="AI34" s="123"/>
      <c r="AJ34" s="123"/>
      <c r="AK34" s="127"/>
      <c r="AL34" s="128"/>
    </row>
    <row r="35" spans="1:42" x14ac:dyDescent="0.3">
      <c r="A35" s="41">
        <v>2047</v>
      </c>
      <c r="B35" s="123"/>
      <c r="C35" s="127"/>
      <c r="D35" s="128"/>
      <c r="E35" s="132"/>
      <c r="F35" s="123"/>
      <c r="G35" s="127"/>
      <c r="H35" s="128"/>
      <c r="I35" s="132"/>
      <c r="J35" s="198">
        <v>60.329476923076918</v>
      </c>
      <c r="K35" s="190">
        <v>177.58982692307691</v>
      </c>
      <c r="L35" s="199">
        <v>507.27698076923076</v>
      </c>
      <c r="M35" s="123"/>
      <c r="N35" s="127"/>
      <c r="O35" s="127"/>
      <c r="P35" s="123"/>
      <c r="Q35" s="127"/>
      <c r="R35" s="127"/>
      <c r="S35" s="123"/>
      <c r="T35" s="127"/>
      <c r="U35" s="127"/>
      <c r="V35" s="132"/>
      <c r="W35" s="132"/>
      <c r="X35" s="132"/>
      <c r="Y35" s="132"/>
      <c r="Z35" s="123"/>
      <c r="AA35" s="127"/>
      <c r="AB35" s="128"/>
      <c r="AC35" s="132"/>
      <c r="AD35" s="132"/>
      <c r="AE35" s="132"/>
      <c r="AF35" s="123"/>
      <c r="AG35" s="127"/>
      <c r="AH35" s="128"/>
      <c r="AI35" s="123"/>
      <c r="AJ35" s="123"/>
      <c r="AK35" s="127"/>
      <c r="AL35" s="128"/>
    </row>
    <row r="36" spans="1:42" x14ac:dyDescent="0.3">
      <c r="A36" s="41">
        <v>2048</v>
      </c>
      <c r="B36" s="123"/>
      <c r="C36" s="127"/>
      <c r="D36" s="128"/>
      <c r="E36" s="132"/>
      <c r="F36" s="123"/>
      <c r="G36" s="127"/>
      <c r="H36" s="128"/>
      <c r="I36" s="132"/>
      <c r="J36" s="198">
        <v>58.629976923076924</v>
      </c>
      <c r="K36" s="190">
        <v>176.74007692307691</v>
      </c>
      <c r="L36" s="199">
        <v>503.87798076923076</v>
      </c>
      <c r="M36" s="123"/>
      <c r="N36" s="127"/>
      <c r="O36" s="127"/>
      <c r="P36" s="123"/>
      <c r="Q36" s="127"/>
      <c r="R36" s="127"/>
      <c r="S36" s="123"/>
      <c r="T36" s="127"/>
      <c r="U36" s="127"/>
      <c r="V36" s="132"/>
      <c r="W36" s="132"/>
      <c r="X36" s="132"/>
      <c r="Y36" s="132"/>
      <c r="Z36" s="123"/>
      <c r="AA36" s="127"/>
      <c r="AB36" s="128"/>
      <c r="AC36" s="132"/>
      <c r="AD36" s="132"/>
      <c r="AE36" s="132"/>
      <c r="AF36" s="123"/>
      <c r="AG36" s="127"/>
      <c r="AH36" s="128"/>
      <c r="AI36" s="123"/>
      <c r="AJ36" s="123"/>
      <c r="AK36" s="127"/>
      <c r="AL36" s="128"/>
    </row>
    <row r="37" spans="1:42" x14ac:dyDescent="0.3">
      <c r="A37" s="41">
        <v>2049</v>
      </c>
      <c r="B37" s="123"/>
      <c r="C37" s="127"/>
      <c r="D37" s="128"/>
      <c r="E37" s="132"/>
      <c r="F37" s="123"/>
      <c r="G37" s="127"/>
      <c r="H37" s="128"/>
      <c r="I37" s="132"/>
      <c r="J37" s="198">
        <v>57.780325961538452</v>
      </c>
      <c r="K37" s="190">
        <v>174.19082692307691</v>
      </c>
      <c r="L37" s="199">
        <v>500.47898076923082</v>
      </c>
      <c r="M37" s="123"/>
      <c r="N37" s="127"/>
      <c r="O37" s="127"/>
      <c r="P37" s="123"/>
      <c r="Q37" s="127"/>
      <c r="R37" s="127"/>
      <c r="S37" s="123"/>
      <c r="T37" s="127"/>
      <c r="U37" s="127"/>
      <c r="V37" s="132"/>
      <c r="W37" s="132"/>
      <c r="X37" s="132"/>
      <c r="Y37" s="132"/>
      <c r="Z37" s="123"/>
      <c r="AA37" s="127"/>
      <c r="AB37" s="128"/>
      <c r="AC37" s="132"/>
      <c r="AD37" s="132"/>
      <c r="AE37" s="132"/>
      <c r="AF37" s="123"/>
      <c r="AG37" s="127"/>
      <c r="AH37" s="128"/>
      <c r="AI37" s="123"/>
      <c r="AJ37" s="123"/>
      <c r="AK37" s="127"/>
      <c r="AL37" s="128"/>
    </row>
    <row r="38" spans="1:42" ht="15" thickBot="1" x14ac:dyDescent="0.35">
      <c r="A38" s="42">
        <v>2050</v>
      </c>
      <c r="B38" s="124">
        <v>168.26698000000002</v>
      </c>
      <c r="C38" s="129">
        <v>282.99507499999999</v>
      </c>
      <c r="D38" s="130">
        <v>397.72317000000004</v>
      </c>
      <c r="E38" s="133"/>
      <c r="F38" s="124">
        <v>341.63348999999999</v>
      </c>
      <c r="G38" s="129">
        <v>469.10938000000004</v>
      </c>
      <c r="H38" s="130">
        <v>922.9212</v>
      </c>
      <c r="I38" s="133">
        <v>307.97000000000003</v>
      </c>
      <c r="J38" s="200">
        <v>56.080925000000001</v>
      </c>
      <c r="K38" s="201">
        <v>173.31730769230771</v>
      </c>
      <c r="L38" s="202">
        <v>496.23122115384609</v>
      </c>
      <c r="M38" s="124">
        <v>432</v>
      </c>
      <c r="N38" s="129">
        <v>540</v>
      </c>
      <c r="O38" s="129">
        <v>648</v>
      </c>
      <c r="P38" s="124">
        <v>297</v>
      </c>
      <c r="Q38" s="129">
        <v>378</v>
      </c>
      <c r="R38" s="129">
        <v>459.00000000000006</v>
      </c>
      <c r="S38" s="124">
        <v>270</v>
      </c>
      <c r="T38" s="129">
        <v>351</v>
      </c>
      <c r="U38" s="129">
        <v>432</v>
      </c>
      <c r="V38" s="133">
        <v>186.51240000000001</v>
      </c>
      <c r="W38" s="133">
        <v>351.23</v>
      </c>
      <c r="X38" s="133"/>
      <c r="Y38" s="133">
        <v>154.5</v>
      </c>
      <c r="Z38" s="124">
        <v>159.65</v>
      </c>
      <c r="AA38" s="129">
        <v>471.22500000000002</v>
      </c>
      <c r="AB38" s="130">
        <v>782.80000000000007</v>
      </c>
      <c r="AC38" s="133"/>
      <c r="AD38" s="133">
        <v>350.67483000000004</v>
      </c>
      <c r="AE38" s="133"/>
      <c r="AF38" s="124">
        <v>425.58982000000003</v>
      </c>
      <c r="AG38" s="129">
        <v>731.01365999999996</v>
      </c>
      <c r="AH38" s="130">
        <v>1031.4317000000001</v>
      </c>
      <c r="AI38" s="124">
        <v>463.5</v>
      </c>
      <c r="AJ38" s="124"/>
      <c r="AK38" s="129"/>
      <c r="AL38" s="130"/>
    </row>
    <row r="39" spans="1:42" x14ac:dyDescent="0.3">
      <c r="B39"/>
      <c r="C39"/>
    </row>
    <row r="40" spans="1:42" ht="15.6" x14ac:dyDescent="0.35">
      <c r="A40" s="36" t="s">
        <v>258</v>
      </c>
      <c r="B40"/>
      <c r="C40"/>
    </row>
    <row r="41" spans="1:42" x14ac:dyDescent="0.3">
      <c r="A41" s="36" t="s">
        <v>60</v>
      </c>
      <c r="B41" s="105"/>
      <c r="C41" s="93"/>
      <c r="AD41" s="1"/>
      <c r="AE41" s="36"/>
      <c r="AF41" s="36"/>
      <c r="AG41" s="36"/>
      <c r="AH41" s="36"/>
      <c r="AI41" s="36"/>
      <c r="AJ41" s="36"/>
      <c r="AK41" s="36"/>
      <c r="AL41" s="36"/>
    </row>
    <row r="42" spans="1:42" x14ac:dyDescent="0.3">
      <c r="A42" s="36" t="s">
        <v>308</v>
      </c>
      <c r="B42" s="105"/>
      <c r="C42" s="93"/>
      <c r="P42" s="107"/>
      <c r="AE42" s="99"/>
      <c r="AF42" s="99"/>
      <c r="AG42" s="99"/>
      <c r="AH42" s="99"/>
      <c r="AI42" s="99"/>
      <c r="AJ42" s="99"/>
      <c r="AK42" s="99"/>
      <c r="AL42" s="99"/>
    </row>
    <row r="43" spans="1:42" x14ac:dyDescent="0.3">
      <c r="B43" s="105"/>
      <c r="C43" s="93"/>
      <c r="P43" s="107"/>
      <c r="Q43"/>
      <c r="AD43" s="1"/>
      <c r="AE43" s="1"/>
      <c r="AF43" s="107"/>
      <c r="AG43" s="107"/>
      <c r="AH43" s="107"/>
      <c r="AI43" s="1"/>
      <c r="AJ43" s="107"/>
      <c r="AK43" s="107"/>
      <c r="AL43" s="107"/>
    </row>
    <row r="44" spans="1:42" x14ac:dyDescent="0.3">
      <c r="B44"/>
      <c r="C44"/>
      <c r="N44" s="112"/>
      <c r="P44" s="107"/>
      <c r="Q44"/>
      <c r="R44"/>
      <c r="AD44" s="1"/>
      <c r="AE44" s="1"/>
      <c r="AF44" s="107"/>
      <c r="AG44" s="107"/>
      <c r="AH44" s="107"/>
      <c r="AI44" s="1"/>
      <c r="AJ44" s="107"/>
      <c r="AK44" s="107"/>
      <c r="AL44" s="107"/>
    </row>
    <row r="45" spans="1:42" x14ac:dyDescent="0.3">
      <c r="B45"/>
      <c r="C45" s="93"/>
      <c r="P45" s="107"/>
      <c r="Q45"/>
      <c r="R45"/>
      <c r="AE45" s="1"/>
      <c r="AF45" s="1"/>
      <c r="AG45" s="1"/>
      <c r="AH45" s="1"/>
      <c r="AI45" s="1"/>
      <c r="AJ45" s="1"/>
      <c r="AK45" s="1"/>
      <c r="AL45" s="1"/>
    </row>
    <row r="46" spans="1:42" x14ac:dyDescent="0.3">
      <c r="B46"/>
      <c r="C46" s="93"/>
      <c r="I46"/>
      <c r="J46"/>
      <c r="K46"/>
      <c r="L46"/>
      <c r="M46"/>
      <c r="N46"/>
      <c r="O46"/>
      <c r="P46"/>
      <c r="Q46"/>
      <c r="AE46" s="1"/>
      <c r="AF46" s="107"/>
      <c r="AG46" s="107"/>
      <c r="AH46" s="107"/>
      <c r="AI46" s="1"/>
      <c r="AJ46" s="107"/>
      <c r="AK46" s="107"/>
      <c r="AL46" s="107"/>
    </row>
    <row r="47" spans="1:42" x14ac:dyDescent="0.3">
      <c r="B47"/>
      <c r="C47"/>
      <c r="D47"/>
      <c r="E47"/>
      <c r="F47"/>
      <c r="G47"/>
      <c r="H47"/>
      <c r="I47"/>
      <c r="J47"/>
      <c r="K47"/>
      <c r="L47"/>
      <c r="M47"/>
      <c r="N47"/>
      <c r="O47"/>
      <c r="P47"/>
      <c r="Q47"/>
      <c r="R47"/>
      <c r="S47"/>
      <c r="T47"/>
      <c r="U47"/>
      <c r="V47"/>
      <c r="W47"/>
      <c r="X47"/>
      <c r="Y47"/>
      <c r="Z47"/>
      <c r="AA47"/>
      <c r="AB47"/>
      <c r="AC47"/>
      <c r="AE47" s="1"/>
      <c r="AF47" s="1"/>
      <c r="AG47" s="1"/>
      <c r="AH47" s="1"/>
      <c r="AI47" s="1"/>
      <c r="AJ47" s="1"/>
      <c r="AK47" s="1"/>
      <c r="AL47" s="1"/>
    </row>
    <row r="48" spans="1:42" x14ac:dyDescent="0.3">
      <c r="B48"/>
      <c r="C48"/>
      <c r="D48"/>
      <c r="E48"/>
      <c r="F48"/>
      <c r="G48"/>
      <c r="H48"/>
      <c r="I48"/>
      <c r="J48"/>
      <c r="K48"/>
      <c r="L48"/>
      <c r="M48"/>
      <c r="N48"/>
      <c r="O48"/>
      <c r="P48"/>
      <c r="Q48"/>
      <c r="R48"/>
      <c r="S48"/>
      <c r="T48"/>
      <c r="U48"/>
      <c r="V48"/>
      <c r="W48"/>
      <c r="X48"/>
      <c r="Y48"/>
      <c r="Z48"/>
      <c r="AA48"/>
      <c r="AB48"/>
      <c r="AC48"/>
      <c r="AH48" s="1"/>
      <c r="AI48" s="1"/>
      <c r="AJ48" s="107"/>
      <c r="AK48" s="107"/>
      <c r="AL48" s="107"/>
      <c r="AM48" s="1"/>
      <c r="AN48" s="107"/>
      <c r="AO48" s="107"/>
      <c r="AP48" s="107"/>
    </row>
    <row r="49" spans="2:42" x14ac:dyDescent="0.3">
      <c r="B49"/>
      <c r="C49"/>
      <c r="D49"/>
      <c r="E49"/>
      <c r="F49"/>
      <c r="G49"/>
      <c r="H49"/>
      <c r="R49"/>
      <c r="S49"/>
      <c r="T49"/>
      <c r="U49"/>
      <c r="V49"/>
      <c r="W49"/>
      <c r="X49"/>
      <c r="Y49"/>
      <c r="Z49"/>
      <c r="AA49"/>
      <c r="AB49"/>
      <c r="AC49"/>
      <c r="AH49" s="1"/>
      <c r="AI49" s="1"/>
      <c r="AJ49" s="107"/>
      <c r="AK49" s="107"/>
      <c r="AL49" s="107"/>
      <c r="AM49" s="1"/>
      <c r="AN49" s="107"/>
      <c r="AO49" s="107"/>
      <c r="AP49" s="107"/>
    </row>
    <row r="50" spans="2:42" x14ac:dyDescent="0.3">
      <c r="B50"/>
      <c r="C50"/>
      <c r="D50"/>
      <c r="E50"/>
      <c r="F50"/>
      <c r="G50"/>
      <c r="H50"/>
      <c r="I50"/>
      <c r="J50"/>
      <c r="K50"/>
      <c r="L50"/>
      <c r="M50"/>
      <c r="N50"/>
      <c r="O50"/>
      <c r="P50"/>
      <c r="Q50"/>
      <c r="R50"/>
      <c r="S50"/>
      <c r="T50"/>
      <c r="U50"/>
      <c r="V50"/>
      <c r="W50"/>
      <c r="X50"/>
      <c r="Y50"/>
      <c r="Z50"/>
      <c r="AA50"/>
      <c r="AB50"/>
      <c r="AC50"/>
      <c r="AH50" s="1"/>
      <c r="AI50" s="1"/>
      <c r="AJ50" s="107"/>
      <c r="AK50" s="107"/>
      <c r="AL50" s="107"/>
      <c r="AM50" s="1"/>
      <c r="AN50" s="107"/>
      <c r="AO50" s="107"/>
      <c r="AP50" s="107"/>
    </row>
    <row r="51" spans="2:42" x14ac:dyDescent="0.3">
      <c r="B51"/>
      <c r="C51"/>
      <c r="D51"/>
      <c r="E51"/>
      <c r="F51"/>
      <c r="G51"/>
      <c r="H51"/>
      <c r="I51"/>
      <c r="J51"/>
      <c r="K51"/>
      <c r="L51"/>
      <c r="M51"/>
      <c r="N51"/>
      <c r="O51"/>
      <c r="P51"/>
      <c r="Q51"/>
      <c r="R51"/>
      <c r="S51"/>
      <c r="T51"/>
      <c r="U51"/>
      <c r="V51"/>
      <c r="W51"/>
      <c r="X51"/>
      <c r="Y51"/>
      <c r="Z51"/>
      <c r="AA51"/>
      <c r="AB51"/>
      <c r="AC51"/>
      <c r="AH51" s="1"/>
      <c r="AI51" s="1"/>
      <c r="AJ51" s="1"/>
      <c r="AK51" s="1"/>
      <c r="AL51" s="1"/>
      <c r="AM51" s="1"/>
      <c r="AN51" s="1"/>
      <c r="AO51" s="1"/>
      <c r="AP51" s="1"/>
    </row>
    <row r="52" spans="2:42" x14ac:dyDescent="0.3">
      <c r="B52"/>
      <c r="C52"/>
      <c r="D52"/>
      <c r="E52"/>
      <c r="F52"/>
      <c r="G52"/>
      <c r="H52"/>
      <c r="R52"/>
      <c r="S52"/>
      <c r="T52"/>
      <c r="U52"/>
      <c r="V52"/>
      <c r="W52"/>
      <c r="X52"/>
      <c r="Y52"/>
      <c r="Z52"/>
      <c r="AA52"/>
      <c r="AB52"/>
      <c r="AC52"/>
      <c r="AH52" s="1"/>
      <c r="AI52" s="1"/>
      <c r="AJ52" s="107"/>
      <c r="AK52" s="107"/>
      <c r="AL52" s="107"/>
      <c r="AM52" s="1"/>
      <c r="AN52" s="107"/>
      <c r="AO52" s="107"/>
      <c r="AP52" s="107"/>
    </row>
    <row r="53" spans="2:42" x14ac:dyDescent="0.3">
      <c r="B53"/>
      <c r="C53"/>
      <c r="D53"/>
      <c r="E53"/>
      <c r="F53"/>
      <c r="G53"/>
      <c r="H53"/>
      <c r="I53"/>
      <c r="J53"/>
      <c r="K53"/>
      <c r="L53"/>
      <c r="M53"/>
      <c r="N53"/>
      <c r="O53"/>
      <c r="P53"/>
      <c r="Q53"/>
      <c r="R53"/>
      <c r="S53"/>
      <c r="T53"/>
      <c r="U53"/>
      <c r="V53"/>
      <c r="W53"/>
      <c r="X53"/>
      <c r="Y53"/>
      <c r="Z53"/>
      <c r="AA53"/>
      <c r="AB53"/>
      <c r="AC53"/>
      <c r="AH53" s="107"/>
      <c r="AI53" s="107"/>
      <c r="AJ53" s="107"/>
      <c r="AK53" s="107"/>
      <c r="AL53" s="107"/>
      <c r="AM53" s="107"/>
    </row>
    <row r="54" spans="2:42" x14ac:dyDescent="0.3">
      <c r="B54"/>
      <c r="C54"/>
      <c r="D54"/>
      <c r="E54"/>
      <c r="F54"/>
      <c r="G54"/>
      <c r="H54"/>
      <c r="R54"/>
      <c r="S54"/>
      <c r="T54"/>
      <c r="U54"/>
      <c r="V54"/>
      <c r="W54"/>
      <c r="X54"/>
      <c r="Y54"/>
      <c r="Z54"/>
      <c r="AA54"/>
      <c r="AB54"/>
      <c r="AC54"/>
      <c r="AH54" s="100"/>
      <c r="AI54" s="107"/>
      <c r="AJ54" s="107"/>
      <c r="AK54" s="107"/>
      <c r="AL54" s="107"/>
      <c r="AM54" s="107"/>
      <c r="AN54" s="107"/>
      <c r="AO54" s="107"/>
      <c r="AP54" s="107"/>
    </row>
    <row r="55" spans="2:42" x14ac:dyDescent="0.3">
      <c r="B55"/>
      <c r="C55"/>
      <c r="D55"/>
      <c r="E55"/>
      <c r="F55"/>
      <c r="G55"/>
      <c r="H55"/>
      <c r="R55"/>
      <c r="S55"/>
      <c r="T55"/>
      <c r="U55"/>
      <c r="V55"/>
      <c r="W55"/>
      <c r="X55"/>
      <c r="Y55"/>
      <c r="Z55"/>
      <c r="AA55"/>
      <c r="AB55"/>
      <c r="AC55"/>
      <c r="AH55" s="100"/>
      <c r="AI55" s="107"/>
      <c r="AJ55" s="107"/>
      <c r="AK55" s="107"/>
      <c r="AL55" s="107"/>
      <c r="AM55" s="107"/>
      <c r="AN55" s="107"/>
      <c r="AO55" s="107"/>
      <c r="AP55" s="107"/>
    </row>
    <row r="56" spans="2:42" x14ac:dyDescent="0.3">
      <c r="B56"/>
      <c r="C56"/>
      <c r="D56"/>
      <c r="E56"/>
      <c r="F56"/>
      <c r="G56"/>
      <c r="H56"/>
      <c r="R56"/>
      <c r="S56"/>
      <c r="T56"/>
      <c r="U56"/>
      <c r="V56"/>
      <c r="W56"/>
      <c r="X56"/>
      <c r="Y56"/>
      <c r="Z56"/>
      <c r="AA56"/>
      <c r="AB56"/>
      <c r="AC56"/>
      <c r="AH56" s="100"/>
      <c r="AI56" s="107"/>
      <c r="AJ56" s="107"/>
      <c r="AK56" s="107"/>
      <c r="AL56" s="107"/>
      <c r="AM56" s="107"/>
      <c r="AN56" s="107"/>
      <c r="AO56" s="107"/>
      <c r="AP56" s="107"/>
    </row>
    <row r="57" spans="2:42" x14ac:dyDescent="0.3">
      <c r="B57"/>
      <c r="C57"/>
      <c r="D57"/>
      <c r="E57"/>
      <c r="F57"/>
      <c r="G57"/>
      <c r="H57"/>
      <c r="R57"/>
      <c r="S57"/>
      <c r="T57"/>
      <c r="U57"/>
      <c r="V57"/>
      <c r="W57"/>
      <c r="X57"/>
      <c r="Y57"/>
      <c r="Z57"/>
      <c r="AA57"/>
      <c r="AB57"/>
      <c r="AC57"/>
    </row>
    <row r="58" spans="2:42" x14ac:dyDescent="0.3">
      <c r="B58"/>
      <c r="C58"/>
      <c r="D58"/>
      <c r="E58"/>
      <c r="F58"/>
      <c r="G58"/>
      <c r="H58"/>
      <c r="R58"/>
      <c r="S58"/>
      <c r="T58"/>
      <c r="U58"/>
      <c r="V58"/>
      <c r="W58"/>
      <c r="X58"/>
      <c r="Y58"/>
      <c r="Z58"/>
      <c r="AA58"/>
      <c r="AB58"/>
      <c r="AC58"/>
    </row>
    <row r="59" spans="2:42" x14ac:dyDescent="0.3">
      <c r="B59"/>
      <c r="C59"/>
      <c r="D59"/>
      <c r="E59"/>
      <c r="F59"/>
      <c r="G59"/>
      <c r="H59"/>
      <c r="I59"/>
      <c r="J59"/>
      <c r="K59"/>
      <c r="L59"/>
      <c r="M59"/>
      <c r="N59"/>
      <c r="O59"/>
      <c r="P59"/>
      <c r="Q59"/>
      <c r="R59"/>
      <c r="S59"/>
      <c r="T59"/>
      <c r="U59"/>
      <c r="V59"/>
      <c r="W59"/>
      <c r="X59"/>
      <c r="Y59"/>
      <c r="Z59"/>
      <c r="AA59"/>
      <c r="AB59"/>
      <c r="AC59"/>
    </row>
    <row r="60" spans="2:42" x14ac:dyDescent="0.3">
      <c r="B60"/>
      <c r="C60"/>
      <c r="D60"/>
      <c r="E60"/>
      <c r="F60"/>
      <c r="G60"/>
      <c r="H60"/>
      <c r="R60"/>
      <c r="S60"/>
      <c r="T60"/>
      <c r="U60"/>
      <c r="V60"/>
      <c r="W60"/>
      <c r="X60"/>
      <c r="Y60"/>
      <c r="Z60"/>
      <c r="AA60"/>
      <c r="AB60"/>
      <c r="AC60"/>
    </row>
    <row r="61" spans="2:42" x14ac:dyDescent="0.3">
      <c r="B61"/>
      <c r="C61"/>
      <c r="D61"/>
      <c r="E61"/>
      <c r="F61"/>
      <c r="G61"/>
      <c r="H61"/>
      <c r="R61"/>
      <c r="S61"/>
      <c r="T61"/>
      <c r="U61"/>
      <c r="V61"/>
      <c r="W61"/>
      <c r="X61"/>
      <c r="Y61"/>
      <c r="Z61"/>
      <c r="AA61"/>
      <c r="AB61"/>
      <c r="AC61"/>
    </row>
    <row r="62" spans="2:42" x14ac:dyDescent="0.3">
      <c r="B62"/>
      <c r="C62"/>
      <c r="D62"/>
      <c r="E62"/>
      <c r="F62"/>
      <c r="G62"/>
      <c r="H62"/>
      <c r="R62"/>
      <c r="S62"/>
      <c r="T62"/>
      <c r="U62"/>
      <c r="V62"/>
      <c r="W62"/>
      <c r="X62"/>
      <c r="Y62"/>
      <c r="Z62"/>
      <c r="AA62"/>
      <c r="AB62"/>
      <c r="AC62"/>
    </row>
    <row r="63" spans="2:42" x14ac:dyDescent="0.3">
      <c r="B63"/>
      <c r="C63"/>
      <c r="D63"/>
      <c r="E63"/>
      <c r="F63"/>
      <c r="G63"/>
      <c r="H63"/>
      <c r="R63"/>
      <c r="S63"/>
      <c r="T63"/>
      <c r="U63"/>
      <c r="V63"/>
      <c r="W63"/>
      <c r="X63"/>
      <c r="Y63"/>
      <c r="Z63"/>
      <c r="AA63"/>
      <c r="AB63"/>
      <c r="AC63"/>
    </row>
    <row r="64" spans="2:42" x14ac:dyDescent="0.3">
      <c r="B64"/>
      <c r="C64"/>
      <c r="D64"/>
      <c r="E64"/>
      <c r="F64"/>
      <c r="G64"/>
      <c r="H64"/>
      <c r="R64"/>
      <c r="S64"/>
      <c r="T64"/>
      <c r="U64"/>
      <c r="V64"/>
      <c r="W64"/>
      <c r="X64"/>
      <c r="Y64"/>
      <c r="Z64"/>
      <c r="AA64"/>
      <c r="AB64"/>
      <c r="AC64"/>
    </row>
    <row r="65" spans="2:29" x14ac:dyDescent="0.3">
      <c r="B65"/>
      <c r="C65"/>
      <c r="D65"/>
      <c r="E65"/>
      <c r="F65"/>
      <c r="G65"/>
      <c r="H65"/>
      <c r="R65"/>
      <c r="S65"/>
      <c r="T65"/>
      <c r="U65"/>
      <c r="V65"/>
      <c r="W65"/>
      <c r="X65"/>
      <c r="Y65"/>
      <c r="Z65"/>
      <c r="AA65"/>
      <c r="AB65"/>
      <c r="AC65"/>
    </row>
    <row r="66" spans="2:29" x14ac:dyDescent="0.3">
      <c r="B66"/>
      <c r="C66"/>
      <c r="D66"/>
      <c r="E66"/>
      <c r="F66"/>
      <c r="G66"/>
      <c r="H66"/>
      <c r="R66"/>
      <c r="S66"/>
      <c r="T66"/>
      <c r="U66"/>
      <c r="V66"/>
      <c r="W66"/>
      <c r="X66"/>
      <c r="Y66"/>
      <c r="Z66"/>
      <c r="AA66"/>
      <c r="AB66"/>
      <c r="AC66"/>
    </row>
    <row r="67" spans="2:29" x14ac:dyDescent="0.3">
      <c r="B67"/>
      <c r="C67"/>
      <c r="D67"/>
      <c r="E67"/>
      <c r="F67"/>
      <c r="G67"/>
      <c r="H67"/>
      <c r="R67"/>
      <c r="S67"/>
      <c r="T67"/>
      <c r="U67"/>
      <c r="V67"/>
      <c r="W67"/>
      <c r="X67"/>
      <c r="Y67"/>
      <c r="Z67"/>
      <c r="AA67"/>
      <c r="AB67"/>
      <c r="AC67"/>
    </row>
    <row r="68" spans="2:29" x14ac:dyDescent="0.3">
      <c r="B68"/>
      <c r="C68"/>
      <c r="D68"/>
      <c r="E68"/>
      <c r="F68"/>
      <c r="G68"/>
      <c r="H68"/>
      <c r="R68"/>
      <c r="S68"/>
      <c r="T68"/>
      <c r="U68"/>
      <c r="V68"/>
      <c r="W68"/>
      <c r="X68"/>
      <c r="Y68"/>
      <c r="Z68"/>
      <c r="AA68"/>
      <c r="AB68"/>
      <c r="AC68"/>
    </row>
    <row r="69" spans="2:29" x14ac:dyDescent="0.3">
      <c r="B69"/>
      <c r="C69"/>
      <c r="D69"/>
      <c r="E69"/>
      <c r="F69"/>
      <c r="G69"/>
      <c r="H69"/>
      <c r="R69"/>
      <c r="S69"/>
      <c r="T69"/>
      <c r="U69"/>
      <c r="V69"/>
      <c r="W69"/>
      <c r="X69"/>
      <c r="Y69"/>
      <c r="Z69"/>
      <c r="AA69"/>
      <c r="AB69"/>
      <c r="AC69"/>
    </row>
    <row r="70" spans="2:29" x14ac:dyDescent="0.3">
      <c r="B70"/>
      <c r="C70"/>
      <c r="D70"/>
      <c r="E70"/>
      <c r="F70"/>
      <c r="G70"/>
      <c r="H70"/>
      <c r="R70"/>
      <c r="S70"/>
      <c r="T70"/>
      <c r="U70"/>
      <c r="V70"/>
      <c r="W70"/>
      <c r="X70"/>
      <c r="Y70"/>
      <c r="Z70"/>
      <c r="AA70"/>
      <c r="AB70"/>
      <c r="AC70"/>
    </row>
    <row r="71" spans="2:29" x14ac:dyDescent="0.3">
      <c r="B71"/>
      <c r="C71"/>
      <c r="D71"/>
      <c r="E71"/>
      <c r="F71"/>
      <c r="G71"/>
      <c r="H71"/>
      <c r="R71"/>
      <c r="S71"/>
      <c r="T71"/>
      <c r="U71"/>
      <c r="V71"/>
      <c r="W71"/>
      <c r="X71"/>
      <c r="Y71"/>
      <c r="Z71"/>
      <c r="AA71"/>
      <c r="AB71"/>
      <c r="AC71"/>
    </row>
    <row r="72" spans="2:29" x14ac:dyDescent="0.3">
      <c r="B72"/>
      <c r="C72"/>
      <c r="D72"/>
      <c r="E72"/>
      <c r="F72"/>
      <c r="G72"/>
      <c r="H72"/>
      <c r="R72"/>
      <c r="S72"/>
      <c r="T72"/>
      <c r="U72"/>
      <c r="V72"/>
      <c r="W72"/>
      <c r="X72"/>
      <c r="Y72"/>
      <c r="Z72"/>
      <c r="AA72"/>
      <c r="AB72"/>
      <c r="AC72"/>
    </row>
    <row r="73" spans="2:29" x14ac:dyDescent="0.3">
      <c r="B73"/>
      <c r="C73"/>
      <c r="D73"/>
      <c r="E73"/>
      <c r="F73"/>
      <c r="G73"/>
      <c r="H73"/>
      <c r="R73"/>
      <c r="S73"/>
      <c r="T73"/>
      <c r="U73"/>
      <c r="V73"/>
      <c r="W73"/>
      <c r="X73"/>
      <c r="Y73"/>
      <c r="Z73"/>
      <c r="AA73"/>
      <c r="AB73"/>
      <c r="AC73"/>
    </row>
    <row r="74" spans="2:29" x14ac:dyDescent="0.3">
      <c r="B74"/>
      <c r="C74"/>
      <c r="D74"/>
      <c r="E74"/>
      <c r="F74"/>
      <c r="G74"/>
      <c r="H74"/>
      <c r="R74"/>
      <c r="S74"/>
      <c r="T74"/>
      <c r="U74"/>
      <c r="V74"/>
      <c r="W74"/>
      <c r="X74"/>
      <c r="Y74"/>
      <c r="Z74"/>
      <c r="AA74"/>
      <c r="AB74"/>
      <c r="AC74"/>
    </row>
    <row r="75" spans="2:29" x14ac:dyDescent="0.3">
      <c r="B75"/>
      <c r="C75"/>
      <c r="D75"/>
      <c r="E75"/>
      <c r="F75"/>
      <c r="G75"/>
      <c r="H75"/>
      <c r="R75"/>
      <c r="S75"/>
      <c r="T75"/>
      <c r="U75"/>
      <c r="V75"/>
      <c r="W75"/>
      <c r="X75"/>
      <c r="Y75"/>
      <c r="Z75"/>
      <c r="AA75"/>
      <c r="AB75"/>
      <c r="AC75"/>
    </row>
    <row r="76" spans="2:29" x14ac:dyDescent="0.3">
      <c r="B76"/>
      <c r="C76"/>
      <c r="D76"/>
      <c r="E76"/>
      <c r="F76"/>
      <c r="G76"/>
      <c r="H76"/>
      <c r="R76"/>
      <c r="S76"/>
      <c r="T76"/>
      <c r="U76"/>
      <c r="V76"/>
      <c r="W76"/>
      <c r="X76"/>
      <c r="Y76"/>
      <c r="Z76"/>
      <c r="AA76"/>
      <c r="AB76"/>
      <c r="AC76"/>
    </row>
    <row r="77" spans="2:29" x14ac:dyDescent="0.3">
      <c r="B77"/>
      <c r="C77"/>
      <c r="D77"/>
      <c r="E77"/>
      <c r="F77"/>
      <c r="G77"/>
      <c r="H77"/>
      <c r="R77"/>
      <c r="S77"/>
      <c r="T77"/>
      <c r="U77"/>
      <c r="V77"/>
      <c r="W77"/>
      <c r="X77"/>
      <c r="Y77"/>
      <c r="Z77"/>
      <c r="AA77"/>
      <c r="AB77"/>
      <c r="AC77"/>
    </row>
    <row r="78" spans="2:29" x14ac:dyDescent="0.3">
      <c r="B78"/>
      <c r="C78"/>
      <c r="D78"/>
      <c r="E78"/>
      <c r="F78"/>
      <c r="G78"/>
      <c r="H78"/>
      <c r="R78"/>
      <c r="S78"/>
      <c r="T78"/>
      <c r="U78"/>
      <c r="V78"/>
      <c r="W78"/>
      <c r="X78"/>
      <c r="Y78"/>
      <c r="Z78"/>
      <c r="AA78"/>
      <c r="AB78"/>
      <c r="AC78"/>
    </row>
    <row r="79" spans="2:29" x14ac:dyDescent="0.3">
      <c r="B79"/>
      <c r="C79"/>
      <c r="D79"/>
      <c r="E79"/>
      <c r="F79"/>
      <c r="G79"/>
      <c r="H79"/>
      <c r="R79"/>
      <c r="S79"/>
      <c r="T79"/>
      <c r="U79"/>
      <c r="V79"/>
      <c r="W79"/>
      <c r="X79"/>
      <c r="Y79"/>
      <c r="Z79"/>
      <c r="AA79"/>
      <c r="AB79"/>
      <c r="AC79"/>
    </row>
    <row r="80" spans="2:29" x14ac:dyDescent="0.3">
      <c r="B80"/>
      <c r="C80"/>
      <c r="D80"/>
      <c r="E80"/>
      <c r="F80"/>
      <c r="G80"/>
      <c r="H80"/>
      <c r="R80"/>
      <c r="S80"/>
      <c r="T80"/>
      <c r="U80"/>
      <c r="V80"/>
      <c r="W80"/>
      <c r="X80"/>
      <c r="Y80"/>
      <c r="Z80"/>
      <c r="AA80"/>
      <c r="AB80"/>
      <c r="AC80"/>
    </row>
    <row r="81" spans="2:29" x14ac:dyDescent="0.3">
      <c r="B81"/>
      <c r="C81"/>
      <c r="D81"/>
      <c r="E81"/>
      <c r="F81"/>
      <c r="G81"/>
      <c r="H81"/>
      <c r="R81"/>
      <c r="S81"/>
      <c r="T81"/>
      <c r="U81"/>
      <c r="V81"/>
      <c r="W81"/>
      <c r="X81"/>
      <c r="Y81"/>
      <c r="Z81"/>
      <c r="AA81"/>
      <c r="AB81"/>
      <c r="AC81"/>
    </row>
    <row r="82" spans="2:29" x14ac:dyDescent="0.3">
      <c r="B82"/>
      <c r="C82"/>
      <c r="D82"/>
      <c r="E82"/>
      <c r="F82"/>
      <c r="G82"/>
      <c r="H82"/>
      <c r="R82"/>
      <c r="S82"/>
      <c r="T82"/>
      <c r="U82"/>
      <c r="V82"/>
      <c r="W82"/>
      <c r="X82"/>
      <c r="Y82"/>
      <c r="Z82"/>
      <c r="AA82"/>
      <c r="AB82"/>
      <c r="AC82"/>
    </row>
    <row r="83" spans="2:29" x14ac:dyDescent="0.3">
      <c r="B83"/>
      <c r="C83"/>
      <c r="D83"/>
      <c r="E83"/>
      <c r="F83"/>
      <c r="G83"/>
      <c r="H83"/>
      <c r="R83"/>
      <c r="S83"/>
      <c r="T83"/>
      <c r="U83"/>
      <c r="V83"/>
      <c r="W83"/>
      <c r="X83"/>
      <c r="Y83"/>
      <c r="Z83"/>
      <c r="AA83"/>
      <c r="AB83"/>
      <c r="AC83"/>
    </row>
    <row r="84" spans="2:29" x14ac:dyDescent="0.3">
      <c r="B84"/>
      <c r="C84"/>
      <c r="D84"/>
      <c r="E84"/>
      <c r="F84"/>
      <c r="G84"/>
      <c r="H84"/>
      <c r="R84"/>
      <c r="S84"/>
      <c r="T84"/>
      <c r="U84"/>
      <c r="V84"/>
      <c r="W84"/>
      <c r="X84"/>
      <c r="Y84"/>
      <c r="Z84"/>
      <c r="AA84"/>
      <c r="AB84"/>
      <c r="AC84"/>
    </row>
    <row r="85" spans="2:29" x14ac:dyDescent="0.3">
      <c r="B85"/>
      <c r="C85"/>
      <c r="D85"/>
      <c r="E85"/>
      <c r="F85"/>
      <c r="G85"/>
      <c r="H85"/>
      <c r="R85"/>
      <c r="S85"/>
      <c r="T85"/>
      <c r="U85"/>
      <c r="V85"/>
      <c r="W85"/>
      <c r="X85"/>
      <c r="Y85"/>
      <c r="Z85"/>
      <c r="AA85"/>
      <c r="AB85"/>
      <c r="AC85"/>
    </row>
  </sheetData>
  <mergeCells count="10">
    <mergeCell ref="AJ1:AL1"/>
    <mergeCell ref="A1:A2"/>
    <mergeCell ref="B1:D1"/>
    <mergeCell ref="F1:H1"/>
    <mergeCell ref="J1:L1"/>
    <mergeCell ref="Z1:AB1"/>
    <mergeCell ref="AF1:AH1"/>
    <mergeCell ref="M1:O1"/>
    <mergeCell ref="P1:R1"/>
    <mergeCell ref="S1:U1"/>
  </mergeCells>
  <pageMargins left="0.25" right="0.25" top="0.75" bottom="0.75" header="0.3" footer="0.3"/>
  <pageSetup paperSize="9" scale="24" orientation="landscape" r:id="rId1"/>
  <headerFooter>
    <oddFooter>&amp;C_x000D_&amp;1#&amp;"Calibri"&amp;7&amp;K000000 Classification: In-Confidence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AF7C2-423F-4CD9-B53B-BD8520846A1B}">
  <sheetPr>
    <tabColor rgb="FFFF0000"/>
    <pageSetUpPr fitToPage="1"/>
  </sheetPr>
  <dimension ref="A1:AB82"/>
  <sheetViews>
    <sheetView zoomScale="55" zoomScaleNormal="55" workbookViewId="0">
      <selection activeCell="O39" sqref="O39"/>
    </sheetView>
  </sheetViews>
  <sheetFormatPr defaultRowHeight="14.4" x14ac:dyDescent="0.3"/>
  <cols>
    <col min="1" max="1" width="8.5546875" style="1" customWidth="1"/>
    <col min="2" max="2" width="16.6640625" style="1" bestFit="1" customWidth="1"/>
    <col min="3" max="3" width="7.21875" style="1" bestFit="1" customWidth="1"/>
    <col min="4" max="4" width="9.21875" style="1" customWidth="1"/>
    <col min="5" max="5" width="7.77734375" style="1" bestFit="1" customWidth="1"/>
    <col min="6" max="6" width="15.5546875" style="1" bestFit="1" customWidth="1"/>
    <col min="7" max="7" width="7.21875" style="1" bestFit="1" customWidth="1"/>
    <col min="8" max="8" width="8.21875" style="1" bestFit="1" customWidth="1"/>
    <col min="9" max="9" width="7.77734375" style="1" bestFit="1" customWidth="1"/>
    <col min="10" max="10" width="22.109375" style="1" bestFit="1" customWidth="1"/>
    <col min="11" max="11" width="24.88671875" style="1" bestFit="1" customWidth="1"/>
    <col min="12" max="12" width="20.88671875" style="1" bestFit="1" customWidth="1"/>
    <col min="13" max="13" width="30.5546875" style="1" bestFit="1" customWidth="1"/>
    <col min="14" max="14" width="8.6640625" style="1" customWidth="1"/>
    <col min="15" max="15" width="9.6640625" style="1" customWidth="1"/>
    <col min="16" max="16" width="10.44140625" style="1" customWidth="1"/>
    <col min="17" max="17" width="19.6640625" style="1" customWidth="1"/>
    <col min="18" max="18" width="10.6640625" style="1" customWidth="1"/>
    <col min="19" max="20" width="9.6640625" style="1" customWidth="1"/>
    <col min="21" max="21" width="10.88671875" style="1" customWidth="1"/>
    <col min="22" max="22" width="11.5546875" style="1" customWidth="1"/>
    <col min="23" max="23" width="10.44140625" style="1" customWidth="1"/>
    <col min="24" max="24" width="6.33203125" style="1" customWidth="1"/>
    <col min="25" max="25" width="7.6640625" style="1" customWidth="1"/>
    <col min="26" max="26" width="6.6640625" style="1" customWidth="1"/>
    <col min="27" max="27" width="20.33203125" style="1" customWidth="1"/>
    <col min="28" max="28" width="11.44140625" style="1" customWidth="1"/>
    <col min="29" max="29" width="11.5546875" customWidth="1"/>
    <col min="30" max="30" width="11.6640625" customWidth="1"/>
    <col min="32" max="33" width="8.88671875" customWidth="1"/>
    <col min="34" max="34" width="36.88671875" customWidth="1"/>
  </cols>
  <sheetData>
    <row r="1" spans="1:28" ht="40.950000000000003" customHeight="1" thickBot="1" x14ac:dyDescent="0.35">
      <c r="A1" s="321" t="s">
        <v>0</v>
      </c>
      <c r="B1" s="56" t="s">
        <v>101</v>
      </c>
      <c r="C1" s="298" t="s">
        <v>327</v>
      </c>
      <c r="D1" s="299"/>
      <c r="E1" s="300"/>
      <c r="F1" s="56" t="s">
        <v>82</v>
      </c>
      <c r="G1" s="298" t="s">
        <v>125</v>
      </c>
      <c r="H1" s="299"/>
      <c r="I1" s="300"/>
      <c r="J1" s="56" t="s">
        <v>83</v>
      </c>
      <c r="K1" s="56" t="s">
        <v>84</v>
      </c>
      <c r="L1" s="56" t="s">
        <v>102</v>
      </c>
      <c r="M1" s="56" t="s">
        <v>291</v>
      </c>
      <c r="N1" s="298" t="s">
        <v>326</v>
      </c>
      <c r="O1" s="299"/>
      <c r="P1" s="300"/>
      <c r="Q1" s="56" t="s">
        <v>103</v>
      </c>
      <c r="R1" s="298" t="s">
        <v>337</v>
      </c>
      <c r="S1" s="299"/>
      <c r="T1" s="300"/>
      <c r="U1" s="298" t="s">
        <v>46</v>
      </c>
      <c r="V1" s="299"/>
      <c r="W1" s="300"/>
      <c r="X1" s="335" t="s">
        <v>89</v>
      </c>
      <c r="Y1" s="336"/>
      <c r="Z1" s="337"/>
      <c r="AA1"/>
      <c r="AB1"/>
    </row>
    <row r="2" spans="1:28" ht="15" customHeight="1" thickBot="1" x14ac:dyDescent="0.35">
      <c r="A2" s="322"/>
      <c r="B2" s="66" t="s">
        <v>19</v>
      </c>
      <c r="C2" s="68" t="s">
        <v>18</v>
      </c>
      <c r="D2" s="69" t="s">
        <v>19</v>
      </c>
      <c r="E2" s="69" t="s">
        <v>20</v>
      </c>
      <c r="F2" s="66" t="s">
        <v>19</v>
      </c>
      <c r="G2" s="68" t="s">
        <v>18</v>
      </c>
      <c r="H2" s="69" t="s">
        <v>19</v>
      </c>
      <c r="I2" s="69" t="s">
        <v>20</v>
      </c>
      <c r="J2" s="66" t="s">
        <v>19</v>
      </c>
      <c r="K2" s="66" t="s">
        <v>18</v>
      </c>
      <c r="L2" s="66" t="s">
        <v>19</v>
      </c>
      <c r="M2" s="66" t="s">
        <v>19</v>
      </c>
      <c r="N2" s="68" t="s">
        <v>18</v>
      </c>
      <c r="O2" s="69" t="s">
        <v>19</v>
      </c>
      <c r="P2" s="69" t="s">
        <v>20</v>
      </c>
      <c r="Q2" s="66" t="s">
        <v>19</v>
      </c>
      <c r="R2" s="68" t="s">
        <v>18</v>
      </c>
      <c r="S2" s="69" t="s">
        <v>19</v>
      </c>
      <c r="T2" s="69" t="s">
        <v>20</v>
      </c>
      <c r="U2" s="68" t="s">
        <v>18</v>
      </c>
      <c r="V2" s="69" t="s">
        <v>19</v>
      </c>
      <c r="W2" s="69" t="s">
        <v>20</v>
      </c>
      <c r="X2" s="113" t="s">
        <v>21</v>
      </c>
      <c r="Y2" s="114" t="s">
        <v>19</v>
      </c>
      <c r="Z2" s="115" t="s">
        <v>22</v>
      </c>
      <c r="AA2"/>
      <c r="AB2"/>
    </row>
    <row r="3" spans="1:28" x14ac:dyDescent="0.3">
      <c r="A3" s="41">
        <v>2015</v>
      </c>
      <c r="B3" s="122"/>
      <c r="C3" s="122"/>
      <c r="D3" s="125"/>
      <c r="E3" s="126"/>
      <c r="F3" s="131"/>
      <c r="G3" s="122"/>
      <c r="H3" s="125"/>
      <c r="I3" s="126"/>
      <c r="J3" s="131"/>
      <c r="K3" s="187"/>
      <c r="L3" s="131"/>
      <c r="M3" s="131"/>
      <c r="N3" s="122"/>
      <c r="O3" s="125"/>
      <c r="P3" s="126"/>
      <c r="Q3" s="131"/>
      <c r="R3" s="122"/>
      <c r="S3" s="125"/>
      <c r="T3" s="126"/>
      <c r="U3" s="122"/>
      <c r="V3" s="125"/>
      <c r="W3" s="126"/>
      <c r="X3" s="122">
        <v>6.0278072000000007</v>
      </c>
      <c r="Y3" s="125">
        <v>7.2453702000000009</v>
      </c>
      <c r="Z3" s="126">
        <v>8.24</v>
      </c>
      <c r="AA3"/>
      <c r="AB3"/>
    </row>
    <row r="4" spans="1:28" x14ac:dyDescent="0.3">
      <c r="A4" s="41">
        <v>2016</v>
      </c>
      <c r="B4" s="123"/>
      <c r="C4" s="123"/>
      <c r="D4" s="127"/>
      <c r="E4" s="128"/>
      <c r="F4" s="132"/>
      <c r="G4" s="123"/>
      <c r="H4" s="127"/>
      <c r="I4" s="128"/>
      <c r="J4" s="132"/>
      <c r="K4" s="188"/>
      <c r="L4" s="132"/>
      <c r="M4" s="132"/>
      <c r="N4" s="123"/>
      <c r="O4" s="127"/>
      <c r="P4" s="128"/>
      <c r="Q4" s="132"/>
      <c r="R4" s="123"/>
      <c r="S4" s="127"/>
      <c r="T4" s="128"/>
      <c r="U4" s="123"/>
      <c r="V4" s="127"/>
      <c r="W4" s="128"/>
      <c r="X4" s="123">
        <v>5.4876133999999999</v>
      </c>
      <c r="Y4" s="127">
        <v>6.7823543000000006</v>
      </c>
      <c r="Z4" s="128">
        <v>8.0770849000000009</v>
      </c>
      <c r="AA4"/>
      <c r="AB4"/>
    </row>
    <row r="5" spans="1:28" x14ac:dyDescent="0.3">
      <c r="A5" s="41">
        <v>2017</v>
      </c>
      <c r="B5" s="123"/>
      <c r="C5" s="123"/>
      <c r="D5" s="127"/>
      <c r="E5" s="128"/>
      <c r="F5" s="132"/>
      <c r="G5" s="123"/>
      <c r="H5" s="127"/>
      <c r="I5" s="128"/>
      <c r="J5" s="132"/>
      <c r="K5" s="188"/>
      <c r="L5" s="132"/>
      <c r="M5" s="132"/>
      <c r="N5" s="123"/>
      <c r="O5" s="127"/>
      <c r="P5" s="128"/>
      <c r="Q5" s="132"/>
      <c r="R5" s="123"/>
      <c r="S5" s="127"/>
      <c r="T5" s="128"/>
      <c r="U5" s="123"/>
      <c r="V5" s="127"/>
      <c r="W5" s="128"/>
      <c r="X5" s="123">
        <v>4.9731489999999994</v>
      </c>
      <c r="Y5" s="127">
        <v>6.3279080000000008</v>
      </c>
      <c r="Z5" s="128">
        <v>7.7255355999999997</v>
      </c>
      <c r="AA5"/>
      <c r="AB5"/>
    </row>
    <row r="6" spans="1:28" x14ac:dyDescent="0.3">
      <c r="A6" s="41">
        <v>2018</v>
      </c>
      <c r="B6" s="123"/>
      <c r="C6" s="123"/>
      <c r="D6" s="127"/>
      <c r="E6" s="128"/>
      <c r="F6" s="132"/>
      <c r="G6" s="123"/>
      <c r="H6" s="127"/>
      <c r="I6" s="128"/>
      <c r="J6" s="132"/>
      <c r="K6" s="188"/>
      <c r="L6" s="132"/>
      <c r="M6" s="132"/>
      <c r="N6" s="123">
        <v>3.2239</v>
      </c>
      <c r="O6" s="127">
        <v>4.1715</v>
      </c>
      <c r="P6" s="128">
        <v>5.1190999999999995</v>
      </c>
      <c r="Q6" s="132"/>
      <c r="R6" s="123"/>
      <c r="S6" s="127"/>
      <c r="T6" s="128"/>
      <c r="U6" s="123"/>
      <c r="V6" s="127"/>
      <c r="W6" s="128"/>
      <c r="X6" s="123">
        <v>4.5358624999999995</v>
      </c>
      <c r="Y6" s="127">
        <v>5.9334901000000002</v>
      </c>
      <c r="Z6" s="128">
        <v>7.3997053999999993</v>
      </c>
      <c r="AA6"/>
      <c r="AB6"/>
    </row>
    <row r="7" spans="1:28" x14ac:dyDescent="0.3">
      <c r="A7" s="41">
        <v>2019</v>
      </c>
      <c r="B7" s="123"/>
      <c r="C7" s="123">
        <v>2.7501000000000002</v>
      </c>
      <c r="D7" s="127">
        <v>5.0521500000000001</v>
      </c>
      <c r="E7" s="128">
        <v>7.4366000000000003</v>
      </c>
      <c r="F7" s="132"/>
      <c r="G7" s="123"/>
      <c r="H7" s="127"/>
      <c r="I7" s="128"/>
      <c r="J7" s="132"/>
      <c r="K7" s="188"/>
      <c r="L7" s="132"/>
      <c r="M7" s="132"/>
      <c r="N7" s="123"/>
      <c r="O7" s="127"/>
      <c r="P7" s="128"/>
      <c r="Q7" s="132"/>
      <c r="R7" s="123"/>
      <c r="S7" s="127"/>
      <c r="T7" s="128"/>
      <c r="U7" s="123">
        <v>2.5750000000000002</v>
      </c>
      <c r="V7" s="127">
        <v>3.6564999999999999</v>
      </c>
      <c r="W7" s="128">
        <v>4.7379999999999995</v>
      </c>
      <c r="X7" s="123"/>
      <c r="Y7" s="127">
        <v>4.7071000000000005</v>
      </c>
      <c r="Z7" s="128"/>
      <c r="AA7"/>
      <c r="AB7"/>
    </row>
    <row r="8" spans="1:28" x14ac:dyDescent="0.3">
      <c r="A8" s="41">
        <v>2020</v>
      </c>
      <c r="B8" s="123">
        <v>10.931596000000001</v>
      </c>
      <c r="C8" s="123"/>
      <c r="D8" s="127"/>
      <c r="E8" s="128"/>
      <c r="F8" s="132"/>
      <c r="G8" s="123">
        <v>31.896774193548385</v>
      </c>
      <c r="H8" s="127">
        <v>35.551612903225809</v>
      </c>
      <c r="I8" s="128">
        <v>39.206451612903223</v>
      </c>
      <c r="J8" s="189">
        <v>5.739167357434539</v>
      </c>
      <c r="K8" s="188">
        <v>9.9792144230769217</v>
      </c>
      <c r="L8" s="132">
        <v>11.3781319</v>
      </c>
      <c r="M8" s="132">
        <v>5.2186701000000006</v>
      </c>
      <c r="N8" s="123"/>
      <c r="O8" s="127"/>
      <c r="P8" s="128"/>
      <c r="Q8" s="132">
        <v>10.698404</v>
      </c>
      <c r="R8" s="123">
        <v>2.3689999999999998</v>
      </c>
      <c r="S8" s="127">
        <v>3.1414999999999997</v>
      </c>
      <c r="T8" s="128">
        <v>3.9139999999999997</v>
      </c>
      <c r="U8" s="123"/>
      <c r="V8" s="190"/>
      <c r="W8" s="128"/>
      <c r="X8" s="123">
        <v>2.5750000000000002</v>
      </c>
      <c r="Y8" s="127">
        <v>3.605</v>
      </c>
      <c r="Z8" s="128">
        <v>4.6349999999999998</v>
      </c>
      <c r="AA8"/>
      <c r="AB8"/>
    </row>
    <row r="9" spans="1:28" x14ac:dyDescent="0.3">
      <c r="A9" s="41">
        <v>2021</v>
      </c>
      <c r="B9" s="123"/>
      <c r="C9" s="123"/>
      <c r="D9" s="127"/>
      <c r="E9" s="128"/>
      <c r="F9" s="132"/>
      <c r="G9" s="123"/>
      <c r="H9" s="127"/>
      <c r="I9" s="128"/>
      <c r="J9" s="132"/>
      <c r="K9" s="188"/>
      <c r="L9" s="132"/>
      <c r="M9" s="132"/>
      <c r="N9" s="123"/>
      <c r="O9" s="127"/>
      <c r="P9" s="128"/>
      <c r="Q9" s="132"/>
      <c r="R9" s="123"/>
      <c r="S9" s="127"/>
      <c r="T9" s="128"/>
      <c r="U9" s="123"/>
      <c r="V9" s="127"/>
      <c r="W9" s="128"/>
      <c r="X9" s="123">
        <v>3.5535000000000001</v>
      </c>
      <c r="Y9" s="127">
        <v>5.2272500000000006</v>
      </c>
      <c r="Z9" s="128">
        <v>6.9010000000000007</v>
      </c>
      <c r="AA9"/>
      <c r="AB9"/>
    </row>
    <row r="10" spans="1:28" x14ac:dyDescent="0.3">
      <c r="A10" s="41">
        <v>2022</v>
      </c>
      <c r="B10" s="123"/>
      <c r="C10" s="123"/>
      <c r="D10" s="127"/>
      <c r="E10" s="128"/>
      <c r="F10" s="132"/>
      <c r="G10" s="123"/>
      <c r="H10" s="127"/>
      <c r="I10" s="128"/>
      <c r="J10" s="132"/>
      <c r="K10" s="188"/>
      <c r="L10" s="132"/>
      <c r="M10" s="132"/>
      <c r="N10" s="123"/>
      <c r="O10" s="127"/>
      <c r="P10" s="128"/>
      <c r="Q10" s="132"/>
      <c r="R10" s="123"/>
      <c r="S10" s="127"/>
      <c r="T10" s="128"/>
      <c r="U10" s="123"/>
      <c r="V10" s="127"/>
      <c r="W10" s="128"/>
      <c r="X10" s="191"/>
      <c r="Y10" s="192"/>
      <c r="Z10" s="193"/>
      <c r="AA10"/>
      <c r="AB10"/>
    </row>
    <row r="11" spans="1:28" x14ac:dyDescent="0.3">
      <c r="A11" s="41">
        <v>2023</v>
      </c>
      <c r="B11" s="123"/>
      <c r="C11" s="123"/>
      <c r="D11" s="127"/>
      <c r="E11" s="128"/>
      <c r="F11" s="132"/>
      <c r="G11" s="123"/>
      <c r="H11" s="127"/>
      <c r="I11" s="128"/>
      <c r="J11" s="132"/>
      <c r="K11" s="188"/>
      <c r="L11" s="132"/>
      <c r="M11" s="132"/>
      <c r="N11" s="123"/>
      <c r="O11" s="127"/>
      <c r="P11" s="128"/>
      <c r="Q11" s="132"/>
      <c r="R11" s="123"/>
      <c r="S11" s="127"/>
      <c r="T11" s="128"/>
      <c r="U11" s="123"/>
      <c r="V11" s="127"/>
      <c r="W11" s="128"/>
      <c r="X11" s="123"/>
      <c r="Y11" s="127"/>
      <c r="Z11" s="128"/>
      <c r="AA11"/>
      <c r="AB11"/>
    </row>
    <row r="12" spans="1:28" x14ac:dyDescent="0.3">
      <c r="A12" s="41">
        <v>2024</v>
      </c>
      <c r="B12" s="123"/>
      <c r="C12" s="123"/>
      <c r="D12" s="127"/>
      <c r="E12" s="128"/>
      <c r="F12" s="132"/>
      <c r="G12" s="123"/>
      <c r="H12" s="127"/>
      <c r="I12" s="128"/>
      <c r="J12" s="132"/>
      <c r="K12" s="188"/>
      <c r="L12" s="132"/>
      <c r="M12" s="132"/>
      <c r="N12" s="123"/>
      <c r="O12" s="127"/>
      <c r="P12" s="128"/>
      <c r="Q12" s="132"/>
      <c r="R12" s="123"/>
      <c r="S12" s="127"/>
      <c r="T12" s="128"/>
      <c r="U12" s="123"/>
      <c r="V12" s="127"/>
      <c r="W12" s="128"/>
      <c r="X12" s="123"/>
      <c r="Y12" s="127"/>
      <c r="Z12" s="128"/>
      <c r="AA12"/>
      <c r="AB12"/>
    </row>
    <row r="13" spans="1:28" x14ac:dyDescent="0.3">
      <c r="A13" s="41">
        <v>2025</v>
      </c>
      <c r="B13" s="123">
        <v>9.5323616000000015</v>
      </c>
      <c r="C13" s="123"/>
      <c r="D13" s="127"/>
      <c r="E13" s="128"/>
      <c r="F13" s="132">
        <v>4.5351539218000001</v>
      </c>
      <c r="G13" s="123"/>
      <c r="H13" s="127"/>
      <c r="I13" s="128"/>
      <c r="J13" s="189">
        <v>2.9131964271129109</v>
      </c>
      <c r="K13" s="188">
        <v>10.269000961538461</v>
      </c>
      <c r="L13" s="132">
        <v>9.5299101999999998</v>
      </c>
      <c r="M13" s="132"/>
      <c r="N13" s="123">
        <v>2.1732999999999998</v>
      </c>
      <c r="O13" s="127">
        <v>2.9097500000000003</v>
      </c>
      <c r="P13" s="128">
        <v>3.6462000000000003</v>
      </c>
      <c r="Q13" s="132">
        <v>9.2117020000000007</v>
      </c>
      <c r="R13" s="123"/>
      <c r="S13" s="127"/>
      <c r="T13" s="128"/>
      <c r="U13" s="123"/>
      <c r="V13" s="127"/>
      <c r="W13" s="128"/>
      <c r="X13" s="123"/>
      <c r="Y13" s="127"/>
      <c r="Z13" s="128"/>
      <c r="AA13"/>
      <c r="AB13"/>
    </row>
    <row r="14" spans="1:28" x14ac:dyDescent="0.3">
      <c r="A14" s="41">
        <v>2026</v>
      </c>
      <c r="B14" s="123"/>
      <c r="C14" s="123"/>
      <c r="D14" s="127"/>
      <c r="E14" s="128"/>
      <c r="F14" s="132"/>
      <c r="G14" s="123"/>
      <c r="H14" s="127"/>
      <c r="I14" s="128"/>
      <c r="J14" s="132"/>
      <c r="K14" s="188"/>
      <c r="L14" s="132"/>
      <c r="M14" s="132"/>
      <c r="N14" s="123"/>
      <c r="O14" s="127"/>
      <c r="P14" s="128"/>
      <c r="Q14" s="132"/>
      <c r="R14" s="123"/>
      <c r="S14" s="127"/>
      <c r="T14" s="128"/>
      <c r="U14" s="123"/>
      <c r="V14" s="127"/>
      <c r="W14" s="128"/>
      <c r="X14" s="123"/>
      <c r="Y14" s="127"/>
      <c r="Z14" s="128"/>
      <c r="AA14"/>
      <c r="AB14"/>
    </row>
    <row r="15" spans="1:28" x14ac:dyDescent="0.3">
      <c r="A15" s="41">
        <v>2027</v>
      </c>
      <c r="B15" s="123"/>
      <c r="C15" s="123"/>
      <c r="D15" s="127"/>
      <c r="E15" s="128"/>
      <c r="F15" s="132"/>
      <c r="G15" s="123"/>
      <c r="H15" s="127"/>
      <c r="I15" s="128"/>
      <c r="J15" s="132"/>
      <c r="K15" s="188"/>
      <c r="L15" s="132"/>
      <c r="M15" s="132"/>
      <c r="N15" s="123"/>
      <c r="O15" s="127"/>
      <c r="P15" s="128"/>
      <c r="Q15" s="132"/>
      <c r="R15" s="123"/>
      <c r="S15" s="127"/>
      <c r="T15" s="128"/>
      <c r="U15" s="123"/>
      <c r="V15" s="127"/>
      <c r="W15" s="128"/>
      <c r="X15" s="123"/>
      <c r="Y15" s="127"/>
      <c r="Z15" s="128"/>
      <c r="AA15"/>
      <c r="AB15"/>
    </row>
    <row r="16" spans="1:28" x14ac:dyDescent="0.3">
      <c r="A16" s="41">
        <v>2028</v>
      </c>
      <c r="B16" s="123"/>
      <c r="C16" s="123"/>
      <c r="D16" s="127"/>
      <c r="E16" s="128"/>
      <c r="F16" s="132"/>
      <c r="G16" s="123"/>
      <c r="H16" s="127"/>
      <c r="I16" s="128"/>
      <c r="J16" s="132"/>
      <c r="K16" s="188"/>
      <c r="L16" s="132"/>
      <c r="M16" s="132"/>
      <c r="N16" s="123"/>
      <c r="O16" s="127"/>
      <c r="P16" s="128"/>
      <c r="Q16" s="132"/>
      <c r="R16" s="123"/>
      <c r="S16" s="127"/>
      <c r="T16" s="128"/>
      <c r="U16" s="123"/>
      <c r="V16" s="127"/>
      <c r="W16" s="128"/>
      <c r="X16" s="123"/>
      <c r="Y16" s="127"/>
      <c r="Z16" s="128"/>
      <c r="AA16"/>
      <c r="AB16"/>
    </row>
    <row r="17" spans="1:28" x14ac:dyDescent="0.3">
      <c r="A17" s="41">
        <v>2029</v>
      </c>
      <c r="B17" s="123"/>
      <c r="C17" s="123"/>
      <c r="D17" s="127"/>
      <c r="E17" s="128"/>
      <c r="F17" s="132"/>
      <c r="G17" s="123"/>
      <c r="H17" s="127"/>
      <c r="I17" s="128"/>
      <c r="J17" s="132"/>
      <c r="K17" s="188"/>
      <c r="L17" s="132"/>
      <c r="M17" s="132"/>
      <c r="N17" s="123"/>
      <c r="O17" s="127"/>
      <c r="P17" s="128"/>
      <c r="Q17" s="132"/>
      <c r="R17" s="123"/>
      <c r="S17" s="127"/>
      <c r="T17" s="128"/>
      <c r="U17" s="123"/>
      <c r="V17" s="127"/>
      <c r="W17" s="128"/>
      <c r="X17" s="123"/>
      <c r="Y17" s="127"/>
      <c r="Z17" s="128"/>
      <c r="AA17"/>
      <c r="AB17"/>
    </row>
    <row r="18" spans="1:28" x14ac:dyDescent="0.3">
      <c r="A18" s="41">
        <v>2030</v>
      </c>
      <c r="B18" s="123">
        <v>8.133116900000001</v>
      </c>
      <c r="C18" s="123"/>
      <c r="D18" s="127"/>
      <c r="E18" s="128"/>
      <c r="F18" s="132">
        <v>3.5516721486099998</v>
      </c>
      <c r="G18" s="123">
        <v>12.625806451612902</v>
      </c>
      <c r="H18" s="127">
        <v>13.29032258064516</v>
      </c>
      <c r="I18" s="128">
        <v>13.95483870967742</v>
      </c>
      <c r="J18" s="132">
        <v>1.9655644030464545</v>
      </c>
      <c r="K18" s="188">
        <v>10.279697115384614</v>
      </c>
      <c r="L18" s="132">
        <v>7.5950449000000004</v>
      </c>
      <c r="M18" s="132">
        <v>2.8290701</v>
      </c>
      <c r="N18" s="123"/>
      <c r="O18" s="127"/>
      <c r="P18" s="128"/>
      <c r="Q18" s="132">
        <v>7.8999043000000002</v>
      </c>
      <c r="R18" s="123">
        <v>1.4419999999999999</v>
      </c>
      <c r="S18" s="127">
        <v>1.6480000000000001</v>
      </c>
      <c r="T18" s="128">
        <v>1.8540000000000001</v>
      </c>
      <c r="U18" s="123">
        <v>1.236</v>
      </c>
      <c r="V18" s="127">
        <v>2.06</v>
      </c>
      <c r="W18" s="128">
        <v>2.8839999999999999</v>
      </c>
      <c r="X18" s="123"/>
      <c r="Y18" s="127"/>
      <c r="Z18" s="128"/>
      <c r="AA18"/>
      <c r="AB18"/>
    </row>
    <row r="19" spans="1:28" x14ac:dyDescent="0.3">
      <c r="A19" s="41">
        <v>2031</v>
      </c>
      <c r="B19" s="123"/>
      <c r="C19" s="123"/>
      <c r="D19" s="127"/>
      <c r="E19" s="128"/>
      <c r="F19" s="132"/>
      <c r="G19" s="123"/>
      <c r="H19" s="127"/>
      <c r="I19" s="128"/>
      <c r="J19" s="132"/>
      <c r="K19" s="188"/>
      <c r="L19" s="132"/>
      <c r="M19" s="132"/>
      <c r="N19" s="123"/>
      <c r="O19" s="127"/>
      <c r="P19" s="128"/>
      <c r="Q19" s="132"/>
      <c r="R19" s="123"/>
      <c r="S19" s="127"/>
      <c r="T19" s="128"/>
      <c r="U19" s="123"/>
      <c r="V19" s="127"/>
      <c r="W19" s="128"/>
      <c r="X19" s="123"/>
      <c r="Y19" s="127"/>
      <c r="Z19" s="128"/>
      <c r="AA19"/>
      <c r="AB19"/>
    </row>
    <row r="20" spans="1:28" x14ac:dyDescent="0.3">
      <c r="A20" s="41">
        <v>2032</v>
      </c>
      <c r="B20" s="123"/>
      <c r="C20" s="123"/>
      <c r="D20" s="127"/>
      <c r="E20" s="128"/>
      <c r="F20" s="132"/>
      <c r="G20" s="123"/>
      <c r="H20" s="127"/>
      <c r="I20" s="128"/>
      <c r="J20" s="132"/>
      <c r="K20" s="188"/>
      <c r="L20" s="132"/>
      <c r="M20" s="132"/>
      <c r="N20" s="123"/>
      <c r="O20" s="127"/>
      <c r="P20" s="128"/>
      <c r="Q20" s="132"/>
      <c r="R20" s="123"/>
      <c r="S20" s="127"/>
      <c r="T20" s="128"/>
      <c r="U20" s="123"/>
      <c r="V20" s="127"/>
      <c r="W20" s="128"/>
      <c r="X20" s="123"/>
      <c r="Y20" s="127"/>
      <c r="Z20" s="128"/>
      <c r="AA20"/>
      <c r="AB20"/>
    </row>
    <row r="21" spans="1:28" x14ac:dyDescent="0.3">
      <c r="A21" s="41">
        <v>2033</v>
      </c>
      <c r="B21" s="123"/>
      <c r="C21" s="123"/>
      <c r="D21" s="127"/>
      <c r="E21" s="128"/>
      <c r="F21" s="132"/>
      <c r="G21" s="123"/>
      <c r="H21" s="127"/>
      <c r="I21" s="128"/>
      <c r="J21" s="132"/>
      <c r="K21" s="188"/>
      <c r="L21" s="132"/>
      <c r="M21" s="132"/>
      <c r="N21" s="123"/>
      <c r="O21" s="127"/>
      <c r="P21" s="128"/>
      <c r="Q21" s="132"/>
      <c r="R21" s="123"/>
      <c r="S21" s="127"/>
      <c r="T21" s="128"/>
      <c r="U21" s="123"/>
      <c r="V21" s="127"/>
      <c r="W21" s="128"/>
      <c r="X21" s="123"/>
      <c r="Y21" s="127"/>
      <c r="Z21" s="128"/>
      <c r="AA21"/>
      <c r="AB21"/>
    </row>
    <row r="22" spans="1:28" x14ac:dyDescent="0.3">
      <c r="A22" s="41">
        <v>2034</v>
      </c>
      <c r="B22" s="123"/>
      <c r="C22" s="123"/>
      <c r="D22" s="127"/>
      <c r="E22" s="128"/>
      <c r="F22" s="132"/>
      <c r="G22" s="123"/>
      <c r="H22" s="127"/>
      <c r="I22" s="128"/>
      <c r="J22" s="132"/>
      <c r="K22" s="188"/>
      <c r="L22" s="132"/>
      <c r="M22" s="132"/>
      <c r="N22" s="123"/>
      <c r="O22" s="127"/>
      <c r="P22" s="128"/>
      <c r="Q22" s="132"/>
      <c r="R22" s="123"/>
      <c r="S22" s="127"/>
      <c r="T22" s="128"/>
      <c r="U22" s="123"/>
      <c r="V22" s="127"/>
      <c r="W22" s="128"/>
      <c r="X22" s="123"/>
      <c r="Y22" s="127"/>
      <c r="Z22" s="128"/>
      <c r="AA22"/>
      <c r="AB22"/>
    </row>
    <row r="23" spans="1:28" x14ac:dyDescent="0.3">
      <c r="A23" s="41">
        <v>2035</v>
      </c>
      <c r="B23" s="123">
        <v>7.6667019999999999</v>
      </c>
      <c r="C23" s="123">
        <v>2.2248000000000001</v>
      </c>
      <c r="D23" s="127">
        <v>4.6144000000000007</v>
      </c>
      <c r="E23" s="128">
        <v>6.3242000000000003</v>
      </c>
      <c r="F23" s="132">
        <v>3.2111483414700008</v>
      </c>
      <c r="G23" s="123"/>
      <c r="H23" s="127"/>
      <c r="I23" s="128"/>
      <c r="J23" s="132"/>
      <c r="K23" s="188">
        <v>10.19383076923077</v>
      </c>
      <c r="L23" s="132">
        <v>6.9010000000000007</v>
      </c>
      <c r="M23" s="132"/>
      <c r="N23" s="123"/>
      <c r="O23" s="127"/>
      <c r="P23" s="128"/>
      <c r="Q23" s="132">
        <v>7.4334894000000009</v>
      </c>
      <c r="R23" s="123"/>
      <c r="S23" s="127"/>
      <c r="T23" s="128"/>
      <c r="U23" s="123"/>
      <c r="V23" s="127"/>
      <c r="W23" s="128"/>
      <c r="X23" s="123"/>
      <c r="Y23" s="127"/>
      <c r="Z23" s="128"/>
      <c r="AA23"/>
      <c r="AB23"/>
    </row>
    <row r="24" spans="1:28" x14ac:dyDescent="0.3">
      <c r="A24" s="41">
        <v>2036</v>
      </c>
      <c r="B24" s="123"/>
      <c r="C24" s="123"/>
      <c r="D24" s="127"/>
      <c r="E24" s="128"/>
      <c r="F24" s="132"/>
      <c r="G24" s="123"/>
      <c r="H24" s="127"/>
      <c r="I24" s="128"/>
      <c r="J24" s="132"/>
      <c r="K24" s="188"/>
      <c r="L24" s="132"/>
      <c r="M24" s="132"/>
      <c r="N24" s="123"/>
      <c r="O24" s="127"/>
      <c r="P24" s="128"/>
      <c r="Q24" s="132"/>
      <c r="R24" s="123"/>
      <c r="S24" s="127"/>
      <c r="T24" s="128"/>
      <c r="U24" s="123"/>
      <c r="V24" s="127"/>
      <c r="W24" s="128"/>
      <c r="X24" s="123"/>
      <c r="Y24" s="127"/>
      <c r="Z24" s="128"/>
      <c r="AA24"/>
      <c r="AB24"/>
    </row>
    <row r="25" spans="1:28" x14ac:dyDescent="0.3">
      <c r="A25" s="41">
        <v>2037</v>
      </c>
      <c r="B25" s="123"/>
      <c r="C25" s="123"/>
      <c r="D25" s="127"/>
      <c r="E25" s="128"/>
      <c r="F25" s="132"/>
      <c r="G25" s="123"/>
      <c r="H25" s="127"/>
      <c r="I25" s="128"/>
      <c r="J25" s="132"/>
      <c r="K25" s="188"/>
      <c r="L25" s="132"/>
      <c r="M25" s="132"/>
      <c r="N25" s="123"/>
      <c r="O25" s="127"/>
      <c r="P25" s="128"/>
      <c r="Q25" s="132"/>
      <c r="R25" s="123"/>
      <c r="S25" s="127"/>
      <c r="T25" s="128"/>
      <c r="U25" s="123"/>
      <c r="V25" s="127"/>
      <c r="W25" s="128"/>
      <c r="X25" s="123"/>
      <c r="Y25" s="127"/>
      <c r="Z25" s="128"/>
      <c r="AA25"/>
      <c r="AB25"/>
    </row>
    <row r="26" spans="1:28" x14ac:dyDescent="0.3">
      <c r="A26" s="41">
        <v>2038</v>
      </c>
      <c r="B26" s="123"/>
      <c r="C26" s="123"/>
      <c r="D26" s="127"/>
      <c r="E26" s="128"/>
      <c r="F26" s="132"/>
      <c r="G26" s="123"/>
      <c r="H26" s="127"/>
      <c r="I26" s="128"/>
      <c r="J26" s="132"/>
      <c r="K26" s="188"/>
      <c r="L26" s="132"/>
      <c r="M26" s="132"/>
      <c r="N26" s="123"/>
      <c r="O26" s="127"/>
      <c r="P26" s="128"/>
      <c r="Q26" s="132"/>
      <c r="R26" s="123"/>
      <c r="S26" s="127"/>
      <c r="T26" s="128"/>
      <c r="U26" s="123"/>
      <c r="V26" s="127"/>
      <c r="W26" s="128"/>
      <c r="X26" s="123"/>
      <c r="Y26" s="127"/>
      <c r="Z26" s="128"/>
      <c r="AA26"/>
      <c r="AB26"/>
    </row>
    <row r="27" spans="1:28" x14ac:dyDescent="0.3">
      <c r="A27" s="41">
        <v>2039</v>
      </c>
      <c r="B27" s="123"/>
      <c r="C27" s="123"/>
      <c r="D27" s="127"/>
      <c r="E27" s="128"/>
      <c r="F27" s="132"/>
      <c r="G27" s="123"/>
      <c r="H27" s="127"/>
      <c r="I27" s="128"/>
      <c r="J27" s="132"/>
      <c r="K27" s="188"/>
      <c r="L27" s="132"/>
      <c r="M27" s="132"/>
      <c r="N27" s="123"/>
      <c r="O27" s="127"/>
      <c r="P27" s="128"/>
      <c r="Q27" s="132"/>
      <c r="R27" s="123"/>
      <c r="S27" s="127"/>
      <c r="T27" s="128"/>
      <c r="U27" s="123"/>
      <c r="V27" s="127"/>
      <c r="W27" s="128"/>
      <c r="X27" s="123"/>
      <c r="Y27" s="127"/>
      <c r="Z27" s="128"/>
      <c r="AA27"/>
      <c r="AB27"/>
    </row>
    <row r="28" spans="1:28" x14ac:dyDescent="0.3">
      <c r="A28" s="41">
        <v>2040</v>
      </c>
      <c r="B28" s="123">
        <v>7.1419788000000004</v>
      </c>
      <c r="C28" s="123"/>
      <c r="D28" s="127"/>
      <c r="E28" s="128"/>
      <c r="F28" s="132">
        <v>2.9318526402200007</v>
      </c>
      <c r="G28" s="123">
        <v>7.9741935483870963</v>
      </c>
      <c r="H28" s="127">
        <v>9.3032258064516125</v>
      </c>
      <c r="I28" s="128">
        <v>10.63225806451613</v>
      </c>
      <c r="J28" s="132"/>
      <c r="K28" s="188">
        <v>9.9363307692307696</v>
      </c>
      <c r="L28" s="132">
        <v>6.18</v>
      </c>
      <c r="M28" s="132"/>
      <c r="N28" s="123"/>
      <c r="O28" s="127"/>
      <c r="P28" s="128"/>
      <c r="Q28" s="132">
        <v>6.9379255000000004</v>
      </c>
      <c r="R28" s="123"/>
      <c r="S28" s="127"/>
      <c r="T28" s="128"/>
      <c r="U28" s="123"/>
      <c r="V28" s="127"/>
      <c r="W28" s="128"/>
      <c r="X28" s="123"/>
      <c r="Y28" s="127"/>
      <c r="Z28" s="128"/>
      <c r="AA28"/>
      <c r="AB28"/>
    </row>
    <row r="29" spans="1:28" x14ac:dyDescent="0.3">
      <c r="A29" s="41">
        <v>2041</v>
      </c>
      <c r="B29" s="123"/>
      <c r="C29" s="123"/>
      <c r="D29" s="127"/>
      <c r="E29" s="128"/>
      <c r="F29" s="132"/>
      <c r="G29" s="123"/>
      <c r="H29" s="127"/>
      <c r="I29" s="128"/>
      <c r="J29" s="132"/>
      <c r="K29" s="188"/>
      <c r="L29" s="132"/>
      <c r="M29" s="132"/>
      <c r="N29" s="123"/>
      <c r="O29" s="127"/>
      <c r="P29" s="128"/>
      <c r="Q29" s="132"/>
      <c r="R29" s="123"/>
      <c r="S29" s="127"/>
      <c r="T29" s="128"/>
      <c r="U29" s="123"/>
      <c r="V29" s="127"/>
      <c r="W29" s="128"/>
      <c r="X29" s="123"/>
      <c r="Y29" s="127"/>
      <c r="Z29" s="128"/>
      <c r="AA29"/>
      <c r="AB29"/>
    </row>
    <row r="30" spans="1:28" x14ac:dyDescent="0.3">
      <c r="A30" s="41">
        <v>2042</v>
      </c>
      <c r="B30" s="123"/>
      <c r="C30" s="123"/>
      <c r="D30" s="127"/>
      <c r="E30" s="128"/>
      <c r="F30" s="132"/>
      <c r="G30" s="123"/>
      <c r="H30" s="127"/>
      <c r="I30" s="128"/>
      <c r="J30" s="132"/>
      <c r="K30" s="188"/>
      <c r="L30" s="132"/>
      <c r="M30" s="132"/>
      <c r="N30" s="123"/>
      <c r="O30" s="127"/>
      <c r="P30" s="128"/>
      <c r="Q30" s="132"/>
      <c r="R30" s="123"/>
      <c r="S30" s="127"/>
      <c r="T30" s="128"/>
      <c r="U30" s="123"/>
      <c r="V30" s="127"/>
      <c r="W30" s="128"/>
      <c r="X30" s="123"/>
      <c r="Y30" s="127"/>
      <c r="Z30" s="128"/>
      <c r="AA30"/>
      <c r="AB30"/>
    </row>
    <row r="31" spans="1:28" x14ac:dyDescent="0.3">
      <c r="A31" s="41">
        <v>2043</v>
      </c>
      <c r="B31" s="123"/>
      <c r="C31" s="123"/>
      <c r="D31" s="127"/>
      <c r="E31" s="128"/>
      <c r="F31" s="132"/>
      <c r="G31" s="123"/>
      <c r="H31" s="127"/>
      <c r="I31" s="128"/>
      <c r="J31" s="132"/>
      <c r="K31" s="188"/>
      <c r="L31" s="132"/>
      <c r="M31" s="132"/>
      <c r="N31" s="123"/>
      <c r="O31" s="127"/>
      <c r="P31" s="128"/>
      <c r="Q31" s="132"/>
      <c r="R31" s="123"/>
      <c r="S31" s="127"/>
      <c r="T31" s="128"/>
      <c r="U31" s="123"/>
      <c r="V31" s="127"/>
      <c r="W31" s="128"/>
      <c r="X31" s="123"/>
      <c r="Y31" s="127"/>
      <c r="Z31" s="128"/>
      <c r="AA31"/>
      <c r="AB31"/>
    </row>
    <row r="32" spans="1:28" x14ac:dyDescent="0.3">
      <c r="A32" s="41">
        <v>2044</v>
      </c>
      <c r="B32" s="123"/>
      <c r="C32" s="123"/>
      <c r="D32" s="127"/>
      <c r="E32" s="128"/>
      <c r="F32" s="132"/>
      <c r="G32" s="123"/>
      <c r="H32" s="127"/>
      <c r="I32" s="128"/>
      <c r="J32" s="132"/>
      <c r="K32" s="188"/>
      <c r="L32" s="132"/>
      <c r="M32" s="132"/>
      <c r="N32" s="123"/>
      <c r="O32" s="127"/>
      <c r="P32" s="128"/>
      <c r="Q32" s="132"/>
      <c r="R32" s="123"/>
      <c r="S32" s="127"/>
      <c r="T32" s="128"/>
      <c r="U32" s="123"/>
      <c r="V32" s="127"/>
      <c r="W32" s="128"/>
      <c r="X32" s="123"/>
      <c r="Y32" s="127"/>
      <c r="Z32" s="128"/>
      <c r="AA32"/>
      <c r="AB32"/>
    </row>
    <row r="33" spans="1:28" x14ac:dyDescent="0.3">
      <c r="A33" s="41">
        <v>2045</v>
      </c>
      <c r="B33" s="123"/>
      <c r="C33" s="123"/>
      <c r="D33" s="127"/>
      <c r="E33" s="128"/>
      <c r="F33" s="132">
        <v>2.9089737096000006</v>
      </c>
      <c r="G33" s="123"/>
      <c r="H33" s="127"/>
      <c r="I33" s="128"/>
      <c r="J33" s="132"/>
      <c r="K33" s="188">
        <v>9.6144161538461557</v>
      </c>
      <c r="L33" s="132"/>
      <c r="M33" s="132"/>
      <c r="N33" s="123"/>
      <c r="O33" s="127"/>
      <c r="P33" s="128"/>
      <c r="Q33" s="132"/>
      <c r="R33" s="123"/>
      <c r="S33" s="127"/>
      <c r="T33" s="128"/>
      <c r="U33" s="123"/>
      <c r="V33" s="127"/>
      <c r="W33" s="128"/>
      <c r="X33" s="123"/>
      <c r="Y33" s="127"/>
      <c r="Z33" s="128"/>
      <c r="AA33"/>
      <c r="AB33"/>
    </row>
    <row r="34" spans="1:28" x14ac:dyDescent="0.3">
      <c r="A34" s="41">
        <v>2046</v>
      </c>
      <c r="B34" s="123"/>
      <c r="C34" s="123"/>
      <c r="D34" s="127"/>
      <c r="E34" s="128"/>
      <c r="F34" s="132"/>
      <c r="G34" s="123"/>
      <c r="H34" s="127"/>
      <c r="I34" s="128"/>
      <c r="J34" s="132"/>
      <c r="K34" s="188"/>
      <c r="L34" s="132"/>
      <c r="M34" s="132"/>
      <c r="N34" s="123"/>
      <c r="O34" s="127"/>
      <c r="P34" s="128"/>
      <c r="Q34" s="132"/>
      <c r="R34" s="123"/>
      <c r="S34" s="127"/>
      <c r="T34" s="128"/>
      <c r="U34" s="123"/>
      <c r="V34" s="127"/>
      <c r="W34" s="128"/>
      <c r="X34" s="123"/>
      <c r="Y34" s="127"/>
      <c r="Z34" s="128"/>
      <c r="AA34"/>
      <c r="AB34"/>
    </row>
    <row r="35" spans="1:28" x14ac:dyDescent="0.3">
      <c r="A35" s="41">
        <v>2047</v>
      </c>
      <c r="B35" s="123"/>
      <c r="C35" s="123"/>
      <c r="D35" s="127"/>
      <c r="E35" s="128"/>
      <c r="F35" s="132"/>
      <c r="G35" s="123"/>
      <c r="H35" s="127"/>
      <c r="I35" s="128"/>
      <c r="J35" s="132"/>
      <c r="K35" s="188"/>
      <c r="L35" s="132"/>
      <c r="M35" s="132"/>
      <c r="N35" s="123"/>
      <c r="O35" s="127"/>
      <c r="P35" s="128"/>
      <c r="Q35" s="132"/>
      <c r="R35" s="123"/>
      <c r="S35" s="127"/>
      <c r="T35" s="128"/>
      <c r="U35" s="123"/>
      <c r="V35" s="127"/>
      <c r="W35" s="128"/>
      <c r="X35" s="123"/>
      <c r="Y35" s="127"/>
      <c r="Z35" s="128"/>
      <c r="AA35"/>
      <c r="AB35"/>
    </row>
    <row r="36" spans="1:28" x14ac:dyDescent="0.3">
      <c r="A36" s="41">
        <v>2048</v>
      </c>
      <c r="B36" s="123"/>
      <c r="C36" s="123"/>
      <c r="D36" s="127"/>
      <c r="E36" s="128"/>
      <c r="F36" s="132"/>
      <c r="G36" s="123"/>
      <c r="H36" s="127"/>
      <c r="I36" s="128"/>
      <c r="J36" s="132"/>
      <c r="K36" s="188"/>
      <c r="L36" s="132"/>
      <c r="M36" s="132"/>
      <c r="N36" s="123"/>
      <c r="O36" s="127"/>
      <c r="P36" s="128"/>
      <c r="Q36" s="132"/>
      <c r="R36" s="123"/>
      <c r="S36" s="127"/>
      <c r="T36" s="128"/>
      <c r="U36" s="123"/>
      <c r="V36" s="127"/>
      <c r="W36" s="128"/>
      <c r="X36" s="123"/>
      <c r="Y36" s="127"/>
      <c r="Z36" s="128"/>
      <c r="AA36"/>
      <c r="AB36"/>
    </row>
    <row r="37" spans="1:28" x14ac:dyDescent="0.3">
      <c r="A37" s="41">
        <v>2049</v>
      </c>
      <c r="B37" s="123"/>
      <c r="C37" s="123"/>
      <c r="D37" s="127"/>
      <c r="E37" s="128"/>
      <c r="F37" s="132"/>
      <c r="G37" s="123"/>
      <c r="H37" s="127"/>
      <c r="I37" s="128"/>
      <c r="J37" s="132"/>
      <c r="K37" s="188"/>
      <c r="L37" s="132"/>
      <c r="M37" s="132"/>
      <c r="N37" s="123"/>
      <c r="O37" s="127"/>
      <c r="P37" s="128"/>
      <c r="Q37" s="132"/>
      <c r="R37" s="123"/>
      <c r="S37" s="127"/>
      <c r="T37" s="128"/>
      <c r="U37" s="123"/>
      <c r="V37" s="127"/>
      <c r="W37" s="128"/>
      <c r="X37" s="123"/>
      <c r="Y37" s="127"/>
      <c r="Z37" s="128"/>
      <c r="AA37"/>
      <c r="AB37"/>
    </row>
    <row r="38" spans="1:28" ht="15" thickBot="1" x14ac:dyDescent="0.35">
      <c r="A38" s="42">
        <v>2050</v>
      </c>
      <c r="B38" s="124"/>
      <c r="C38" s="124"/>
      <c r="D38" s="129"/>
      <c r="E38" s="130"/>
      <c r="F38" s="133">
        <v>2.8860907238700002</v>
      </c>
      <c r="G38" s="124">
        <v>6.6451612903225801</v>
      </c>
      <c r="H38" s="129">
        <v>7.9741935483870963</v>
      </c>
      <c r="I38" s="130">
        <v>9.3032258064516125</v>
      </c>
      <c r="J38" s="133">
        <v>1.1498134468166339</v>
      </c>
      <c r="K38" s="194">
        <v>9.3354248076923074</v>
      </c>
      <c r="L38" s="133"/>
      <c r="M38" s="133">
        <v>1.2909299000000001</v>
      </c>
      <c r="N38" s="124"/>
      <c r="O38" s="129"/>
      <c r="P38" s="130"/>
      <c r="Q38" s="133"/>
      <c r="R38" s="124">
        <v>0.72099999999999997</v>
      </c>
      <c r="S38" s="129">
        <v>0.82400000000000007</v>
      </c>
      <c r="T38" s="130">
        <v>0.92700000000000005</v>
      </c>
      <c r="U38" s="124">
        <v>0.82400000000000007</v>
      </c>
      <c r="V38" s="129">
        <v>1.3390000000000002</v>
      </c>
      <c r="W38" s="130">
        <v>1.8540000000000001</v>
      </c>
      <c r="X38" s="124"/>
      <c r="Y38" s="129"/>
      <c r="Z38" s="130"/>
      <c r="AA38"/>
      <c r="AB38"/>
    </row>
    <row r="39" spans="1:28" x14ac:dyDescent="0.3">
      <c r="B39"/>
      <c r="C39"/>
      <c r="D39"/>
      <c r="AA39"/>
      <c r="AB39"/>
    </row>
    <row r="40" spans="1:28" ht="15.6" x14ac:dyDescent="0.35">
      <c r="A40" s="36" t="s">
        <v>261</v>
      </c>
      <c r="C40"/>
      <c r="D40"/>
      <c r="AA40"/>
      <c r="AB40"/>
    </row>
    <row r="41" spans="1:28" x14ac:dyDescent="0.3">
      <c r="A41" s="36" t="s">
        <v>60</v>
      </c>
      <c r="B41"/>
      <c r="C41"/>
      <c r="D41"/>
      <c r="H41"/>
      <c r="I41"/>
      <c r="J41"/>
      <c r="K41"/>
      <c r="L41"/>
      <c r="M41"/>
      <c r="N41"/>
      <c r="O41"/>
      <c r="P41"/>
      <c r="Q41"/>
      <c r="R41"/>
      <c r="S41"/>
      <c r="T41"/>
      <c r="U41"/>
      <c r="V41"/>
      <c r="W41"/>
      <c r="X41"/>
      <c r="Y41"/>
      <c r="Z41"/>
      <c r="AA41"/>
      <c r="AB41"/>
    </row>
    <row r="42" spans="1:28" x14ac:dyDescent="0.3">
      <c r="A42" s="36" t="s">
        <v>308</v>
      </c>
      <c r="B42"/>
      <c r="C42"/>
      <c r="D42"/>
      <c r="H42"/>
      <c r="I42"/>
      <c r="J42"/>
      <c r="K42"/>
      <c r="L42"/>
      <c r="M42"/>
      <c r="N42"/>
      <c r="O42"/>
      <c r="P42"/>
      <c r="Q42"/>
      <c r="R42"/>
      <c r="S42"/>
      <c r="T42"/>
      <c r="U42"/>
      <c r="V42"/>
      <c r="W42"/>
      <c r="X42"/>
      <c r="Y42"/>
      <c r="Z42"/>
      <c r="AA42"/>
      <c r="AB42"/>
    </row>
    <row r="43" spans="1:28" x14ac:dyDescent="0.3">
      <c r="B43" s="93"/>
      <c r="C43"/>
      <c r="D43"/>
      <c r="H43"/>
      <c r="I43"/>
      <c r="J43"/>
      <c r="K43"/>
      <c r="L43"/>
      <c r="M43"/>
      <c r="N43"/>
      <c r="O43"/>
      <c r="P43"/>
      <c r="Q43"/>
      <c r="R43"/>
      <c r="S43"/>
      <c r="T43"/>
      <c r="U43"/>
      <c r="V43"/>
      <c r="W43"/>
      <c r="X43"/>
      <c r="Y43"/>
      <c r="Z43"/>
      <c r="AA43"/>
      <c r="AB43"/>
    </row>
    <row r="44" spans="1:28" x14ac:dyDescent="0.3">
      <c r="B44" s="93"/>
      <c r="C44" s="93"/>
      <c r="D44" s="93"/>
      <c r="E44" s="93"/>
      <c r="F44" s="93"/>
      <c r="G44" s="93"/>
      <c r="H44" s="93"/>
      <c r="I44" s="93"/>
      <c r="J44" s="93"/>
      <c r="K44" s="93"/>
      <c r="L44" s="93"/>
      <c r="M44" s="93"/>
      <c r="N44" s="93"/>
      <c r="O44" s="93"/>
      <c r="P44" s="93"/>
      <c r="Q44" s="93"/>
      <c r="R44" s="93"/>
      <c r="S44" s="93"/>
      <c r="T44" s="93"/>
      <c r="U44" s="93"/>
      <c r="V44" s="93"/>
      <c r="W44" s="93"/>
      <c r="X44" s="93"/>
      <c r="Y44" s="93"/>
      <c r="Z44" s="93"/>
      <c r="AA44"/>
      <c r="AB44"/>
    </row>
    <row r="45" spans="1:28" x14ac:dyDescent="0.3">
      <c r="B45" s="93"/>
      <c r="C45" s="93"/>
      <c r="D45" s="93"/>
      <c r="E45" s="93"/>
      <c r="F45" s="93"/>
      <c r="G45" s="93"/>
      <c r="H45" s="93"/>
      <c r="I45" s="93"/>
      <c r="J45" s="93"/>
      <c r="K45" s="93"/>
      <c r="L45" s="93"/>
      <c r="M45" s="93"/>
      <c r="N45" s="93"/>
      <c r="O45" s="93"/>
      <c r="P45" s="93"/>
      <c r="Q45" s="93"/>
      <c r="R45" s="93"/>
      <c r="S45" s="93"/>
      <c r="T45" s="93"/>
      <c r="U45" s="93"/>
      <c r="V45" s="93"/>
      <c r="W45" s="93"/>
      <c r="X45" s="93"/>
      <c r="Y45" s="93"/>
      <c r="Z45" s="93"/>
      <c r="AA45"/>
      <c r="AB45"/>
    </row>
    <row r="46" spans="1:28" x14ac:dyDescent="0.3">
      <c r="B46" s="93"/>
      <c r="C46" s="93"/>
      <c r="D46" s="93"/>
      <c r="E46" s="93"/>
      <c r="F46" s="93"/>
      <c r="G46" s="93"/>
      <c r="H46" s="93"/>
      <c r="I46" s="93"/>
      <c r="J46" s="93"/>
      <c r="K46" s="93"/>
      <c r="L46" s="93"/>
      <c r="M46" s="93"/>
      <c r="N46" s="93"/>
      <c r="O46" s="93"/>
      <c r="P46" s="93"/>
      <c r="Q46" s="93"/>
      <c r="R46" s="93"/>
      <c r="S46" s="93"/>
      <c r="T46" s="93"/>
      <c r="U46" s="93"/>
      <c r="V46" s="93"/>
      <c r="W46" s="93"/>
      <c r="X46" s="93"/>
      <c r="Y46" s="93"/>
      <c r="Z46" s="93"/>
      <c r="AA46"/>
      <c r="AB46"/>
    </row>
    <row r="47" spans="1:28" x14ac:dyDescent="0.3">
      <c r="B47" s="93"/>
      <c r="C47" s="93"/>
      <c r="D47" s="93"/>
      <c r="E47" s="93"/>
      <c r="F47" s="93"/>
      <c r="G47" s="93"/>
      <c r="H47" s="93"/>
      <c r="I47" s="93"/>
      <c r="J47" s="93"/>
      <c r="K47" s="93"/>
      <c r="L47" s="93"/>
      <c r="M47" s="93"/>
      <c r="N47" s="93"/>
      <c r="O47" s="93"/>
      <c r="P47" s="93"/>
      <c r="Q47" s="93"/>
      <c r="R47" s="93"/>
      <c r="S47" s="93"/>
      <c r="T47" s="93"/>
      <c r="U47" s="93"/>
      <c r="V47" s="93"/>
      <c r="W47" s="93"/>
      <c r="X47" s="93"/>
      <c r="Y47" s="93"/>
      <c r="Z47" s="93"/>
      <c r="AA47"/>
      <c r="AB47"/>
    </row>
    <row r="48" spans="1:28" x14ac:dyDescent="0.3">
      <c r="B48" s="93"/>
      <c r="C48" s="93"/>
      <c r="D48" s="93"/>
      <c r="E48" s="93"/>
      <c r="F48" s="93"/>
      <c r="G48" s="93"/>
      <c r="H48" s="93"/>
      <c r="I48" s="93"/>
      <c r="J48" s="93"/>
      <c r="K48" s="93"/>
      <c r="L48" s="93"/>
      <c r="M48" s="93"/>
      <c r="N48" s="93"/>
      <c r="O48" s="93"/>
      <c r="P48" s="93"/>
      <c r="Q48" s="93"/>
      <c r="R48" s="93"/>
      <c r="S48" s="93"/>
      <c r="T48" s="93"/>
      <c r="U48" s="93"/>
      <c r="V48" s="93"/>
      <c r="W48" s="93"/>
      <c r="X48" s="93"/>
      <c r="Y48" s="93"/>
      <c r="Z48" s="93"/>
      <c r="AA48"/>
      <c r="AB48"/>
    </row>
    <row r="49" spans="2:28" x14ac:dyDescent="0.3">
      <c r="B49" s="93"/>
      <c r="C49" s="93"/>
      <c r="D49" s="93"/>
      <c r="E49" s="93"/>
      <c r="F49" s="93"/>
      <c r="G49" s="93"/>
      <c r="H49" s="93"/>
      <c r="I49" s="93"/>
      <c r="J49" s="93"/>
      <c r="K49" s="93"/>
      <c r="L49" s="93"/>
      <c r="M49" s="93"/>
      <c r="N49" s="93"/>
      <c r="O49" s="93"/>
      <c r="P49" s="93"/>
      <c r="Q49" s="93"/>
      <c r="R49" s="93"/>
      <c r="S49" s="93"/>
      <c r="T49" s="93"/>
      <c r="U49" s="93"/>
      <c r="V49" s="93"/>
      <c r="W49" s="93"/>
      <c r="X49" s="93"/>
      <c r="Y49" s="93"/>
      <c r="Z49" s="93"/>
      <c r="AA49"/>
      <c r="AB49"/>
    </row>
    <row r="50" spans="2:28" x14ac:dyDescent="0.3">
      <c r="B50" s="93"/>
      <c r="C50" s="93"/>
      <c r="D50" s="93"/>
      <c r="E50" s="93"/>
      <c r="F50" s="93"/>
      <c r="G50" s="93"/>
      <c r="H50" s="93"/>
      <c r="I50" s="93"/>
      <c r="J50" s="93"/>
      <c r="K50" s="93"/>
      <c r="L50" s="93"/>
      <c r="M50" s="93"/>
      <c r="N50" s="93"/>
      <c r="O50" s="93"/>
      <c r="P50" s="93"/>
      <c r="Q50" s="93"/>
      <c r="R50" s="93"/>
      <c r="S50" s="93"/>
      <c r="T50" s="93"/>
      <c r="U50" s="93"/>
      <c r="V50" s="93"/>
      <c r="W50" s="93"/>
      <c r="X50" s="93"/>
      <c r="Y50" s="93"/>
      <c r="Z50" s="93"/>
      <c r="AA50"/>
      <c r="AB50"/>
    </row>
    <row r="51" spans="2:28" x14ac:dyDescent="0.3">
      <c r="B51" s="93"/>
      <c r="C51" s="93"/>
      <c r="D51" s="93"/>
      <c r="E51" s="93"/>
      <c r="F51" s="93"/>
      <c r="G51" s="93"/>
      <c r="H51" s="93"/>
      <c r="I51" s="93"/>
      <c r="J51" s="93"/>
      <c r="K51" s="93"/>
      <c r="L51" s="93"/>
      <c r="M51" s="93"/>
      <c r="N51" s="93"/>
      <c r="O51" s="93"/>
      <c r="P51" s="93"/>
      <c r="Q51" s="93"/>
      <c r="R51" s="93"/>
      <c r="S51" s="93"/>
      <c r="T51" s="93"/>
      <c r="U51" s="93"/>
      <c r="V51" s="93"/>
      <c r="W51" s="93"/>
      <c r="X51" s="93"/>
      <c r="Y51" s="93"/>
      <c r="Z51" s="93"/>
      <c r="AA51"/>
      <c r="AB51"/>
    </row>
    <row r="52" spans="2:28" x14ac:dyDescent="0.3">
      <c r="B52" s="93"/>
      <c r="C52" s="93"/>
      <c r="D52" s="93"/>
      <c r="E52" s="93"/>
      <c r="F52" s="93"/>
      <c r="G52" s="93"/>
      <c r="H52" s="93"/>
      <c r="I52" s="93"/>
      <c r="J52" s="93"/>
      <c r="K52" s="93"/>
      <c r="L52" s="93"/>
      <c r="M52" s="93"/>
      <c r="N52" s="93"/>
      <c r="O52" s="93"/>
      <c r="P52" s="93"/>
      <c r="Q52" s="93"/>
      <c r="R52" s="93"/>
      <c r="S52" s="93"/>
      <c r="T52" s="93"/>
      <c r="U52" s="93"/>
      <c r="V52" s="93"/>
      <c r="W52" s="93"/>
      <c r="X52" s="93"/>
      <c r="Y52" s="93"/>
      <c r="Z52" s="93"/>
      <c r="AA52"/>
      <c r="AB52"/>
    </row>
    <row r="53" spans="2:28" x14ac:dyDescent="0.3">
      <c r="B53" s="93"/>
      <c r="C53" s="93"/>
      <c r="D53" s="93"/>
      <c r="E53" s="93"/>
      <c r="F53" s="93"/>
      <c r="G53" s="93"/>
      <c r="H53" s="93"/>
      <c r="I53" s="93"/>
      <c r="J53" s="93"/>
      <c r="K53" s="93"/>
      <c r="L53" s="93"/>
      <c r="M53" s="93"/>
      <c r="N53" s="93"/>
      <c r="O53" s="93"/>
      <c r="P53" s="93"/>
      <c r="Q53" s="93"/>
      <c r="R53" s="93"/>
      <c r="S53" s="93"/>
      <c r="T53" s="93"/>
      <c r="U53" s="93"/>
      <c r="V53" s="93"/>
      <c r="W53" s="93"/>
      <c r="X53" s="93"/>
      <c r="Y53" s="93"/>
      <c r="Z53" s="93"/>
      <c r="AA53"/>
      <c r="AB53"/>
    </row>
    <row r="54" spans="2:28" x14ac:dyDescent="0.3">
      <c r="B54" s="93"/>
      <c r="C54" s="93"/>
      <c r="D54" s="93"/>
      <c r="E54" s="93"/>
      <c r="F54" s="93"/>
      <c r="G54" s="93"/>
      <c r="H54" s="93"/>
      <c r="I54" s="93"/>
      <c r="J54" s="93"/>
      <c r="K54" s="93"/>
      <c r="L54" s="93"/>
      <c r="M54" s="93"/>
      <c r="N54" s="93"/>
      <c r="O54" s="93"/>
      <c r="P54" s="93"/>
      <c r="Q54" s="93"/>
      <c r="R54" s="93"/>
      <c r="S54" s="93"/>
      <c r="T54" s="93"/>
      <c r="U54" s="93"/>
      <c r="V54" s="93"/>
      <c r="W54" s="93"/>
      <c r="X54" s="93"/>
      <c r="Y54" s="93"/>
      <c r="Z54" s="93"/>
      <c r="AA54"/>
      <c r="AB54"/>
    </row>
    <row r="55" spans="2:28" x14ac:dyDescent="0.3">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c r="AB55"/>
    </row>
    <row r="56" spans="2:28" x14ac:dyDescent="0.3">
      <c r="B56" s="93"/>
      <c r="C56" s="93"/>
      <c r="D56" s="93"/>
      <c r="E56" s="93"/>
      <c r="F56" s="93"/>
      <c r="G56" s="93"/>
      <c r="H56" s="93"/>
      <c r="I56" s="93"/>
      <c r="J56" s="93"/>
      <c r="K56" s="93"/>
      <c r="L56" s="93"/>
      <c r="M56" s="93"/>
      <c r="N56" s="93"/>
      <c r="O56" s="93"/>
      <c r="P56" s="93"/>
      <c r="Q56" s="93"/>
      <c r="R56" s="93"/>
      <c r="S56" s="93"/>
      <c r="T56" s="93"/>
      <c r="U56" s="93"/>
      <c r="V56" s="93"/>
      <c r="W56" s="93"/>
      <c r="X56" s="93"/>
      <c r="Y56" s="93"/>
      <c r="Z56" s="93"/>
      <c r="AA56"/>
      <c r="AB56"/>
    </row>
    <row r="57" spans="2:28" x14ac:dyDescent="0.3">
      <c r="B57" s="93"/>
      <c r="C57" s="93"/>
      <c r="D57" s="93"/>
      <c r="E57" s="93"/>
      <c r="F57" s="93"/>
      <c r="G57" s="93"/>
      <c r="H57" s="93"/>
      <c r="I57" s="93"/>
      <c r="J57" s="93"/>
      <c r="K57" s="93"/>
      <c r="L57" s="93"/>
      <c r="M57" s="93"/>
      <c r="N57" s="93"/>
      <c r="O57" s="93"/>
      <c r="P57" s="93"/>
      <c r="Q57" s="93"/>
      <c r="R57" s="93"/>
      <c r="S57" s="93"/>
      <c r="T57" s="93"/>
      <c r="U57" s="93"/>
      <c r="V57" s="93"/>
      <c r="W57" s="93"/>
      <c r="X57" s="93"/>
      <c r="Y57" s="93"/>
      <c r="Z57" s="93"/>
      <c r="AA57"/>
      <c r="AB57"/>
    </row>
    <row r="58" spans="2:28" x14ac:dyDescent="0.3">
      <c r="B58" s="93"/>
      <c r="C58" s="93"/>
      <c r="D58" s="93"/>
      <c r="E58" s="93"/>
      <c r="F58" s="93"/>
      <c r="G58" s="93"/>
      <c r="H58" s="93"/>
      <c r="I58" s="93"/>
      <c r="J58" s="93"/>
      <c r="K58" s="93"/>
      <c r="L58" s="93"/>
      <c r="M58" s="93"/>
      <c r="N58" s="93"/>
      <c r="O58" s="93"/>
      <c r="P58" s="93"/>
      <c r="Q58" s="93"/>
      <c r="R58" s="93"/>
      <c r="S58" s="93"/>
      <c r="T58" s="93"/>
      <c r="U58" s="93"/>
      <c r="V58" s="93"/>
      <c r="W58" s="93"/>
      <c r="X58" s="93"/>
      <c r="Y58" s="93"/>
      <c r="Z58" s="93"/>
      <c r="AA58"/>
      <c r="AB58"/>
    </row>
    <row r="59" spans="2:28" x14ac:dyDescent="0.3">
      <c r="B59" s="93"/>
      <c r="C59" s="93"/>
      <c r="D59" s="93"/>
      <c r="E59" s="93"/>
      <c r="F59" s="93"/>
      <c r="G59" s="93"/>
      <c r="H59" s="93"/>
      <c r="I59" s="93"/>
      <c r="J59" s="93"/>
      <c r="K59" s="93"/>
      <c r="L59" s="93"/>
      <c r="M59" s="93"/>
      <c r="N59" s="93"/>
      <c r="O59" s="93"/>
      <c r="P59" s="93"/>
      <c r="Q59" s="93"/>
      <c r="R59" s="93"/>
      <c r="S59" s="93"/>
      <c r="T59" s="93"/>
      <c r="U59" s="93"/>
      <c r="V59" s="93"/>
      <c r="W59" s="93"/>
      <c r="X59" s="93"/>
      <c r="Y59" s="93"/>
      <c r="Z59" s="93"/>
      <c r="AA59"/>
      <c r="AB59"/>
    </row>
    <row r="60" spans="2:28" x14ac:dyDescent="0.3">
      <c r="B60" s="93"/>
      <c r="C60" s="93"/>
      <c r="D60" s="93"/>
      <c r="E60" s="93"/>
      <c r="F60" s="93"/>
      <c r="G60" s="93"/>
      <c r="H60" s="93"/>
      <c r="I60" s="93"/>
      <c r="J60" s="93"/>
      <c r="K60" s="93"/>
      <c r="L60" s="93"/>
      <c r="M60" s="93"/>
      <c r="N60" s="93"/>
      <c r="O60" s="93"/>
      <c r="P60" s="93"/>
      <c r="Q60" s="93"/>
      <c r="R60" s="93"/>
      <c r="S60" s="93"/>
      <c r="T60" s="93"/>
      <c r="U60" s="93"/>
      <c r="V60" s="93"/>
      <c r="W60" s="93"/>
      <c r="X60" s="93"/>
      <c r="Y60" s="93"/>
      <c r="Z60" s="93"/>
      <c r="AA60"/>
      <c r="AB60"/>
    </row>
    <row r="61" spans="2:28" x14ac:dyDescent="0.3">
      <c r="B61" s="93"/>
      <c r="C61" s="93"/>
      <c r="D61" s="93"/>
      <c r="E61" s="93"/>
      <c r="F61" s="93"/>
      <c r="G61" s="93"/>
      <c r="H61" s="93"/>
      <c r="I61" s="93"/>
      <c r="J61" s="93"/>
      <c r="K61" s="93"/>
      <c r="L61" s="93"/>
      <c r="M61" s="93"/>
      <c r="N61" s="93"/>
      <c r="O61" s="93"/>
      <c r="P61" s="93"/>
      <c r="Q61" s="93"/>
      <c r="R61" s="93"/>
      <c r="S61" s="93"/>
      <c r="T61" s="93"/>
      <c r="U61" s="93"/>
      <c r="V61" s="93"/>
      <c r="W61" s="93"/>
      <c r="X61" s="93"/>
      <c r="Y61" s="93"/>
      <c r="Z61" s="93"/>
      <c r="AA61"/>
      <c r="AB61"/>
    </row>
    <row r="62" spans="2:28" x14ac:dyDescent="0.3">
      <c r="B62" s="93"/>
      <c r="C62" s="93"/>
      <c r="D62" s="93"/>
      <c r="E62" s="93"/>
      <c r="F62" s="93"/>
      <c r="G62" s="93"/>
      <c r="H62" s="93"/>
      <c r="I62" s="93"/>
      <c r="J62" s="93"/>
      <c r="K62" s="93"/>
      <c r="L62" s="93"/>
      <c r="M62" s="93"/>
      <c r="N62" s="93"/>
      <c r="O62" s="93"/>
      <c r="P62" s="93"/>
      <c r="Q62" s="93"/>
      <c r="R62" s="93"/>
      <c r="S62" s="93"/>
      <c r="T62" s="93"/>
      <c r="U62" s="93"/>
      <c r="V62" s="93"/>
      <c r="W62" s="93"/>
      <c r="X62" s="93"/>
      <c r="Y62" s="93"/>
      <c r="Z62" s="93"/>
      <c r="AA62"/>
      <c r="AB62"/>
    </row>
    <row r="63" spans="2:28" x14ac:dyDescent="0.3">
      <c r="B63" s="93"/>
      <c r="C63" s="93"/>
      <c r="D63" s="93"/>
      <c r="E63" s="93"/>
      <c r="F63" s="93"/>
      <c r="G63" s="93"/>
      <c r="H63" s="93"/>
      <c r="I63" s="93"/>
      <c r="J63" s="93"/>
      <c r="K63" s="93"/>
      <c r="L63" s="93"/>
      <c r="M63" s="93"/>
      <c r="N63" s="93"/>
      <c r="O63" s="93"/>
      <c r="P63" s="93"/>
      <c r="Q63" s="93"/>
      <c r="R63" s="93"/>
      <c r="S63" s="93"/>
      <c r="T63" s="93"/>
      <c r="U63" s="93"/>
      <c r="V63" s="93"/>
      <c r="W63" s="93"/>
      <c r="X63" s="93"/>
      <c r="Y63" s="93"/>
      <c r="Z63" s="93"/>
      <c r="AA63"/>
      <c r="AB63"/>
    </row>
    <row r="64" spans="2:28" x14ac:dyDescent="0.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spans="2:26" x14ac:dyDescent="0.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spans="2:26" x14ac:dyDescent="0.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spans="2:26" x14ac:dyDescent="0.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spans="2:26" x14ac:dyDescent="0.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spans="2:26" x14ac:dyDescent="0.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spans="2:26" x14ac:dyDescent="0.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spans="2:26" x14ac:dyDescent="0.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spans="2:26" x14ac:dyDescent="0.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spans="2:26" x14ac:dyDescent="0.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spans="2:26" x14ac:dyDescent="0.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spans="2:26" x14ac:dyDescent="0.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spans="2:26" x14ac:dyDescent="0.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spans="2:26" x14ac:dyDescent="0.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spans="2:26" x14ac:dyDescent="0.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spans="2:26" x14ac:dyDescent="0.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spans="2:26" x14ac:dyDescent="0.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spans="2:26" x14ac:dyDescent="0.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spans="2:26" x14ac:dyDescent="0.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sheetData>
  <mergeCells count="7">
    <mergeCell ref="X1:Z1"/>
    <mergeCell ref="A1:A2"/>
    <mergeCell ref="C1:E1"/>
    <mergeCell ref="G1:I1"/>
    <mergeCell ref="N1:P1"/>
    <mergeCell ref="R1:T1"/>
    <mergeCell ref="U1:W1"/>
  </mergeCells>
  <pageMargins left="0.25" right="0.25" top="0.75" bottom="0.75" header="0.3" footer="0.3"/>
  <pageSetup paperSize="9" scale="44" orientation="landscape" r:id="rId1"/>
  <headerFooter>
    <oddFooter>&amp;C_x000D_&amp;1#&amp;"Calibri"&amp;7&amp;K000000 Classification: In-Confidence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7101A-D0EE-492D-B5B0-B69575F5CE99}">
  <sheetPr>
    <tabColor theme="0" tint="-0.499984740745262"/>
    <pageSetUpPr fitToPage="1"/>
  </sheetPr>
  <dimension ref="A1:CS446"/>
  <sheetViews>
    <sheetView topLeftCell="A386" zoomScale="55" zoomScaleNormal="55" workbookViewId="0">
      <selection activeCell="O39" sqref="O39"/>
    </sheetView>
  </sheetViews>
  <sheetFormatPr defaultRowHeight="14.4" x14ac:dyDescent="0.3"/>
  <cols>
    <col min="1" max="1" width="9.109375" customWidth="1"/>
    <col min="2" max="2" width="14.88671875" customWidth="1"/>
    <col min="3" max="3" width="15.5546875" bestFit="1" customWidth="1"/>
    <col min="4" max="4" width="17.33203125" bestFit="1" customWidth="1"/>
    <col min="5" max="6" width="15.5546875" bestFit="1" customWidth="1"/>
    <col min="7" max="7" width="17.33203125" bestFit="1" customWidth="1"/>
    <col min="8" max="9" width="15.5546875" bestFit="1" customWidth="1"/>
    <col min="10" max="10" width="17.33203125" bestFit="1" customWidth="1"/>
    <col min="11" max="12" width="15.5546875" bestFit="1" customWidth="1"/>
    <col min="13" max="13" width="17.33203125" bestFit="1" customWidth="1"/>
    <col min="14" max="15" width="15.5546875" bestFit="1" customWidth="1"/>
    <col min="16" max="16" width="17.33203125" bestFit="1" customWidth="1"/>
    <col min="17" max="18" width="15.5546875" bestFit="1" customWidth="1"/>
    <col min="19" max="19" width="17.33203125" bestFit="1" customWidth="1"/>
    <col min="20" max="21" width="15.5546875" bestFit="1" customWidth="1"/>
    <col min="22" max="22" width="17.33203125" bestFit="1" customWidth="1"/>
    <col min="23" max="24" width="15.5546875" bestFit="1" customWidth="1"/>
    <col min="25" max="25" width="17.33203125" bestFit="1" customWidth="1"/>
    <col min="26" max="27" width="15.5546875" bestFit="1" customWidth="1"/>
    <col min="28" max="28" width="17.33203125" bestFit="1" customWidth="1"/>
    <col min="29" max="30" width="15.5546875" bestFit="1" customWidth="1"/>
    <col min="31" max="31" width="17.33203125" bestFit="1" customWidth="1"/>
    <col min="32" max="32" width="15.5546875" bestFit="1" customWidth="1"/>
    <col min="33" max="38" width="17.33203125" bestFit="1" customWidth="1"/>
    <col min="39" max="40" width="13.33203125" bestFit="1" customWidth="1"/>
    <col min="41" max="41" width="17.33203125" bestFit="1" customWidth="1"/>
    <col min="42" max="43" width="13.33203125" bestFit="1" customWidth="1"/>
    <col min="44" max="44" width="17.33203125" bestFit="1" customWidth="1"/>
    <col min="45" max="46" width="13.33203125" bestFit="1" customWidth="1"/>
    <col min="47" max="47" width="17.33203125" bestFit="1" customWidth="1"/>
    <col min="48" max="49" width="13.33203125" bestFit="1" customWidth="1"/>
    <col min="50" max="51" width="16.21875" bestFit="1" customWidth="1"/>
    <col min="52" max="52" width="13.33203125" bestFit="1" customWidth="1"/>
    <col min="53" max="53" width="17.33203125" bestFit="1" customWidth="1"/>
    <col min="54" max="54" width="16.21875" bestFit="1" customWidth="1"/>
    <col min="55" max="55" width="13.33203125" bestFit="1" customWidth="1"/>
    <col min="56" max="57" width="16.21875" bestFit="1" customWidth="1"/>
    <col min="58" max="58" width="13.33203125" bestFit="1" customWidth="1"/>
    <col min="59" max="59" width="17.33203125" bestFit="1" customWidth="1"/>
    <col min="60" max="61" width="13.33203125" bestFit="1" customWidth="1"/>
    <col min="62" max="62" width="17.33203125" bestFit="1" customWidth="1"/>
    <col min="63" max="64" width="13.33203125" bestFit="1" customWidth="1"/>
    <col min="65" max="65" width="17.33203125" bestFit="1" customWidth="1"/>
    <col min="66" max="67" width="13.33203125" bestFit="1" customWidth="1"/>
    <col min="68" max="68" width="17.33203125" bestFit="1" customWidth="1"/>
  </cols>
  <sheetData>
    <row r="1" spans="1:31" ht="21.6" customHeight="1" thickBot="1" x14ac:dyDescent="0.4">
      <c r="A1" s="289" t="s">
        <v>0</v>
      </c>
      <c r="B1" s="353" t="s">
        <v>405</v>
      </c>
      <c r="C1" s="354"/>
      <c r="D1" s="354"/>
      <c r="E1" s="354"/>
      <c r="F1" s="354"/>
      <c r="G1" s="354"/>
      <c r="H1" s="354"/>
      <c r="I1" s="354"/>
      <c r="J1" s="354"/>
      <c r="K1" s="354"/>
      <c r="L1" s="354"/>
      <c r="M1" s="354"/>
      <c r="N1" s="354"/>
      <c r="O1" s="354"/>
      <c r="P1" s="354"/>
      <c r="Q1" s="354"/>
      <c r="R1" s="354"/>
      <c r="S1" s="354"/>
      <c r="T1" s="354"/>
      <c r="U1" s="354"/>
      <c r="V1" s="354"/>
      <c r="W1" s="354"/>
      <c r="X1" s="354"/>
      <c r="Y1" s="354"/>
      <c r="Z1" s="354"/>
      <c r="AA1" s="354"/>
      <c r="AB1" s="354"/>
      <c r="AC1" s="354"/>
      <c r="AD1" s="354"/>
      <c r="AE1" s="355"/>
    </row>
    <row r="2" spans="1:31" ht="18.600000000000001" customHeight="1" thickBot="1" x14ac:dyDescent="0.35">
      <c r="A2" s="344"/>
      <c r="B2" s="338" t="s">
        <v>441</v>
      </c>
      <c r="C2" s="339"/>
      <c r="D2" s="340"/>
      <c r="E2" s="338" t="s">
        <v>442</v>
      </c>
      <c r="F2" s="339"/>
      <c r="G2" s="340"/>
      <c r="H2" s="338" t="s">
        <v>443</v>
      </c>
      <c r="I2" s="339"/>
      <c r="J2" s="340"/>
      <c r="K2" s="338" t="s">
        <v>444</v>
      </c>
      <c r="L2" s="339"/>
      <c r="M2" s="340"/>
      <c r="N2" s="338" t="s">
        <v>445</v>
      </c>
      <c r="O2" s="339"/>
      <c r="P2" s="340"/>
      <c r="Q2" s="338" t="s">
        <v>406</v>
      </c>
      <c r="R2" s="339"/>
      <c r="S2" s="340"/>
      <c r="T2" s="338" t="s">
        <v>407</v>
      </c>
      <c r="U2" s="339"/>
      <c r="V2" s="340"/>
      <c r="W2" s="338" t="s">
        <v>408</v>
      </c>
      <c r="X2" s="339"/>
      <c r="Y2" s="340"/>
      <c r="Z2" s="338" t="s">
        <v>312</v>
      </c>
      <c r="AA2" s="339"/>
      <c r="AB2" s="340"/>
      <c r="AC2" s="338" t="s">
        <v>409</v>
      </c>
      <c r="AD2" s="339"/>
      <c r="AE2" s="340"/>
    </row>
    <row r="3" spans="1:31" ht="15" customHeight="1" thickBot="1" x14ac:dyDescent="0.35">
      <c r="A3" s="290"/>
      <c r="B3" s="78" t="s">
        <v>69</v>
      </c>
      <c r="C3" s="79" t="s">
        <v>70</v>
      </c>
      <c r="D3" s="80" t="s">
        <v>71</v>
      </c>
      <c r="E3" s="78" t="s">
        <v>69</v>
      </c>
      <c r="F3" s="79" t="s">
        <v>70</v>
      </c>
      <c r="G3" s="80" t="s">
        <v>71</v>
      </c>
      <c r="H3" s="78" t="s">
        <v>69</v>
      </c>
      <c r="I3" s="79" t="s">
        <v>70</v>
      </c>
      <c r="J3" s="80" t="s">
        <v>71</v>
      </c>
      <c r="K3" s="78" t="s">
        <v>69</v>
      </c>
      <c r="L3" s="79" t="s">
        <v>70</v>
      </c>
      <c r="M3" s="80" t="s">
        <v>71</v>
      </c>
      <c r="N3" s="78" t="s">
        <v>69</v>
      </c>
      <c r="O3" s="79" t="s">
        <v>70</v>
      </c>
      <c r="P3" s="80" t="s">
        <v>71</v>
      </c>
      <c r="Q3" s="78" t="s">
        <v>69</v>
      </c>
      <c r="R3" s="79" t="s">
        <v>70</v>
      </c>
      <c r="S3" s="80" t="s">
        <v>71</v>
      </c>
      <c r="T3" s="78" t="s">
        <v>69</v>
      </c>
      <c r="U3" s="79" t="s">
        <v>70</v>
      </c>
      <c r="V3" s="80" t="s">
        <v>71</v>
      </c>
      <c r="W3" s="78" t="s">
        <v>69</v>
      </c>
      <c r="X3" s="79" t="s">
        <v>70</v>
      </c>
      <c r="Y3" s="80" t="s">
        <v>71</v>
      </c>
      <c r="Z3" s="78" t="s">
        <v>69</v>
      </c>
      <c r="AA3" s="79" t="s">
        <v>70</v>
      </c>
      <c r="AB3" s="80" t="s">
        <v>71</v>
      </c>
      <c r="AC3" s="78" t="s">
        <v>69</v>
      </c>
      <c r="AD3" s="79" t="s">
        <v>70</v>
      </c>
      <c r="AE3" s="80" t="s">
        <v>71</v>
      </c>
    </row>
    <row r="4" spans="1:31" x14ac:dyDescent="0.3">
      <c r="A4" s="41">
        <v>2015</v>
      </c>
      <c r="B4" s="122">
        <v>3395.7274424009197</v>
      </c>
      <c r="C4" s="125">
        <v>3558.2658703363036</v>
      </c>
      <c r="D4" s="126">
        <v>3684.7828822940569</v>
      </c>
      <c r="E4" s="122">
        <v>3435.7474539140062</v>
      </c>
      <c r="F4" s="125">
        <v>3435.7474539140062</v>
      </c>
      <c r="G4" s="126">
        <v>3435.7474539140062</v>
      </c>
      <c r="H4" s="122">
        <v>3481.9593534346645</v>
      </c>
      <c r="I4" s="125">
        <v>3481.9593534346645</v>
      </c>
      <c r="J4" s="126">
        <v>3481.9593534346645</v>
      </c>
      <c r="K4" s="122">
        <v>0</v>
      </c>
      <c r="L4" s="125">
        <v>0</v>
      </c>
      <c r="M4" s="126">
        <v>0</v>
      </c>
      <c r="N4" s="122">
        <v>0</v>
      </c>
      <c r="O4" s="125">
        <v>0</v>
      </c>
      <c r="P4" s="126">
        <v>0</v>
      </c>
      <c r="Q4" s="122"/>
      <c r="R4" s="125"/>
      <c r="S4" s="126"/>
      <c r="T4" s="122"/>
      <c r="U4" s="125"/>
      <c r="V4" s="126"/>
      <c r="W4" s="122"/>
      <c r="X4" s="125"/>
      <c r="Y4" s="126"/>
      <c r="Z4" s="122"/>
      <c r="AA4" s="125"/>
      <c r="AB4" s="126"/>
      <c r="AC4" s="122"/>
      <c r="AD4" s="125"/>
      <c r="AE4" s="126"/>
    </row>
    <row r="5" spans="1:31" x14ac:dyDescent="0.3">
      <c r="A5" s="41">
        <v>2016</v>
      </c>
      <c r="B5" s="123">
        <v>3106.6720025077811</v>
      </c>
      <c r="C5" s="127">
        <v>3431.7488583785494</v>
      </c>
      <c r="D5" s="128">
        <v>3684.7828822940569</v>
      </c>
      <c r="E5" s="123">
        <v>3150.0305567724699</v>
      </c>
      <c r="F5" s="127">
        <v>3261.1470308542589</v>
      </c>
      <c r="G5" s="128">
        <v>3435.7474539140062</v>
      </c>
      <c r="H5" s="123">
        <v>2616.0933330888424</v>
      </c>
      <c r="I5" s="127">
        <v>2616.0933330888424</v>
      </c>
      <c r="J5" s="128">
        <v>2616.0933330888424</v>
      </c>
      <c r="K5" s="123">
        <v>3001.9752000000003</v>
      </c>
      <c r="L5" s="127">
        <v>3001.9752000000003</v>
      </c>
      <c r="M5" s="128">
        <v>3001.9752000000003</v>
      </c>
      <c r="N5" s="123">
        <v>0</v>
      </c>
      <c r="O5" s="127">
        <v>0</v>
      </c>
      <c r="P5" s="128">
        <v>0</v>
      </c>
      <c r="Q5" s="123"/>
      <c r="R5" s="127"/>
      <c r="S5" s="128"/>
      <c r="T5" s="123"/>
      <c r="U5" s="127"/>
      <c r="V5" s="128"/>
      <c r="W5" s="123"/>
      <c r="X5" s="127"/>
      <c r="Y5" s="128"/>
      <c r="Z5" s="123"/>
      <c r="AA5" s="127"/>
      <c r="AB5" s="128"/>
      <c r="AC5" s="123"/>
      <c r="AD5" s="127"/>
      <c r="AE5" s="128"/>
    </row>
    <row r="6" spans="1:31" x14ac:dyDescent="0.3">
      <c r="A6" s="41">
        <v>2017</v>
      </c>
      <c r="B6" s="123">
        <v>2817.616562614643</v>
      </c>
      <c r="C6" s="127">
        <v>3305.2318464207956</v>
      </c>
      <c r="D6" s="128">
        <v>3684.7828822940569</v>
      </c>
      <c r="E6" s="123">
        <v>2864.3136596309337</v>
      </c>
      <c r="F6" s="127">
        <v>3086.5466077945125</v>
      </c>
      <c r="G6" s="128">
        <v>3435.7474539140062</v>
      </c>
      <c r="H6" s="123">
        <v>2052.5718860644693</v>
      </c>
      <c r="I6" s="127">
        <v>2107.7486087700991</v>
      </c>
      <c r="J6" s="128">
        <v>2616.0933330888424</v>
      </c>
      <c r="K6" s="123">
        <v>2046.3408000000002</v>
      </c>
      <c r="L6" s="127">
        <v>2046.3408000000002</v>
      </c>
      <c r="M6" s="128">
        <v>2046.3408000000002</v>
      </c>
      <c r="N6" s="123">
        <v>1830.7055230650521</v>
      </c>
      <c r="O6" s="127">
        <v>1830.7055230650521</v>
      </c>
      <c r="P6" s="128">
        <v>1830.7055230650521</v>
      </c>
      <c r="Q6" s="123"/>
      <c r="R6" s="127"/>
      <c r="S6" s="128"/>
      <c r="T6" s="123"/>
      <c r="U6" s="127"/>
      <c r="V6" s="128"/>
      <c r="W6" s="123"/>
      <c r="X6" s="127"/>
      <c r="Y6" s="128"/>
      <c r="Z6" s="123"/>
      <c r="AA6" s="127"/>
      <c r="AB6" s="128"/>
      <c r="AC6" s="123"/>
      <c r="AD6" s="127"/>
      <c r="AE6" s="128"/>
    </row>
    <row r="7" spans="1:31" x14ac:dyDescent="0.3">
      <c r="A7" s="41">
        <v>2018</v>
      </c>
      <c r="B7" s="123">
        <v>2528.5611227215045</v>
      </c>
      <c r="C7" s="127">
        <v>3178.7148344630409</v>
      </c>
      <c r="D7" s="128">
        <v>3684.7828822940569</v>
      </c>
      <c r="E7" s="123">
        <v>2578.5967624893974</v>
      </c>
      <c r="F7" s="127">
        <v>2911.9461847347657</v>
      </c>
      <c r="G7" s="128">
        <v>3435.7474539140062</v>
      </c>
      <c r="H7" s="123">
        <v>1822.032165452574</v>
      </c>
      <c r="I7" s="127">
        <v>1984.8118299490648</v>
      </c>
      <c r="J7" s="128">
        <v>2616.0933330888424</v>
      </c>
      <c r="K7" s="123">
        <v>1588.7844000000002</v>
      </c>
      <c r="L7" s="127">
        <v>1798.1460000000002</v>
      </c>
      <c r="M7" s="128">
        <v>1875.8124</v>
      </c>
      <c r="N7" s="123">
        <v>1837.3394333156737</v>
      </c>
      <c r="O7" s="127">
        <v>1837.3394333156737</v>
      </c>
      <c r="P7" s="128">
        <v>1837.3394333156737</v>
      </c>
      <c r="Q7" s="123">
        <v>1952</v>
      </c>
      <c r="R7" s="127">
        <v>1952</v>
      </c>
      <c r="S7" s="128">
        <v>1952</v>
      </c>
      <c r="T7" s="123"/>
      <c r="U7" s="127"/>
      <c r="V7" s="128"/>
      <c r="W7" s="123"/>
      <c r="X7" s="127"/>
      <c r="Y7" s="128"/>
      <c r="Z7" s="123"/>
      <c r="AA7" s="127"/>
      <c r="AB7" s="128"/>
      <c r="AC7" s="123"/>
      <c r="AD7" s="127"/>
      <c r="AE7" s="128"/>
    </row>
    <row r="8" spans="1:31" x14ac:dyDescent="0.3">
      <c r="A8" s="41">
        <v>2019</v>
      </c>
      <c r="B8" s="123">
        <v>2239.5056828283664</v>
      </c>
      <c r="C8" s="127">
        <v>3052.1978225052871</v>
      </c>
      <c r="D8" s="128">
        <v>3684.7828822940569</v>
      </c>
      <c r="E8" s="123">
        <v>2292.8798653478607</v>
      </c>
      <c r="F8" s="127">
        <v>2737.3457616750188</v>
      </c>
      <c r="G8" s="128">
        <v>3435.7474539140062</v>
      </c>
      <c r="H8" s="123">
        <v>1653.3852407700895</v>
      </c>
      <c r="I8" s="127">
        <v>1914.5622420513305</v>
      </c>
      <c r="J8" s="128">
        <v>2616.0933330888424</v>
      </c>
      <c r="K8" s="123">
        <v>1507.7412000000002</v>
      </c>
      <c r="L8" s="127">
        <v>1728.9216000000001</v>
      </c>
      <c r="M8" s="128">
        <v>1892.6964000000003</v>
      </c>
      <c r="N8" s="123">
        <v>1584.9170551631869</v>
      </c>
      <c r="O8" s="127">
        <v>1805.0037179137619</v>
      </c>
      <c r="P8" s="128">
        <v>1837.3394333156737</v>
      </c>
      <c r="Q8" s="123">
        <v>1714.1</v>
      </c>
      <c r="R8" s="127">
        <v>1714.1</v>
      </c>
      <c r="S8" s="128">
        <v>1714.1</v>
      </c>
      <c r="T8" s="123">
        <v>1613.744712134815</v>
      </c>
      <c r="U8" s="127">
        <v>1613.744712134815</v>
      </c>
      <c r="V8" s="128">
        <v>1613.744712134815</v>
      </c>
      <c r="W8" s="123"/>
      <c r="X8" s="127"/>
      <c r="Y8" s="128"/>
      <c r="Z8" s="123"/>
      <c r="AA8" s="127"/>
      <c r="AB8" s="128"/>
      <c r="AC8" s="123"/>
      <c r="AD8" s="127"/>
      <c r="AE8" s="128"/>
    </row>
    <row r="9" spans="1:31" x14ac:dyDescent="0.3">
      <c r="A9" s="41">
        <v>2020</v>
      </c>
      <c r="B9" s="123">
        <v>1950.4502429352285</v>
      </c>
      <c r="C9" s="127">
        <v>2925.6808105475338</v>
      </c>
      <c r="D9" s="128">
        <v>3684.7828822940569</v>
      </c>
      <c r="E9" s="123">
        <v>2007.1629682063242</v>
      </c>
      <c r="F9" s="127">
        <v>2562.7453386152711</v>
      </c>
      <c r="G9" s="128">
        <v>3435.7474539140062</v>
      </c>
      <c r="H9" s="123">
        <v>1574.858007603269</v>
      </c>
      <c r="I9" s="127">
        <v>1808.926888366658</v>
      </c>
      <c r="J9" s="128">
        <v>2616.0933330888424</v>
      </c>
      <c r="K9" s="123">
        <v>1438.5168000000001</v>
      </c>
      <c r="L9" s="127">
        <v>1627.6176000000003</v>
      </c>
      <c r="M9" s="128">
        <v>1943.3484000000001</v>
      </c>
      <c r="N9" s="123">
        <v>1487.0496679141454</v>
      </c>
      <c r="O9" s="127">
        <v>1771.0668147831159</v>
      </c>
      <c r="P9" s="128">
        <v>1837.3394333156737</v>
      </c>
      <c r="Q9" s="123">
        <v>1634.8</v>
      </c>
      <c r="R9" s="127">
        <v>1651.8799999999999</v>
      </c>
      <c r="S9" s="128">
        <v>1694.58</v>
      </c>
      <c r="T9" s="123">
        <v>1596.7865346930475</v>
      </c>
      <c r="U9" s="127">
        <v>1596.7865346930475</v>
      </c>
      <c r="V9" s="128">
        <v>1596.7865346930475</v>
      </c>
      <c r="W9" s="123">
        <v>1546.5842510956838</v>
      </c>
      <c r="X9" s="127">
        <v>1546.5842510956838</v>
      </c>
      <c r="Y9" s="128">
        <v>1546.5842510956838</v>
      </c>
      <c r="Z9" s="123"/>
      <c r="AA9" s="127"/>
      <c r="AB9" s="128"/>
      <c r="AC9" s="123"/>
      <c r="AD9" s="127"/>
      <c r="AE9" s="128"/>
    </row>
    <row r="10" spans="1:31" x14ac:dyDescent="0.3">
      <c r="A10" s="41">
        <v>2021</v>
      </c>
      <c r="B10" s="123">
        <v>1950.4502429352285</v>
      </c>
      <c r="C10" s="127">
        <v>2828.1577537863036</v>
      </c>
      <c r="D10" s="128">
        <v>3684.7828822940569</v>
      </c>
      <c r="E10" s="123">
        <v>1908.9781581112572</v>
      </c>
      <c r="F10" s="127">
        <v>2440.7998382013948</v>
      </c>
      <c r="G10" s="128">
        <v>3435.7474539140062</v>
      </c>
      <c r="H10" s="123">
        <v>1533.2840268742036</v>
      </c>
      <c r="I10" s="127">
        <v>1787.270145571212</v>
      </c>
      <c r="J10" s="128">
        <v>2616.0933330888424</v>
      </c>
      <c r="K10" s="123">
        <v>1377.7344000000003</v>
      </c>
      <c r="L10" s="127">
        <v>1543.1976000000002</v>
      </c>
      <c r="M10" s="128">
        <v>1977.1164000000001</v>
      </c>
      <c r="N10" s="123">
        <v>1431.4126829201739</v>
      </c>
      <c r="O10" s="127">
        <v>1737.6504597872081</v>
      </c>
      <c r="P10" s="128">
        <v>1837.3394333156737</v>
      </c>
      <c r="Q10" s="123">
        <v>1555.5</v>
      </c>
      <c r="R10" s="127">
        <v>1588.44</v>
      </c>
      <c r="S10" s="128">
        <v>1673.84</v>
      </c>
      <c r="T10" s="123">
        <v>1511.0729676728556</v>
      </c>
      <c r="U10" s="127">
        <v>1527.1135123242443</v>
      </c>
      <c r="V10" s="128">
        <v>1574.2630794613124</v>
      </c>
      <c r="W10" s="123">
        <v>1352.3982326311348</v>
      </c>
      <c r="X10" s="127">
        <v>1352.3982326311348</v>
      </c>
      <c r="Y10" s="128">
        <v>1352.3982326311348</v>
      </c>
      <c r="Z10" s="123">
        <v>1342.4385189994332</v>
      </c>
      <c r="AA10" s="127">
        <v>1342.4385189994332</v>
      </c>
      <c r="AB10" s="128">
        <v>1342.4385189994332</v>
      </c>
      <c r="AC10" s="123"/>
      <c r="AD10" s="127"/>
      <c r="AE10" s="128"/>
    </row>
    <row r="11" spans="1:31" x14ac:dyDescent="0.3">
      <c r="A11" s="41">
        <v>2022</v>
      </c>
      <c r="B11" s="123">
        <v>1950.4502429352285</v>
      </c>
      <c r="C11" s="127">
        <v>2730.6346970250725</v>
      </c>
      <c r="D11" s="128">
        <v>3684.7828822940569</v>
      </c>
      <c r="E11" s="123">
        <v>1810.7933480161905</v>
      </c>
      <c r="F11" s="127">
        <v>2318.8543377875176</v>
      </c>
      <c r="G11" s="128">
        <v>3435.7474539140062</v>
      </c>
      <c r="H11" s="123">
        <v>1491.710046145138</v>
      </c>
      <c r="I11" s="127">
        <v>1765.6134027757653</v>
      </c>
      <c r="J11" s="128">
        <v>2616.0933330888424</v>
      </c>
      <c r="K11" s="123">
        <v>1338.9012000000002</v>
      </c>
      <c r="L11" s="127">
        <v>1526.3136</v>
      </c>
      <c r="M11" s="128">
        <v>1977.1164000000001</v>
      </c>
      <c r="N11" s="123">
        <v>1375.7756979262022</v>
      </c>
      <c r="O11" s="127">
        <v>1702.377640624861</v>
      </c>
      <c r="P11" s="128">
        <v>1837.3394333156737</v>
      </c>
      <c r="Q11" s="123">
        <v>1476.2</v>
      </c>
      <c r="R11" s="127">
        <v>1525</v>
      </c>
      <c r="S11" s="128">
        <v>1654.32</v>
      </c>
      <c r="T11" s="123">
        <v>1425.3594006526632</v>
      </c>
      <c r="U11" s="127">
        <v>1457.4404899554411</v>
      </c>
      <c r="V11" s="128">
        <v>1551.7396242295774</v>
      </c>
      <c r="W11" s="123">
        <v>1281.7313799650699</v>
      </c>
      <c r="X11" s="127">
        <v>1298.9938653086965</v>
      </c>
      <c r="Y11" s="128">
        <v>1349.7352041691265</v>
      </c>
      <c r="Z11" s="123">
        <v>1428.12608404195</v>
      </c>
      <c r="AA11" s="127">
        <v>1428.12608404195</v>
      </c>
      <c r="AB11" s="128">
        <v>1428.12608404195</v>
      </c>
      <c r="AC11" s="123">
        <v>1482.6832803021205</v>
      </c>
      <c r="AD11" s="127">
        <v>1482.6832803021205</v>
      </c>
      <c r="AE11" s="128">
        <v>1482.6832803021205</v>
      </c>
    </row>
    <row r="12" spans="1:31" x14ac:dyDescent="0.3">
      <c r="A12" s="41">
        <v>2023</v>
      </c>
      <c r="B12" s="123">
        <v>1950.4502429352285</v>
      </c>
      <c r="C12" s="127">
        <v>2633.1116402638422</v>
      </c>
      <c r="D12" s="128">
        <v>3684.7828822940569</v>
      </c>
      <c r="E12" s="123">
        <v>1712.6085379211238</v>
      </c>
      <c r="F12" s="127">
        <v>2196.9088373736404</v>
      </c>
      <c r="G12" s="128">
        <v>3435.7474539140062</v>
      </c>
      <c r="H12" s="123">
        <v>1450.1360654160728</v>
      </c>
      <c r="I12" s="127">
        <v>1743.9566599803193</v>
      </c>
      <c r="J12" s="128">
        <v>2616.0933330888424</v>
      </c>
      <c r="K12" s="123">
        <v>1300.0680000000002</v>
      </c>
      <c r="L12" s="127">
        <v>1507.7412000000002</v>
      </c>
      <c r="M12" s="128">
        <v>1977.1164000000001</v>
      </c>
      <c r="N12" s="123">
        <v>1320.1387129322304</v>
      </c>
      <c r="O12" s="127">
        <v>1667.1048214625137</v>
      </c>
      <c r="P12" s="128">
        <v>1837.3394333156737</v>
      </c>
      <c r="Q12" s="123">
        <v>1395.68</v>
      </c>
      <c r="R12" s="127">
        <v>1461.56</v>
      </c>
      <c r="S12" s="128">
        <v>1633.58</v>
      </c>
      <c r="T12" s="123">
        <v>1339.6458336324708</v>
      </c>
      <c r="U12" s="127">
        <v>1387.7674675866374</v>
      </c>
      <c r="V12" s="128">
        <v>1529.2161689978423</v>
      </c>
      <c r="W12" s="123">
        <v>1211.064527299005</v>
      </c>
      <c r="X12" s="127">
        <v>1245.589497986258</v>
      </c>
      <c r="Y12" s="128">
        <v>1347.072175707118</v>
      </c>
      <c r="Z12" s="123">
        <v>1368.8677949092971</v>
      </c>
      <c r="AA12" s="127">
        <v>1384.6068988063405</v>
      </c>
      <c r="AB12" s="128">
        <v>1406.3846350944093</v>
      </c>
      <c r="AC12" s="123">
        <v>1610.9046644782707</v>
      </c>
      <c r="AD12" s="127">
        <v>1610.9046644782707</v>
      </c>
      <c r="AE12" s="128">
        <v>1610.9046644782707</v>
      </c>
    </row>
    <row r="13" spans="1:31" x14ac:dyDescent="0.3">
      <c r="A13" s="41">
        <v>2024</v>
      </c>
      <c r="B13" s="123">
        <v>1950.4502429352285</v>
      </c>
      <c r="C13" s="127">
        <v>2535.5885835026115</v>
      </c>
      <c r="D13" s="128">
        <v>3684.7828822940569</v>
      </c>
      <c r="E13" s="123">
        <v>1614.4237278260573</v>
      </c>
      <c r="F13" s="127">
        <v>2074.9633369597636</v>
      </c>
      <c r="G13" s="128">
        <v>3435.7474539140062</v>
      </c>
      <c r="H13" s="123">
        <v>1408.5620846870072</v>
      </c>
      <c r="I13" s="127">
        <v>1722.2999171848726</v>
      </c>
      <c r="J13" s="128">
        <v>2616.0933330888424</v>
      </c>
      <c r="K13" s="123">
        <v>1261.2348000000002</v>
      </c>
      <c r="L13" s="127">
        <v>1490.8571999999999</v>
      </c>
      <c r="M13" s="128">
        <v>1977.1164000000001</v>
      </c>
      <c r="N13" s="123">
        <v>1264.5017279382589</v>
      </c>
      <c r="O13" s="127">
        <v>1631.8320023001666</v>
      </c>
      <c r="P13" s="128">
        <v>1837.3394333156737</v>
      </c>
      <c r="Q13" s="123">
        <v>1316.3799999999999</v>
      </c>
      <c r="R13" s="127">
        <v>1399.34</v>
      </c>
      <c r="S13" s="128">
        <v>1614.06</v>
      </c>
      <c r="T13" s="123">
        <v>1253.9322666122789</v>
      </c>
      <c r="U13" s="127">
        <v>1318.0944452178342</v>
      </c>
      <c r="V13" s="128">
        <v>1506.6927137661073</v>
      </c>
      <c r="W13" s="123">
        <v>1140.3976746329402</v>
      </c>
      <c r="X13" s="127">
        <v>1192.1851306638198</v>
      </c>
      <c r="Y13" s="128">
        <v>1344.4091472451098</v>
      </c>
      <c r="Z13" s="123">
        <v>1309.6095057766443</v>
      </c>
      <c r="AA13" s="127">
        <v>1341.0877135707315</v>
      </c>
      <c r="AB13" s="128">
        <v>1384.6431861468684</v>
      </c>
      <c r="AC13" s="123">
        <v>1533.570638746058</v>
      </c>
      <c r="AD13" s="127">
        <v>1551.2727044066685</v>
      </c>
      <c r="AE13" s="128">
        <v>1575.7665332950637</v>
      </c>
    </row>
    <row r="14" spans="1:31" x14ac:dyDescent="0.3">
      <c r="A14" s="41">
        <v>2025</v>
      </c>
      <c r="B14" s="123">
        <v>1950.4502429352285</v>
      </c>
      <c r="C14" s="127">
        <v>2438.0655267413813</v>
      </c>
      <c r="D14" s="128">
        <v>3684.7828822940569</v>
      </c>
      <c r="E14" s="123">
        <v>1516.238917730991</v>
      </c>
      <c r="F14" s="127">
        <v>1953.0178365458867</v>
      </c>
      <c r="G14" s="128">
        <v>3435.7474539140062</v>
      </c>
      <c r="H14" s="123">
        <v>1366.988103957942</v>
      </c>
      <c r="I14" s="127">
        <v>1700.6431743894259</v>
      </c>
      <c r="J14" s="128">
        <v>2616.0933330888424</v>
      </c>
      <c r="K14" s="123">
        <v>1222.4016000000001</v>
      </c>
      <c r="L14" s="127">
        <v>1473.9732000000001</v>
      </c>
      <c r="M14" s="128">
        <v>1977.1164000000001</v>
      </c>
      <c r="N14" s="123">
        <v>1208.8647429442874</v>
      </c>
      <c r="O14" s="127">
        <v>1596.5591831378194</v>
      </c>
      <c r="P14" s="128">
        <v>1837.3394333156737</v>
      </c>
      <c r="Q14" s="123">
        <v>1237.08</v>
      </c>
      <c r="R14" s="127">
        <v>1335.8999999999999</v>
      </c>
      <c r="S14" s="128">
        <v>1593.32</v>
      </c>
      <c r="T14" s="123">
        <v>1168.2186995920868</v>
      </c>
      <c r="U14" s="127">
        <v>1248.4214228490305</v>
      </c>
      <c r="V14" s="128">
        <v>1484.1692585343721</v>
      </c>
      <c r="W14" s="123">
        <v>1069.7308219668755</v>
      </c>
      <c r="X14" s="127">
        <v>1138.7807633413815</v>
      </c>
      <c r="Y14" s="128">
        <v>1341.7461187831016</v>
      </c>
      <c r="Z14" s="123">
        <v>1250.3512166439912</v>
      </c>
      <c r="AA14" s="127">
        <v>1297.5685283351218</v>
      </c>
      <c r="AB14" s="128">
        <v>1362.901737199328</v>
      </c>
      <c r="AC14" s="123">
        <v>1456.236613013845</v>
      </c>
      <c r="AD14" s="127">
        <v>1491.6407443350658</v>
      </c>
      <c r="AE14" s="128">
        <v>1540.6284021118565</v>
      </c>
    </row>
    <row r="15" spans="1:31" x14ac:dyDescent="0.3">
      <c r="A15" s="41">
        <v>2026</v>
      </c>
      <c r="B15" s="123">
        <v>1950.4502429352285</v>
      </c>
      <c r="C15" s="127">
        <v>2340.5424699801506</v>
      </c>
      <c r="D15" s="128">
        <v>3684.7828822940569</v>
      </c>
      <c r="E15" s="123">
        <v>1466.4519681935553</v>
      </c>
      <c r="F15" s="127">
        <v>1930.5371999744764</v>
      </c>
      <c r="G15" s="128">
        <v>3435.7474539140062</v>
      </c>
      <c r="H15" s="123">
        <v>1325.4141232288766</v>
      </c>
      <c r="I15" s="127">
        <v>1678.9864315939797</v>
      </c>
      <c r="J15" s="128">
        <v>2616.0933330888424</v>
      </c>
      <c r="K15" s="123">
        <v>1183.5684000000001</v>
      </c>
      <c r="L15" s="127">
        <v>1455.4008000000003</v>
      </c>
      <c r="M15" s="128">
        <v>1977.1164000000001</v>
      </c>
      <c r="N15" s="123">
        <v>1153.2277579503157</v>
      </c>
      <c r="O15" s="127">
        <v>1561.2863639754726</v>
      </c>
      <c r="P15" s="128">
        <v>1837.3394333156737</v>
      </c>
      <c r="Q15" s="123">
        <v>1157.78</v>
      </c>
      <c r="R15" s="127">
        <v>1272.46</v>
      </c>
      <c r="S15" s="128">
        <v>1573.8</v>
      </c>
      <c r="T15" s="123">
        <v>1082.5051325718946</v>
      </c>
      <c r="U15" s="127">
        <v>1178.7484004802275</v>
      </c>
      <c r="V15" s="128">
        <v>1461.6458033026372</v>
      </c>
      <c r="W15" s="123">
        <v>999.83125451183014</v>
      </c>
      <c r="X15" s="127">
        <v>1086.2099695263912</v>
      </c>
      <c r="Y15" s="128">
        <v>1340.1115116065175</v>
      </c>
      <c r="Z15" s="123">
        <v>1191.0929275113381</v>
      </c>
      <c r="AA15" s="127">
        <v>1254.0493430995123</v>
      </c>
      <c r="AB15" s="128">
        <v>1341.1602882517871</v>
      </c>
      <c r="AC15" s="123">
        <v>1378.9025872816319</v>
      </c>
      <c r="AD15" s="127">
        <v>1432.0087842634634</v>
      </c>
      <c r="AE15" s="128">
        <v>1505.4902709286494</v>
      </c>
    </row>
    <row r="16" spans="1:31" x14ac:dyDescent="0.3">
      <c r="A16" s="41">
        <v>2027</v>
      </c>
      <c r="B16" s="123">
        <v>1950.4502429352285</v>
      </c>
      <c r="C16" s="127">
        <v>2243.0194132189204</v>
      </c>
      <c r="D16" s="128">
        <v>3684.7828822940569</v>
      </c>
      <c r="E16" s="123">
        <v>1416.6650186561201</v>
      </c>
      <c r="F16" s="127">
        <v>1908.0565634030663</v>
      </c>
      <c r="G16" s="128">
        <v>3435.7474539140062</v>
      </c>
      <c r="H16" s="123">
        <v>1283.8401424998112</v>
      </c>
      <c r="I16" s="127">
        <v>1657.3296887985332</v>
      </c>
      <c r="J16" s="128">
        <v>2616.0933330888424</v>
      </c>
      <c r="K16" s="123">
        <v>1144.7352000000001</v>
      </c>
      <c r="L16" s="127">
        <v>1438.5168000000001</v>
      </c>
      <c r="M16" s="128">
        <v>1977.1164000000001</v>
      </c>
      <c r="N16" s="123">
        <v>1097.5907729563442</v>
      </c>
      <c r="O16" s="127">
        <v>1526.0135448131252</v>
      </c>
      <c r="P16" s="128">
        <v>1837.3394333156737</v>
      </c>
      <c r="Q16" s="123">
        <v>1077.26</v>
      </c>
      <c r="R16" s="127">
        <v>1210.24</v>
      </c>
      <c r="S16" s="128">
        <v>1553.06</v>
      </c>
      <c r="T16" s="123">
        <v>996.79156555170266</v>
      </c>
      <c r="U16" s="127">
        <v>1109.0753781114242</v>
      </c>
      <c r="V16" s="128">
        <v>1439.122348070902</v>
      </c>
      <c r="W16" s="123">
        <v>929.82245495182883</v>
      </c>
      <c r="X16" s="127">
        <v>1033.5563822541621</v>
      </c>
      <c r="Y16" s="128">
        <v>1338.4718247176238</v>
      </c>
      <c r="Z16" s="123">
        <v>1131.834638378685</v>
      </c>
      <c r="AA16" s="127">
        <v>1210.530157863903</v>
      </c>
      <c r="AB16" s="128">
        <v>1319.4188393042466</v>
      </c>
      <c r="AC16" s="123">
        <v>1301.5685615494185</v>
      </c>
      <c r="AD16" s="127">
        <v>1372.376824191861</v>
      </c>
      <c r="AE16" s="128">
        <v>1470.3521397454424</v>
      </c>
    </row>
    <row r="17" spans="1:31" x14ac:dyDescent="0.3">
      <c r="A17" s="41">
        <v>2028</v>
      </c>
      <c r="B17" s="123">
        <v>1950.4502429352285</v>
      </c>
      <c r="C17" s="127">
        <v>2145.4963564576892</v>
      </c>
      <c r="D17" s="128">
        <v>3684.7828822940569</v>
      </c>
      <c r="E17" s="123">
        <v>1366.8780691186844</v>
      </c>
      <c r="F17" s="127">
        <v>1885.5759268316556</v>
      </c>
      <c r="G17" s="128">
        <v>3435.7474539140062</v>
      </c>
      <c r="H17" s="123">
        <v>1242.2661617707461</v>
      </c>
      <c r="I17" s="127">
        <v>1635.6729460030867</v>
      </c>
      <c r="J17" s="128">
        <v>2616.0933330888424</v>
      </c>
      <c r="K17" s="123">
        <v>1104.2136</v>
      </c>
      <c r="L17" s="127">
        <v>1421.6328000000001</v>
      </c>
      <c r="M17" s="128">
        <v>1977.1164000000001</v>
      </c>
      <c r="N17" s="123">
        <v>1041.9537879623724</v>
      </c>
      <c r="O17" s="127">
        <v>1490.7407256507781</v>
      </c>
      <c r="P17" s="128">
        <v>1837.3394333156737</v>
      </c>
      <c r="Q17" s="123">
        <v>997.95999999999992</v>
      </c>
      <c r="R17" s="127">
        <v>1146.8</v>
      </c>
      <c r="S17" s="128">
        <v>1532.32</v>
      </c>
      <c r="T17" s="123">
        <v>911.0779985315105</v>
      </c>
      <c r="U17" s="127">
        <v>1039.402355742621</v>
      </c>
      <c r="V17" s="128">
        <v>1416.5988928391669</v>
      </c>
      <c r="W17" s="123">
        <v>859.70458205172713</v>
      </c>
      <c r="X17" s="127">
        <v>980.82012221227421</v>
      </c>
      <c r="Y17" s="128">
        <v>1336.827066879679</v>
      </c>
      <c r="Z17" s="123">
        <v>1072.5763492460324</v>
      </c>
      <c r="AA17" s="127">
        <v>1167.0109726282935</v>
      </c>
      <c r="AB17" s="128">
        <v>1297.6773903567057</v>
      </c>
      <c r="AC17" s="123">
        <v>1224.2345358172054</v>
      </c>
      <c r="AD17" s="127">
        <v>1312.7448641202586</v>
      </c>
      <c r="AE17" s="128">
        <v>1435.214008562235</v>
      </c>
    </row>
    <row r="18" spans="1:31" x14ac:dyDescent="0.3">
      <c r="A18" s="41">
        <v>2029</v>
      </c>
      <c r="B18" s="123">
        <v>1950.4502429352285</v>
      </c>
      <c r="C18" s="127">
        <v>2047.9732996964592</v>
      </c>
      <c r="D18" s="128">
        <v>3684.7828822940569</v>
      </c>
      <c r="E18" s="123">
        <v>1317.0911195812489</v>
      </c>
      <c r="F18" s="127">
        <v>1863.0952902602457</v>
      </c>
      <c r="G18" s="128">
        <v>3435.7474539140062</v>
      </c>
      <c r="H18" s="123">
        <v>1200.6921810416804</v>
      </c>
      <c r="I18" s="127">
        <v>1614.01620320764</v>
      </c>
      <c r="J18" s="128">
        <v>2616.0933330888424</v>
      </c>
      <c r="K18" s="123">
        <v>1065.3804000000002</v>
      </c>
      <c r="L18" s="127">
        <v>1403.0604000000001</v>
      </c>
      <c r="M18" s="128">
        <v>1977.1164000000001</v>
      </c>
      <c r="N18" s="123">
        <v>986.31680296840091</v>
      </c>
      <c r="O18" s="127">
        <v>1455.4679064884313</v>
      </c>
      <c r="P18" s="128">
        <v>1837.3394333156737</v>
      </c>
      <c r="Q18" s="123">
        <v>918.66</v>
      </c>
      <c r="R18" s="127">
        <v>1083.3599999999999</v>
      </c>
      <c r="S18" s="128">
        <v>1512.8</v>
      </c>
      <c r="T18" s="123">
        <v>825.36443151131846</v>
      </c>
      <c r="U18" s="127">
        <v>969.72933337381767</v>
      </c>
      <c r="V18" s="128">
        <v>1394.0754376074319</v>
      </c>
      <c r="W18" s="123">
        <v>789.47779396443195</v>
      </c>
      <c r="X18" s="127">
        <v>928.00130962245737</v>
      </c>
      <c r="Y18" s="128">
        <v>1335.1772468195347</v>
      </c>
      <c r="Z18" s="123">
        <v>1013.3180601133793</v>
      </c>
      <c r="AA18" s="127">
        <v>1123.491787392684</v>
      </c>
      <c r="AB18" s="128">
        <v>1275.9359414091653</v>
      </c>
      <c r="AC18" s="123">
        <v>1146.9005100849922</v>
      </c>
      <c r="AD18" s="127">
        <v>1253.112904048656</v>
      </c>
      <c r="AE18" s="128">
        <v>1400.0758773790278</v>
      </c>
    </row>
    <row r="19" spans="1:31" x14ac:dyDescent="0.3">
      <c r="A19" s="41">
        <v>2030</v>
      </c>
      <c r="B19" s="123">
        <v>1950.4502429352285</v>
      </c>
      <c r="C19" s="127">
        <v>1950.4502429352285</v>
      </c>
      <c r="D19" s="128">
        <v>3684.7828822940569</v>
      </c>
      <c r="E19" s="123">
        <v>1267.3041700438132</v>
      </c>
      <c r="F19" s="127">
        <v>1840.614653688835</v>
      </c>
      <c r="G19" s="128">
        <v>3435.7474539140062</v>
      </c>
      <c r="H19" s="123">
        <v>1159.118200312616</v>
      </c>
      <c r="I19" s="127">
        <v>1592.359460412194</v>
      </c>
      <c r="J19" s="128">
        <v>2616.0933330888424</v>
      </c>
      <c r="K19" s="123">
        <v>1026.5472000000002</v>
      </c>
      <c r="L19" s="127">
        <v>1386.1764000000001</v>
      </c>
      <c r="M19" s="128">
        <v>1977.1164000000001</v>
      </c>
      <c r="N19" s="123">
        <v>930.67981797442826</v>
      </c>
      <c r="O19" s="127">
        <v>1420.1950873260835</v>
      </c>
      <c r="P19" s="128">
        <v>1837.3394333156737</v>
      </c>
      <c r="Q19" s="123">
        <v>839.36</v>
      </c>
      <c r="R19" s="127">
        <v>1019.92</v>
      </c>
      <c r="S19" s="128">
        <v>1492.06</v>
      </c>
      <c r="T19" s="123">
        <v>739.65086449112641</v>
      </c>
      <c r="U19" s="127">
        <v>900.05631100501489</v>
      </c>
      <c r="V19" s="128">
        <v>1371.5519823756979</v>
      </c>
      <c r="W19" s="123">
        <v>719.14224823457357</v>
      </c>
      <c r="X19" s="127">
        <v>875.10006424338906</v>
      </c>
      <c r="Y19" s="128">
        <v>1333.5223732278607</v>
      </c>
      <c r="Z19" s="123">
        <v>954.05977098072628</v>
      </c>
      <c r="AA19" s="127">
        <v>1079.9726021570746</v>
      </c>
      <c r="AB19" s="128">
        <v>1254.1944924616243</v>
      </c>
      <c r="AC19" s="123">
        <v>1069.5664843527793</v>
      </c>
      <c r="AD19" s="127">
        <v>1193.4809439770536</v>
      </c>
      <c r="AE19" s="128">
        <v>1364.9377461958204</v>
      </c>
    </row>
    <row r="20" spans="1:31" x14ac:dyDescent="0.3">
      <c r="A20" s="41">
        <v>2031</v>
      </c>
      <c r="B20" s="123">
        <v>1950.4502429352285</v>
      </c>
      <c r="C20" s="127">
        <v>1950.4502429352285</v>
      </c>
      <c r="D20" s="128">
        <v>3684.7828822940569</v>
      </c>
      <c r="E20" s="123">
        <v>1240.3798461541937</v>
      </c>
      <c r="F20" s="127">
        <v>1822.4922149378322</v>
      </c>
      <c r="G20" s="128">
        <v>3435.7474539140062</v>
      </c>
      <c r="H20" s="123">
        <v>1135.9186310835125</v>
      </c>
      <c r="I20" s="127">
        <v>1574.666577518725</v>
      </c>
      <c r="J20" s="128">
        <v>2616.0933330888424</v>
      </c>
      <c r="K20" s="123">
        <v>1009.6632000000001</v>
      </c>
      <c r="L20" s="127">
        <v>1374.3576000000003</v>
      </c>
      <c r="M20" s="128">
        <v>1977.1164000000001</v>
      </c>
      <c r="N20" s="123">
        <v>904.06189444270649</v>
      </c>
      <c r="O20" s="127">
        <v>1404.4500733599134</v>
      </c>
      <c r="P20" s="128">
        <v>1837.3394333156737</v>
      </c>
      <c r="Q20" s="123">
        <v>828.38</v>
      </c>
      <c r="R20" s="127">
        <v>1011.38</v>
      </c>
      <c r="S20" s="128">
        <v>1468.8799999999999</v>
      </c>
      <c r="T20" s="123">
        <v>730.55396176533202</v>
      </c>
      <c r="U20" s="127">
        <v>892.03603867932043</v>
      </c>
      <c r="V20" s="128">
        <v>1347.9771988071641</v>
      </c>
      <c r="W20" s="123">
        <v>710.29757922617625</v>
      </c>
      <c r="X20" s="127">
        <v>867.30217344294817</v>
      </c>
      <c r="Y20" s="128">
        <v>1310.6012577786371</v>
      </c>
      <c r="Z20" s="123">
        <v>894.80148184807331</v>
      </c>
      <c r="AA20" s="127">
        <v>1036.4534169214651</v>
      </c>
      <c r="AB20" s="128">
        <v>1232.4530435140834</v>
      </c>
      <c r="AC20" s="123">
        <v>992.23245862056592</v>
      </c>
      <c r="AD20" s="127">
        <v>1133.8489839054512</v>
      </c>
      <c r="AE20" s="128">
        <v>1329.7996150126132</v>
      </c>
    </row>
    <row r="21" spans="1:31" x14ac:dyDescent="0.3">
      <c r="A21" s="41">
        <v>2032</v>
      </c>
      <c r="B21" s="123">
        <v>1950.4502429352285</v>
      </c>
      <c r="C21" s="127">
        <v>1950.4502429352285</v>
      </c>
      <c r="D21" s="128">
        <v>3684.7828822940569</v>
      </c>
      <c r="E21" s="123">
        <v>1213.4555222645738</v>
      </c>
      <c r="F21" s="127">
        <v>1804.3697761868293</v>
      </c>
      <c r="G21" s="128">
        <v>3435.7474539140062</v>
      </c>
      <c r="H21" s="123">
        <v>1112.7190618544093</v>
      </c>
      <c r="I21" s="127">
        <v>1556.9736946252563</v>
      </c>
      <c r="J21" s="128">
        <v>2616.0933330888424</v>
      </c>
      <c r="K21" s="123">
        <v>992.77920000000006</v>
      </c>
      <c r="L21" s="127">
        <v>1362.5388</v>
      </c>
      <c r="M21" s="128">
        <v>1977.1164000000001</v>
      </c>
      <c r="N21" s="123">
        <v>877.44397091098472</v>
      </c>
      <c r="O21" s="127">
        <v>1388.705059393744</v>
      </c>
      <c r="P21" s="128">
        <v>1837.3394333156737</v>
      </c>
      <c r="Q21" s="123">
        <v>818.62</v>
      </c>
      <c r="R21" s="127">
        <v>1002.84</v>
      </c>
      <c r="S21" s="128">
        <v>1445.7</v>
      </c>
      <c r="T21" s="123">
        <v>721.45705903953774</v>
      </c>
      <c r="U21" s="127">
        <v>884.01576635362608</v>
      </c>
      <c r="V21" s="128">
        <v>1324.4024152386298</v>
      </c>
      <c r="W21" s="123">
        <v>701.45291021777894</v>
      </c>
      <c r="X21" s="127">
        <v>859.50428264250741</v>
      </c>
      <c r="Y21" s="128">
        <v>1287.6801423294137</v>
      </c>
      <c r="Z21" s="123">
        <v>835.54319271542033</v>
      </c>
      <c r="AA21" s="127">
        <v>992.93423168585571</v>
      </c>
      <c r="AB21" s="128">
        <v>1210.7115945665428</v>
      </c>
      <c r="AC21" s="123">
        <v>914.89843288835289</v>
      </c>
      <c r="AD21" s="127">
        <v>1074.217023833849</v>
      </c>
      <c r="AE21" s="128">
        <v>1294.6614838294058</v>
      </c>
    </row>
    <row r="22" spans="1:31" x14ac:dyDescent="0.3">
      <c r="A22" s="41">
        <v>2033</v>
      </c>
      <c r="B22" s="123">
        <v>1950.4502429352285</v>
      </c>
      <c r="C22" s="127">
        <v>1950.4502429352285</v>
      </c>
      <c r="D22" s="128">
        <v>3684.7828822940569</v>
      </c>
      <c r="E22" s="123">
        <v>1186.5311983749541</v>
      </c>
      <c r="F22" s="127">
        <v>1786.2473374358265</v>
      </c>
      <c r="G22" s="128">
        <v>3435.7474539140062</v>
      </c>
      <c r="H22" s="123">
        <v>1089.5194926253059</v>
      </c>
      <c r="I22" s="127">
        <v>1539.2808117317875</v>
      </c>
      <c r="J22" s="128">
        <v>2616.0933330888424</v>
      </c>
      <c r="K22" s="123">
        <v>975.89520000000005</v>
      </c>
      <c r="L22" s="127">
        <v>1350.72</v>
      </c>
      <c r="M22" s="128">
        <v>1977.1164000000001</v>
      </c>
      <c r="N22" s="123">
        <v>850.82604737926283</v>
      </c>
      <c r="O22" s="127">
        <v>1372.9600454275744</v>
      </c>
      <c r="P22" s="128">
        <v>1837.3394333156737</v>
      </c>
      <c r="Q22" s="123">
        <v>807.64</v>
      </c>
      <c r="R22" s="127">
        <v>993.07999999999993</v>
      </c>
      <c r="S22" s="128">
        <v>1421.3</v>
      </c>
      <c r="T22" s="123">
        <v>712.36015631374335</v>
      </c>
      <c r="U22" s="127">
        <v>875.99549402793173</v>
      </c>
      <c r="V22" s="128">
        <v>1300.8276316700956</v>
      </c>
      <c r="W22" s="123">
        <v>692.60824120938162</v>
      </c>
      <c r="X22" s="127">
        <v>851.70639184206664</v>
      </c>
      <c r="Y22" s="128">
        <v>1264.75902688019</v>
      </c>
      <c r="Z22" s="123">
        <v>776.28490358276736</v>
      </c>
      <c r="AA22" s="127">
        <v>949.41504645024622</v>
      </c>
      <c r="AB22" s="128">
        <v>1188.9701456190019</v>
      </c>
      <c r="AC22" s="123">
        <v>837.56440715613974</v>
      </c>
      <c r="AD22" s="127">
        <v>1014.5850637622466</v>
      </c>
      <c r="AE22" s="128">
        <v>1259.5233526461986</v>
      </c>
    </row>
    <row r="23" spans="1:31" x14ac:dyDescent="0.3">
      <c r="A23" s="41">
        <v>2034</v>
      </c>
      <c r="B23" s="123">
        <v>1950.4502429352285</v>
      </c>
      <c r="C23" s="127">
        <v>1950.4502429352285</v>
      </c>
      <c r="D23" s="128">
        <v>3684.7828822940569</v>
      </c>
      <c r="E23" s="123">
        <v>1159.6068744853344</v>
      </c>
      <c r="F23" s="127">
        <v>1768.1248986848236</v>
      </c>
      <c r="G23" s="128">
        <v>3435.7474539140062</v>
      </c>
      <c r="H23" s="123">
        <v>1066.3199233962025</v>
      </c>
      <c r="I23" s="127">
        <v>1521.5879288383189</v>
      </c>
      <c r="J23" s="128">
        <v>2616.0933330888424</v>
      </c>
      <c r="K23" s="123">
        <v>962.38800000000015</v>
      </c>
      <c r="L23" s="127">
        <v>1338.9012000000002</v>
      </c>
      <c r="M23" s="128">
        <v>1977.1164000000001</v>
      </c>
      <c r="N23" s="123">
        <v>824.20812384754106</v>
      </c>
      <c r="O23" s="127">
        <v>1357.215031461405</v>
      </c>
      <c r="P23" s="128">
        <v>1837.3394333156737</v>
      </c>
      <c r="Q23" s="123">
        <v>797.88</v>
      </c>
      <c r="R23" s="127">
        <v>984.54</v>
      </c>
      <c r="S23" s="128">
        <v>1398.12</v>
      </c>
      <c r="T23" s="123">
        <v>703.26325358794907</v>
      </c>
      <c r="U23" s="127">
        <v>867.97522170223726</v>
      </c>
      <c r="V23" s="128">
        <v>1277.2528481015618</v>
      </c>
      <c r="W23" s="123">
        <v>683.7635722009843</v>
      </c>
      <c r="X23" s="127">
        <v>843.90850104162587</v>
      </c>
      <c r="Y23" s="128">
        <v>1241.8379114309664</v>
      </c>
      <c r="Z23" s="123">
        <v>717.02661445011438</v>
      </c>
      <c r="AA23" s="127">
        <v>905.89586121463674</v>
      </c>
      <c r="AB23" s="128">
        <v>1167.2286966714614</v>
      </c>
      <c r="AC23" s="123">
        <v>760.23038142392636</v>
      </c>
      <c r="AD23" s="127">
        <v>954.95310369064418</v>
      </c>
      <c r="AE23" s="128">
        <v>1224.385221462991</v>
      </c>
    </row>
    <row r="24" spans="1:31" x14ac:dyDescent="0.3">
      <c r="A24" s="41">
        <v>2035</v>
      </c>
      <c r="B24" s="123">
        <v>1950.4502429352285</v>
      </c>
      <c r="C24" s="127">
        <v>1950.4502429352285</v>
      </c>
      <c r="D24" s="128">
        <v>3684.7828822940569</v>
      </c>
      <c r="E24" s="123">
        <v>1132.6825505957147</v>
      </c>
      <c r="F24" s="127">
        <v>1750.0024599338208</v>
      </c>
      <c r="G24" s="128">
        <v>3435.7474539140062</v>
      </c>
      <c r="H24" s="123">
        <v>1043.1203541670993</v>
      </c>
      <c r="I24" s="127">
        <v>1503.8950459448499</v>
      </c>
      <c r="J24" s="128">
        <v>2616.0933330888424</v>
      </c>
      <c r="K24" s="123">
        <v>933.68520000000001</v>
      </c>
      <c r="L24" s="127">
        <v>1327.0824</v>
      </c>
      <c r="M24" s="128">
        <v>1977.1164000000001</v>
      </c>
      <c r="N24" s="123">
        <v>797.59020031581895</v>
      </c>
      <c r="O24" s="127">
        <v>1341.4700174952352</v>
      </c>
      <c r="P24" s="128">
        <v>1837.3394333156737</v>
      </c>
      <c r="Q24" s="123">
        <v>786.9</v>
      </c>
      <c r="R24" s="127">
        <v>974.78</v>
      </c>
      <c r="S24" s="128">
        <v>1374.94</v>
      </c>
      <c r="T24" s="123">
        <v>694.16635086215479</v>
      </c>
      <c r="U24" s="127">
        <v>859.95494937654291</v>
      </c>
      <c r="V24" s="128">
        <v>1253.6780645330273</v>
      </c>
      <c r="W24" s="123">
        <v>674.91890319258687</v>
      </c>
      <c r="X24" s="127">
        <v>836.1106102411851</v>
      </c>
      <c r="Y24" s="128">
        <v>1218.916795981743</v>
      </c>
      <c r="Z24" s="123">
        <v>657.76832531746095</v>
      </c>
      <c r="AA24" s="127">
        <v>862.37667597902669</v>
      </c>
      <c r="AB24" s="128">
        <v>1145.4872477239198</v>
      </c>
      <c r="AC24" s="123">
        <v>682.89635569171378</v>
      </c>
      <c r="AD24" s="127">
        <v>895.32114361904189</v>
      </c>
      <c r="AE24" s="128">
        <v>1189.2470902797832</v>
      </c>
    </row>
    <row r="25" spans="1:31" x14ac:dyDescent="0.3">
      <c r="A25" s="41">
        <v>2036</v>
      </c>
      <c r="B25" s="123">
        <v>1950.4502429352285</v>
      </c>
      <c r="C25" s="127">
        <v>1950.4502429352285</v>
      </c>
      <c r="D25" s="128">
        <v>3684.7828822940569</v>
      </c>
      <c r="E25" s="123">
        <v>1105.758226706095</v>
      </c>
      <c r="F25" s="127">
        <v>1731.8800211828179</v>
      </c>
      <c r="G25" s="128">
        <v>3435.7474539140062</v>
      </c>
      <c r="H25" s="123">
        <v>1019.9207849379959</v>
      </c>
      <c r="I25" s="127">
        <v>1486.2021630513811</v>
      </c>
      <c r="J25" s="128">
        <v>2616.0933330888424</v>
      </c>
      <c r="K25" s="123">
        <v>911.73599999999999</v>
      </c>
      <c r="L25" s="127">
        <v>1315.2636</v>
      </c>
      <c r="M25" s="128">
        <v>1977.1164000000001</v>
      </c>
      <c r="N25" s="123">
        <v>777.39314188223966</v>
      </c>
      <c r="O25" s="127">
        <v>1325.7250035290656</v>
      </c>
      <c r="P25" s="128">
        <v>1837.3394333156737</v>
      </c>
      <c r="Q25" s="123">
        <v>777.14</v>
      </c>
      <c r="R25" s="127">
        <v>966.24</v>
      </c>
      <c r="S25" s="128">
        <v>1350.54</v>
      </c>
      <c r="T25" s="123">
        <v>685.06944813636039</v>
      </c>
      <c r="U25" s="127">
        <v>851.93467705084834</v>
      </c>
      <c r="V25" s="128">
        <v>1230.1032809644933</v>
      </c>
      <c r="W25" s="123">
        <v>666.07423418418955</v>
      </c>
      <c r="X25" s="127">
        <v>828.31271944074444</v>
      </c>
      <c r="Y25" s="128">
        <v>1195.9956805325194</v>
      </c>
      <c r="Z25" s="123">
        <v>650.04165862345337</v>
      </c>
      <c r="AA25" s="127">
        <v>848.73611926825561</v>
      </c>
      <c r="AB25" s="128">
        <v>1126.6132096075939</v>
      </c>
      <c r="AC25" s="123">
        <v>674.87451529002556</v>
      </c>
      <c r="AD25" s="127">
        <v>881.15949109055327</v>
      </c>
      <c r="AE25" s="128">
        <v>1169.6520271690672</v>
      </c>
    </row>
    <row r="26" spans="1:31" x14ac:dyDescent="0.3">
      <c r="A26" s="41">
        <v>2037</v>
      </c>
      <c r="B26" s="123">
        <v>1950.4502429352285</v>
      </c>
      <c r="C26" s="127">
        <v>1950.4502429352285</v>
      </c>
      <c r="D26" s="128">
        <v>3684.7828822940569</v>
      </c>
      <c r="E26" s="123">
        <v>1078.8339028164753</v>
      </c>
      <c r="F26" s="127">
        <v>1713.7575824318151</v>
      </c>
      <c r="G26" s="128">
        <v>3435.7474539140062</v>
      </c>
      <c r="H26" s="123">
        <v>996.72121570889271</v>
      </c>
      <c r="I26" s="127">
        <v>1468.5092801579121</v>
      </c>
      <c r="J26" s="128">
        <v>2616.0933330888424</v>
      </c>
      <c r="K26" s="123">
        <v>889.78680000000008</v>
      </c>
      <c r="L26" s="127">
        <v>1301.7564000000002</v>
      </c>
      <c r="M26" s="128">
        <v>1977.1164000000001</v>
      </c>
      <c r="N26" s="123">
        <v>757.19608344866026</v>
      </c>
      <c r="O26" s="127">
        <v>1309.9799895628962</v>
      </c>
      <c r="P26" s="128">
        <v>1837.3394333156737</v>
      </c>
      <c r="Q26" s="123">
        <v>766.16</v>
      </c>
      <c r="R26" s="127">
        <v>956.48</v>
      </c>
      <c r="S26" s="128">
        <v>1327.36</v>
      </c>
      <c r="T26" s="123">
        <v>675.97254541056611</v>
      </c>
      <c r="U26" s="127">
        <v>843.91440472515399</v>
      </c>
      <c r="V26" s="128">
        <v>1206.528497395959</v>
      </c>
      <c r="W26" s="123">
        <v>657.22956517579235</v>
      </c>
      <c r="X26" s="127">
        <v>820.51482864030368</v>
      </c>
      <c r="Y26" s="128">
        <v>1173.0745650832957</v>
      </c>
      <c r="Z26" s="123">
        <v>642.31499192944568</v>
      </c>
      <c r="AA26" s="127">
        <v>835.09556255748453</v>
      </c>
      <c r="AB26" s="128">
        <v>1107.7391714912678</v>
      </c>
      <c r="AC26" s="123">
        <v>666.85267488833733</v>
      </c>
      <c r="AD26" s="127">
        <v>866.99783856206466</v>
      </c>
      <c r="AE26" s="128">
        <v>1150.0569640583512</v>
      </c>
    </row>
    <row r="27" spans="1:31" x14ac:dyDescent="0.3">
      <c r="A27" s="41">
        <v>2038</v>
      </c>
      <c r="B27" s="123">
        <v>1950.4502429352285</v>
      </c>
      <c r="C27" s="127">
        <v>1950.4502429352285</v>
      </c>
      <c r="D27" s="128">
        <v>3684.7828822940569</v>
      </c>
      <c r="E27" s="123">
        <v>1051.9095789268556</v>
      </c>
      <c r="F27" s="127">
        <v>1695.6351436808122</v>
      </c>
      <c r="G27" s="128">
        <v>3435.7474539140062</v>
      </c>
      <c r="H27" s="123">
        <v>973.52164647978952</v>
      </c>
      <c r="I27" s="127">
        <v>1450.8163972644436</v>
      </c>
      <c r="J27" s="128">
        <v>2616.0933330888424</v>
      </c>
      <c r="K27" s="123">
        <v>867.83760000000007</v>
      </c>
      <c r="L27" s="127">
        <v>1289.9376</v>
      </c>
      <c r="M27" s="128">
        <v>1977.1164000000001</v>
      </c>
      <c r="N27" s="123">
        <v>736.99902501508086</v>
      </c>
      <c r="O27" s="127">
        <v>1294.2349755967264</v>
      </c>
      <c r="P27" s="128">
        <v>1837.3394333156737</v>
      </c>
      <c r="Q27" s="123">
        <v>756.4</v>
      </c>
      <c r="R27" s="127">
        <v>947.93999999999994</v>
      </c>
      <c r="S27" s="128">
        <v>1304.18</v>
      </c>
      <c r="T27" s="123">
        <v>666.87564268477183</v>
      </c>
      <c r="U27" s="127">
        <v>835.89413239945964</v>
      </c>
      <c r="V27" s="128">
        <v>1182.9537138274247</v>
      </c>
      <c r="W27" s="123">
        <v>648.38489616739491</v>
      </c>
      <c r="X27" s="127">
        <v>812.71693783986291</v>
      </c>
      <c r="Y27" s="128">
        <v>1150.1534496340723</v>
      </c>
      <c r="Z27" s="123">
        <v>634.58832523543799</v>
      </c>
      <c r="AA27" s="127">
        <v>821.45500584671356</v>
      </c>
      <c r="AB27" s="128">
        <v>1088.8651333749415</v>
      </c>
      <c r="AC27" s="123">
        <v>658.83083448664922</v>
      </c>
      <c r="AD27" s="127">
        <v>852.83618603357615</v>
      </c>
      <c r="AE27" s="128">
        <v>1130.4619009476351</v>
      </c>
    </row>
    <row r="28" spans="1:31" x14ac:dyDescent="0.3">
      <c r="A28" s="41">
        <v>2039</v>
      </c>
      <c r="B28" s="123">
        <v>1950.4502429352285</v>
      </c>
      <c r="C28" s="127">
        <v>1950.4502429352285</v>
      </c>
      <c r="D28" s="128">
        <v>3684.7828822940569</v>
      </c>
      <c r="E28" s="123">
        <v>1024.9852550372359</v>
      </c>
      <c r="F28" s="127">
        <v>1677.5127049298094</v>
      </c>
      <c r="G28" s="128">
        <v>3435.7474539140062</v>
      </c>
      <c r="H28" s="123">
        <v>950.32207725068622</v>
      </c>
      <c r="I28" s="127">
        <v>1433.1235143709746</v>
      </c>
      <c r="J28" s="128">
        <v>2616.0933330888424</v>
      </c>
      <c r="K28" s="123">
        <v>845.88840000000005</v>
      </c>
      <c r="L28" s="127">
        <v>1278.1188000000002</v>
      </c>
      <c r="M28" s="128">
        <v>1977.1164000000001</v>
      </c>
      <c r="N28" s="123">
        <v>716.80196658150157</v>
      </c>
      <c r="O28" s="127">
        <v>1278.489961630557</v>
      </c>
      <c r="P28" s="128">
        <v>1837.3394333156737</v>
      </c>
      <c r="Q28" s="123">
        <v>745.42</v>
      </c>
      <c r="R28" s="127">
        <v>939.4</v>
      </c>
      <c r="S28" s="128">
        <v>1279.78</v>
      </c>
      <c r="T28" s="123">
        <v>657.77873995897744</v>
      </c>
      <c r="U28" s="127">
        <v>827.87386007376529</v>
      </c>
      <c r="V28" s="128">
        <v>1159.3789302588905</v>
      </c>
      <c r="W28" s="123">
        <v>639.5402271589976</v>
      </c>
      <c r="X28" s="127">
        <v>804.91904703942203</v>
      </c>
      <c r="Y28" s="128">
        <v>1127.2323341848487</v>
      </c>
      <c r="Z28" s="123">
        <v>626.86165854143053</v>
      </c>
      <c r="AA28" s="127">
        <v>807.81444913594248</v>
      </c>
      <c r="AB28" s="128">
        <v>1069.9910952586154</v>
      </c>
      <c r="AC28" s="123">
        <v>650.80899408496111</v>
      </c>
      <c r="AD28" s="127">
        <v>838.67453350508754</v>
      </c>
      <c r="AE28" s="128">
        <v>1110.8668378369191</v>
      </c>
    </row>
    <row r="29" spans="1:31" x14ac:dyDescent="0.3">
      <c r="A29" s="41">
        <v>2040</v>
      </c>
      <c r="B29" s="123">
        <v>1950.4502429352285</v>
      </c>
      <c r="C29" s="127">
        <v>1950.4502429352285</v>
      </c>
      <c r="D29" s="128">
        <v>3684.7828822940569</v>
      </c>
      <c r="E29" s="123">
        <v>998.06093114761632</v>
      </c>
      <c r="F29" s="127">
        <v>1659.3902661788068</v>
      </c>
      <c r="G29" s="128">
        <v>3435.7474539140062</v>
      </c>
      <c r="H29" s="123">
        <v>927.12250802158201</v>
      </c>
      <c r="I29" s="127">
        <v>1415.4306314775056</v>
      </c>
      <c r="J29" s="128">
        <v>2616.0933330888424</v>
      </c>
      <c r="K29" s="123">
        <v>823.93920000000003</v>
      </c>
      <c r="L29" s="127">
        <v>1266.3000000000002</v>
      </c>
      <c r="M29" s="128">
        <v>1977.1164000000001</v>
      </c>
      <c r="N29" s="123">
        <v>696.60490814792229</v>
      </c>
      <c r="O29" s="127">
        <v>1262.7449476643865</v>
      </c>
      <c r="P29" s="128">
        <v>1837.3394333156737</v>
      </c>
      <c r="Q29" s="123">
        <v>735.66</v>
      </c>
      <c r="R29" s="127">
        <v>929.64</v>
      </c>
      <c r="S29" s="128">
        <v>1256.5999999999999</v>
      </c>
      <c r="T29" s="123">
        <v>648.68183723318316</v>
      </c>
      <c r="U29" s="127">
        <v>819.85358774807082</v>
      </c>
      <c r="V29" s="128">
        <v>1135.8041466903564</v>
      </c>
      <c r="W29" s="123">
        <v>630.69555815060016</v>
      </c>
      <c r="X29" s="127">
        <v>797.12115623898126</v>
      </c>
      <c r="Y29" s="128">
        <v>1104.3112187356253</v>
      </c>
      <c r="Z29" s="123">
        <v>619.13499184742273</v>
      </c>
      <c r="AA29" s="127">
        <v>794.1738924251714</v>
      </c>
      <c r="AB29" s="128">
        <v>1051.117057142289</v>
      </c>
      <c r="AC29" s="123">
        <v>642.78715368327289</v>
      </c>
      <c r="AD29" s="127">
        <v>824.51288097659892</v>
      </c>
      <c r="AE29" s="128">
        <v>1091.2717747262031</v>
      </c>
    </row>
    <row r="30" spans="1:31" x14ac:dyDescent="0.3">
      <c r="A30" s="41">
        <v>2041</v>
      </c>
      <c r="B30" s="123">
        <v>1950.4502429352285</v>
      </c>
      <c r="C30" s="127">
        <v>1950.4502429352285</v>
      </c>
      <c r="D30" s="128">
        <v>3684.7828822940569</v>
      </c>
      <c r="E30" s="123">
        <v>974.8357167094307</v>
      </c>
      <c r="F30" s="127">
        <v>1644.0986172712537</v>
      </c>
      <c r="G30" s="128">
        <v>3435.7474539140062</v>
      </c>
      <c r="H30" s="123">
        <v>904.05694542407127</v>
      </c>
      <c r="I30" s="127">
        <v>1399.309959516346</v>
      </c>
      <c r="J30" s="128">
        <v>2616.0933330888424</v>
      </c>
      <c r="K30" s="123">
        <v>812.12040000000013</v>
      </c>
      <c r="L30" s="127">
        <v>1252.7927999999999</v>
      </c>
      <c r="M30" s="128">
        <v>1977.1164000000001</v>
      </c>
      <c r="N30" s="123">
        <v>684.35430182250991</v>
      </c>
      <c r="O30" s="127">
        <v>1249.0936509328797</v>
      </c>
      <c r="P30" s="128">
        <v>1837.3394333156737</v>
      </c>
      <c r="Q30" s="123">
        <v>724.68</v>
      </c>
      <c r="R30" s="127">
        <v>921.1</v>
      </c>
      <c r="S30" s="128">
        <v>1233.42</v>
      </c>
      <c r="T30" s="123">
        <v>639.58493450738888</v>
      </c>
      <c r="U30" s="127">
        <v>811.83331542237636</v>
      </c>
      <c r="V30" s="128">
        <v>1112.2293631218222</v>
      </c>
      <c r="W30" s="123">
        <v>621.85088914220296</v>
      </c>
      <c r="X30" s="127">
        <v>789.32326543854049</v>
      </c>
      <c r="Y30" s="128">
        <v>1081.3901032864017</v>
      </c>
      <c r="Z30" s="123">
        <v>611.40832515341526</v>
      </c>
      <c r="AA30" s="127">
        <v>780.53333571440044</v>
      </c>
      <c r="AB30" s="128">
        <v>1032.2430190259629</v>
      </c>
      <c r="AC30" s="123">
        <v>634.76531328158478</v>
      </c>
      <c r="AD30" s="127">
        <v>810.35122844811031</v>
      </c>
      <c r="AE30" s="128">
        <v>1071.6767116154872</v>
      </c>
    </row>
    <row r="31" spans="1:31" x14ac:dyDescent="0.3">
      <c r="A31" s="41">
        <v>2042</v>
      </c>
      <c r="B31" s="123">
        <v>1950.4502429352285</v>
      </c>
      <c r="C31" s="127">
        <v>1950.4502429352285</v>
      </c>
      <c r="D31" s="128">
        <v>3684.7828822940569</v>
      </c>
      <c r="E31" s="123">
        <v>951.6105022712452</v>
      </c>
      <c r="F31" s="127">
        <v>1628.8069683637004</v>
      </c>
      <c r="G31" s="128">
        <v>3435.7474539140062</v>
      </c>
      <c r="H31" s="123">
        <v>880.99138282656043</v>
      </c>
      <c r="I31" s="127">
        <v>1383.1892875551864</v>
      </c>
      <c r="J31" s="128">
        <v>2616.0933330888424</v>
      </c>
      <c r="K31" s="123">
        <v>791.85960000000011</v>
      </c>
      <c r="L31" s="127">
        <v>1239.2856000000002</v>
      </c>
      <c r="M31" s="128">
        <v>1977.1164000000001</v>
      </c>
      <c r="N31" s="123">
        <v>672.10369549709765</v>
      </c>
      <c r="O31" s="127">
        <v>1235.4423542013726</v>
      </c>
      <c r="P31" s="128">
        <v>1837.3394333156737</v>
      </c>
      <c r="Q31" s="123">
        <v>714.92</v>
      </c>
      <c r="R31" s="127">
        <v>911.34</v>
      </c>
      <c r="S31" s="128">
        <v>1209.02</v>
      </c>
      <c r="T31" s="123">
        <v>630.48803178159426</v>
      </c>
      <c r="U31" s="127">
        <v>803.81304309668201</v>
      </c>
      <c r="V31" s="128">
        <v>1088.6545795532879</v>
      </c>
      <c r="W31" s="123">
        <v>613.00622013380564</v>
      </c>
      <c r="X31" s="127">
        <v>781.52537463809972</v>
      </c>
      <c r="Y31" s="128">
        <v>1058.468987837178</v>
      </c>
      <c r="Z31" s="123">
        <v>603.68165845940757</v>
      </c>
      <c r="AA31" s="127">
        <v>766.89277900362936</v>
      </c>
      <c r="AB31" s="128">
        <v>1013.3689809096367</v>
      </c>
      <c r="AC31" s="123">
        <v>626.74347287989656</v>
      </c>
      <c r="AD31" s="127">
        <v>796.18957591962192</v>
      </c>
      <c r="AE31" s="128">
        <v>1052.0816485047712</v>
      </c>
    </row>
    <row r="32" spans="1:31" x14ac:dyDescent="0.3">
      <c r="A32" s="41">
        <v>2043</v>
      </c>
      <c r="B32" s="123">
        <v>1950.4502429352285</v>
      </c>
      <c r="C32" s="127">
        <v>1950.4502429352285</v>
      </c>
      <c r="D32" s="128">
        <v>3684.7828822940569</v>
      </c>
      <c r="E32" s="123">
        <v>928.38528783305958</v>
      </c>
      <c r="F32" s="127">
        <v>1613.5153194561476</v>
      </c>
      <c r="G32" s="128">
        <v>3435.7474539140062</v>
      </c>
      <c r="H32" s="123">
        <v>857.92582022904958</v>
      </c>
      <c r="I32" s="127">
        <v>1367.0686155940266</v>
      </c>
      <c r="J32" s="128">
        <v>2616.0933330888424</v>
      </c>
      <c r="K32" s="123">
        <v>768.22199999999998</v>
      </c>
      <c r="L32" s="127">
        <v>1225.7784000000001</v>
      </c>
      <c r="M32" s="128">
        <v>1977.1164000000001</v>
      </c>
      <c r="N32" s="123">
        <v>659.85308917168527</v>
      </c>
      <c r="O32" s="127">
        <v>1221.7910574698656</v>
      </c>
      <c r="P32" s="128">
        <v>1837.3394333156737</v>
      </c>
      <c r="Q32" s="123">
        <v>703.93999999999994</v>
      </c>
      <c r="R32" s="127">
        <v>902.8</v>
      </c>
      <c r="S32" s="128">
        <v>1185.8399999999999</v>
      </c>
      <c r="T32" s="123">
        <v>621.39112905579998</v>
      </c>
      <c r="U32" s="127">
        <v>795.79277077098754</v>
      </c>
      <c r="V32" s="128">
        <v>1065.0797959847539</v>
      </c>
      <c r="W32" s="123">
        <v>604.16155112540844</v>
      </c>
      <c r="X32" s="127">
        <v>773.72748383765895</v>
      </c>
      <c r="Y32" s="128">
        <v>1035.5478723879546</v>
      </c>
      <c r="Z32" s="123">
        <v>595.95499176539965</v>
      </c>
      <c r="AA32" s="127">
        <v>753.25222229285828</v>
      </c>
      <c r="AB32" s="128">
        <v>994.49494279331054</v>
      </c>
      <c r="AC32" s="123">
        <v>618.72163247820833</v>
      </c>
      <c r="AD32" s="127">
        <v>782.02792339113319</v>
      </c>
      <c r="AE32" s="128">
        <v>1032.4865853940551</v>
      </c>
    </row>
    <row r="33" spans="1:31" x14ac:dyDescent="0.3">
      <c r="A33" s="41">
        <v>2044</v>
      </c>
      <c r="B33" s="123">
        <v>1950.4502429352285</v>
      </c>
      <c r="C33" s="127">
        <v>1950.4502429352285</v>
      </c>
      <c r="D33" s="128">
        <v>3684.7828822940569</v>
      </c>
      <c r="E33" s="123">
        <v>905.16007339487408</v>
      </c>
      <c r="F33" s="127">
        <v>1598.2236705485941</v>
      </c>
      <c r="G33" s="128">
        <v>3435.7474539140062</v>
      </c>
      <c r="H33" s="123">
        <v>834.86025763153862</v>
      </c>
      <c r="I33" s="127">
        <v>1350.9479436328666</v>
      </c>
      <c r="J33" s="128">
        <v>2616.0933330888424</v>
      </c>
      <c r="K33" s="123">
        <v>742.89599999999996</v>
      </c>
      <c r="L33" s="127">
        <v>1212.2711999999999</v>
      </c>
      <c r="M33" s="128">
        <v>1977.1164000000001</v>
      </c>
      <c r="N33" s="123">
        <v>647.60248284627312</v>
      </c>
      <c r="O33" s="127">
        <v>1208.1397607383587</v>
      </c>
      <c r="P33" s="128">
        <v>1837.3394333156737</v>
      </c>
      <c r="Q33" s="123">
        <v>694.18</v>
      </c>
      <c r="R33" s="127">
        <v>893.04</v>
      </c>
      <c r="S33" s="128">
        <v>1161.44</v>
      </c>
      <c r="T33" s="123">
        <v>612.2942263300057</v>
      </c>
      <c r="U33" s="127">
        <v>787.77249844529331</v>
      </c>
      <c r="V33" s="128">
        <v>1041.5050124162199</v>
      </c>
      <c r="W33" s="123">
        <v>595.316882117011</v>
      </c>
      <c r="X33" s="127">
        <v>765.92959303721818</v>
      </c>
      <c r="Y33" s="128">
        <v>1012.626756938731</v>
      </c>
      <c r="Z33" s="123">
        <v>588.22832507139219</v>
      </c>
      <c r="AA33" s="127">
        <v>739.61166558208743</v>
      </c>
      <c r="AB33" s="128">
        <v>975.62090467698442</v>
      </c>
      <c r="AC33" s="123">
        <v>610.69979207652023</v>
      </c>
      <c r="AD33" s="127">
        <v>767.86627086264468</v>
      </c>
      <c r="AE33" s="128">
        <v>1012.891522283339</v>
      </c>
    </row>
    <row r="34" spans="1:31" x14ac:dyDescent="0.3">
      <c r="A34" s="41">
        <v>2045</v>
      </c>
      <c r="B34" s="123">
        <v>1950.4502429352285</v>
      </c>
      <c r="C34" s="127">
        <v>1950.4502429352285</v>
      </c>
      <c r="D34" s="128">
        <v>3684.7828822940569</v>
      </c>
      <c r="E34" s="123">
        <v>881.93485895668823</v>
      </c>
      <c r="F34" s="127">
        <v>1582.9320216410413</v>
      </c>
      <c r="G34" s="128">
        <v>3435.7474539140062</v>
      </c>
      <c r="H34" s="123">
        <v>811.79469503402765</v>
      </c>
      <c r="I34" s="127">
        <v>1334.827271671707</v>
      </c>
      <c r="J34" s="128">
        <v>2616.0933330888424</v>
      </c>
      <c r="K34" s="123">
        <v>742.89599999999996</v>
      </c>
      <c r="L34" s="127">
        <v>1198.7640000000001</v>
      </c>
      <c r="M34" s="128">
        <v>1977.1164000000001</v>
      </c>
      <c r="N34" s="123">
        <v>635.35187652086097</v>
      </c>
      <c r="O34" s="127">
        <v>1194.4884640068517</v>
      </c>
      <c r="P34" s="128">
        <v>1837.3394333156737</v>
      </c>
      <c r="Q34" s="123">
        <v>683.19999999999993</v>
      </c>
      <c r="R34" s="127">
        <v>884.5</v>
      </c>
      <c r="S34" s="128">
        <v>1138.26</v>
      </c>
      <c r="T34" s="123">
        <v>603.19732360421131</v>
      </c>
      <c r="U34" s="127">
        <v>779.75222611959884</v>
      </c>
      <c r="V34" s="128">
        <v>1017.9302288476857</v>
      </c>
      <c r="W34" s="123">
        <v>586.4722131086138</v>
      </c>
      <c r="X34" s="127">
        <v>758.13170223677741</v>
      </c>
      <c r="Y34" s="128">
        <v>989.70564148950746</v>
      </c>
      <c r="Z34" s="123">
        <v>580.50165837738439</v>
      </c>
      <c r="AA34" s="127">
        <v>725.97110887131623</v>
      </c>
      <c r="AB34" s="128">
        <v>956.74686656065808</v>
      </c>
      <c r="AC34" s="123">
        <v>602.67795167483212</v>
      </c>
      <c r="AD34" s="127">
        <v>753.70461833415618</v>
      </c>
      <c r="AE34" s="128">
        <v>993.29645917262303</v>
      </c>
    </row>
    <row r="35" spans="1:31" x14ac:dyDescent="0.3">
      <c r="A35" s="41">
        <v>2046</v>
      </c>
      <c r="B35" s="123">
        <v>1950.4502429352285</v>
      </c>
      <c r="C35" s="127">
        <v>1950.4502429352285</v>
      </c>
      <c r="D35" s="128">
        <v>3684.7828822940569</v>
      </c>
      <c r="E35" s="123">
        <v>858.70964451850261</v>
      </c>
      <c r="F35" s="127">
        <v>1567.6403727334882</v>
      </c>
      <c r="G35" s="128">
        <v>3435.7474539140062</v>
      </c>
      <c r="H35" s="123">
        <v>788.72913243651681</v>
      </c>
      <c r="I35" s="127">
        <v>1318.7065997105472</v>
      </c>
      <c r="J35" s="128">
        <v>2616.0933330888424</v>
      </c>
      <c r="K35" s="123">
        <v>697.30920000000003</v>
      </c>
      <c r="L35" s="127">
        <v>1183.5684000000001</v>
      </c>
      <c r="M35" s="128">
        <v>1977.1164000000001</v>
      </c>
      <c r="N35" s="123">
        <v>625.62279259969318</v>
      </c>
      <c r="O35" s="127">
        <v>1180.8371672753447</v>
      </c>
      <c r="P35" s="128">
        <v>1837.3394333156737</v>
      </c>
      <c r="Q35" s="123">
        <v>673.43999999999994</v>
      </c>
      <c r="R35" s="127">
        <v>875.96</v>
      </c>
      <c r="S35" s="128">
        <v>1115.08</v>
      </c>
      <c r="T35" s="123">
        <v>594.10042087841703</v>
      </c>
      <c r="U35" s="127">
        <v>771.73195379390438</v>
      </c>
      <c r="V35" s="128">
        <v>994.35544527915147</v>
      </c>
      <c r="W35" s="123">
        <v>577.62754410021648</v>
      </c>
      <c r="X35" s="127">
        <v>750.33381143633665</v>
      </c>
      <c r="Y35" s="128">
        <v>966.78452604028382</v>
      </c>
      <c r="Z35" s="123">
        <v>572.77499168337692</v>
      </c>
      <c r="AA35" s="127">
        <v>712.33055216054527</v>
      </c>
      <c r="AB35" s="128">
        <v>937.87282844433184</v>
      </c>
      <c r="AC35" s="123">
        <v>594.65611127314389</v>
      </c>
      <c r="AD35" s="127">
        <v>739.54296580566745</v>
      </c>
      <c r="AE35" s="128">
        <v>973.70139606190708</v>
      </c>
    </row>
    <row r="36" spans="1:31" x14ac:dyDescent="0.3">
      <c r="A36" s="41">
        <v>2047</v>
      </c>
      <c r="B36" s="123">
        <v>1950.4502429352285</v>
      </c>
      <c r="C36" s="127">
        <v>1950.4502429352285</v>
      </c>
      <c r="D36" s="128">
        <v>3684.7828822940569</v>
      </c>
      <c r="E36" s="123">
        <v>835.48443008031711</v>
      </c>
      <c r="F36" s="127">
        <v>1552.3487238259347</v>
      </c>
      <c r="G36" s="128">
        <v>3435.7474539140062</v>
      </c>
      <c r="H36" s="123">
        <v>765.66356983900573</v>
      </c>
      <c r="I36" s="127">
        <v>1302.5859277493873</v>
      </c>
      <c r="J36" s="128">
        <v>2616.0933330888424</v>
      </c>
      <c r="K36" s="123">
        <v>677.04840000000002</v>
      </c>
      <c r="L36" s="127">
        <v>1170.0612000000001</v>
      </c>
      <c r="M36" s="128">
        <v>1977.1164000000001</v>
      </c>
      <c r="N36" s="123">
        <v>615.89370867852529</v>
      </c>
      <c r="O36" s="127">
        <v>1167.1858705438376</v>
      </c>
      <c r="P36" s="128">
        <v>1837.3394333156737</v>
      </c>
      <c r="Q36" s="123">
        <v>662.46</v>
      </c>
      <c r="R36" s="127">
        <v>866.19999999999993</v>
      </c>
      <c r="S36" s="128">
        <v>1090.68</v>
      </c>
      <c r="T36" s="123">
        <v>585.00351815262275</v>
      </c>
      <c r="U36" s="127">
        <v>763.71168146820992</v>
      </c>
      <c r="V36" s="128">
        <v>970.78066171061732</v>
      </c>
      <c r="W36" s="123">
        <v>568.78287509181928</v>
      </c>
      <c r="X36" s="127">
        <v>742.53592063589576</v>
      </c>
      <c r="Y36" s="128">
        <v>943.8634105910603</v>
      </c>
      <c r="Z36" s="123">
        <v>565.04832498936923</v>
      </c>
      <c r="AA36" s="127">
        <v>698.68999544977419</v>
      </c>
      <c r="AB36" s="128">
        <v>918.99879032800584</v>
      </c>
      <c r="AC36" s="123">
        <v>586.63427087145567</v>
      </c>
      <c r="AD36" s="127">
        <v>725.38131327717895</v>
      </c>
      <c r="AE36" s="128">
        <v>954.10633295119101</v>
      </c>
    </row>
    <row r="37" spans="1:31" x14ac:dyDescent="0.3">
      <c r="A37" s="41">
        <v>2048</v>
      </c>
      <c r="B37" s="123">
        <v>1950.4502429352285</v>
      </c>
      <c r="C37" s="127">
        <v>1950.4502429352285</v>
      </c>
      <c r="D37" s="128">
        <v>3684.7828822940569</v>
      </c>
      <c r="E37" s="123">
        <v>812.25921564213161</v>
      </c>
      <c r="F37" s="127">
        <v>1537.0570749183819</v>
      </c>
      <c r="G37" s="128">
        <v>3435.7474539140062</v>
      </c>
      <c r="H37" s="123">
        <v>742.598007241495</v>
      </c>
      <c r="I37" s="127">
        <v>1286.4652557882275</v>
      </c>
      <c r="J37" s="128">
        <v>2616.0933330888424</v>
      </c>
      <c r="K37" s="123">
        <v>656.7876</v>
      </c>
      <c r="L37" s="127">
        <v>1156.5540000000001</v>
      </c>
      <c r="M37" s="128">
        <v>1977.1164000000001</v>
      </c>
      <c r="N37" s="123">
        <v>606.16462475735739</v>
      </c>
      <c r="O37" s="127">
        <v>1153.5345738123308</v>
      </c>
      <c r="P37" s="128">
        <v>1837.3394333156737</v>
      </c>
      <c r="Q37" s="123">
        <v>652.69999999999993</v>
      </c>
      <c r="R37" s="127">
        <v>857.66</v>
      </c>
      <c r="S37" s="128">
        <v>1067.5</v>
      </c>
      <c r="T37" s="123">
        <v>575.90661542682847</v>
      </c>
      <c r="U37" s="127">
        <v>755.69140914251557</v>
      </c>
      <c r="V37" s="128">
        <v>947.20587814208307</v>
      </c>
      <c r="W37" s="123">
        <v>559.93820608342196</v>
      </c>
      <c r="X37" s="127">
        <v>734.738029835455</v>
      </c>
      <c r="Y37" s="128">
        <v>920.94229514183689</v>
      </c>
      <c r="Z37" s="123">
        <v>557.32165829536154</v>
      </c>
      <c r="AA37" s="127">
        <v>685.04943873900311</v>
      </c>
      <c r="AB37" s="128">
        <v>900.12475221167949</v>
      </c>
      <c r="AC37" s="123">
        <v>578.61243046976756</v>
      </c>
      <c r="AD37" s="127">
        <v>711.21966074869022</v>
      </c>
      <c r="AE37" s="128">
        <v>934.51126984047494</v>
      </c>
    </row>
    <row r="38" spans="1:31" x14ac:dyDescent="0.3">
      <c r="A38" s="41">
        <v>2049</v>
      </c>
      <c r="B38" s="123">
        <v>1950.4502429352285</v>
      </c>
      <c r="C38" s="127">
        <v>1950.4502429352285</v>
      </c>
      <c r="D38" s="128">
        <v>3684.7828822940569</v>
      </c>
      <c r="E38" s="123">
        <v>789.0340012039461</v>
      </c>
      <c r="F38" s="127">
        <v>1521.7654260108286</v>
      </c>
      <c r="G38" s="128">
        <v>3435.7474539140062</v>
      </c>
      <c r="H38" s="123">
        <v>719.53244464398415</v>
      </c>
      <c r="I38" s="127">
        <v>1270.3445838270679</v>
      </c>
      <c r="J38" s="128">
        <v>2616.0933330888424</v>
      </c>
      <c r="K38" s="123">
        <v>634.83839999999998</v>
      </c>
      <c r="L38" s="127">
        <v>1143.0468000000001</v>
      </c>
      <c r="M38" s="128">
        <v>1977.1164000000001</v>
      </c>
      <c r="N38" s="123">
        <v>596.43554083618938</v>
      </c>
      <c r="O38" s="127">
        <v>1139.8832770808237</v>
      </c>
      <c r="P38" s="128">
        <v>1837.3394333156737</v>
      </c>
      <c r="Q38" s="123">
        <v>641.72</v>
      </c>
      <c r="R38" s="127">
        <v>847.9</v>
      </c>
      <c r="S38" s="128">
        <v>1044.32</v>
      </c>
      <c r="T38" s="123">
        <v>566.80971270103419</v>
      </c>
      <c r="U38" s="127">
        <v>747.67113681682122</v>
      </c>
      <c r="V38" s="128">
        <v>923.63109457354892</v>
      </c>
      <c r="W38" s="123">
        <v>551.09353707502476</v>
      </c>
      <c r="X38" s="127">
        <v>726.94013903501423</v>
      </c>
      <c r="Y38" s="128">
        <v>898.02117969261337</v>
      </c>
      <c r="Z38" s="123">
        <v>549.59499160135397</v>
      </c>
      <c r="AA38" s="127">
        <v>671.40888202823226</v>
      </c>
      <c r="AB38" s="128">
        <v>881.25071409535337</v>
      </c>
      <c r="AC38" s="123">
        <v>570.59059006807934</v>
      </c>
      <c r="AD38" s="127">
        <v>697.05800822020171</v>
      </c>
      <c r="AE38" s="128">
        <v>914.91620672975898</v>
      </c>
    </row>
    <row r="39" spans="1:31" ht="15" thickBot="1" x14ac:dyDescent="0.35">
      <c r="A39" s="42">
        <v>2050</v>
      </c>
      <c r="B39" s="124">
        <v>1950.4502429352285</v>
      </c>
      <c r="C39" s="129">
        <v>1950.4502429352285</v>
      </c>
      <c r="D39" s="130">
        <v>3684.7828822940569</v>
      </c>
      <c r="E39" s="124">
        <v>765.80878676576026</v>
      </c>
      <c r="F39" s="129">
        <v>1506.4737771032758</v>
      </c>
      <c r="G39" s="130">
        <v>3435.7474539140062</v>
      </c>
      <c r="H39" s="124">
        <v>696.46688204647307</v>
      </c>
      <c r="I39" s="129">
        <v>1254.2239118659074</v>
      </c>
      <c r="J39" s="130">
        <v>2616.0933330888424</v>
      </c>
      <c r="K39" s="124">
        <v>628.08480000000009</v>
      </c>
      <c r="L39" s="129">
        <v>1129.5396000000001</v>
      </c>
      <c r="M39" s="130">
        <v>1977.1164000000001</v>
      </c>
      <c r="N39" s="124">
        <v>586.70645691502159</v>
      </c>
      <c r="O39" s="129">
        <v>1126.2319803493176</v>
      </c>
      <c r="P39" s="130">
        <v>1837.3394333156737</v>
      </c>
      <c r="Q39" s="124">
        <v>631.96</v>
      </c>
      <c r="R39" s="129">
        <v>839.36</v>
      </c>
      <c r="S39" s="130">
        <v>1019.92</v>
      </c>
      <c r="T39" s="124">
        <v>557.71280997524093</v>
      </c>
      <c r="U39" s="129">
        <v>739.65086449112641</v>
      </c>
      <c r="V39" s="130">
        <v>900.05631100501489</v>
      </c>
      <c r="W39" s="124">
        <v>542.24886806662823</v>
      </c>
      <c r="X39" s="129">
        <v>719.14224823457357</v>
      </c>
      <c r="Y39" s="130">
        <v>875.10006424338906</v>
      </c>
      <c r="Z39" s="124">
        <v>541.86832490734571</v>
      </c>
      <c r="AA39" s="129">
        <v>657.76832531746095</v>
      </c>
      <c r="AB39" s="130">
        <v>862.37667597902669</v>
      </c>
      <c r="AC39" s="124">
        <v>562.568749666391</v>
      </c>
      <c r="AD39" s="129">
        <v>682.89635569171378</v>
      </c>
      <c r="AE39" s="130">
        <v>895.32114361904189</v>
      </c>
    </row>
    <row r="40" spans="1:31" ht="18" x14ac:dyDescent="0.3">
      <c r="A40" s="230" t="s">
        <v>410</v>
      </c>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row>
    <row r="41" spans="1:31" ht="15" thickBot="1" x14ac:dyDescent="0.35">
      <c r="A41" s="121"/>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row>
    <row r="42" spans="1:31" ht="21.6" customHeight="1" thickBot="1" x14ac:dyDescent="0.4">
      <c r="A42" s="289" t="s">
        <v>0</v>
      </c>
      <c r="B42" s="353" t="s">
        <v>411</v>
      </c>
      <c r="C42" s="354"/>
      <c r="D42" s="354"/>
      <c r="E42" s="354"/>
      <c r="F42" s="354"/>
      <c r="G42" s="354"/>
      <c r="H42" s="354"/>
      <c r="I42" s="354"/>
      <c r="J42" s="354"/>
      <c r="K42" s="354"/>
      <c r="L42" s="354"/>
      <c r="M42" s="354"/>
      <c r="N42" s="354"/>
      <c r="O42" s="354"/>
      <c r="P42" s="354"/>
      <c r="Q42" s="354"/>
      <c r="R42" s="354"/>
      <c r="S42" s="354"/>
      <c r="T42" s="354"/>
      <c r="U42" s="354"/>
      <c r="V42" s="354"/>
      <c r="W42" s="354"/>
      <c r="X42" s="354"/>
      <c r="Y42" s="354"/>
      <c r="Z42" s="354"/>
      <c r="AA42" s="354"/>
      <c r="AB42" s="354"/>
      <c r="AC42" s="354"/>
      <c r="AD42" s="354"/>
      <c r="AE42" s="355"/>
    </row>
    <row r="43" spans="1:31" ht="18.600000000000001" customHeight="1" thickBot="1" x14ac:dyDescent="0.35">
      <c r="A43" s="344"/>
      <c r="B43" s="338" t="s">
        <v>412</v>
      </c>
      <c r="C43" s="339"/>
      <c r="D43" s="340"/>
      <c r="E43" s="338" t="s">
        <v>413</v>
      </c>
      <c r="F43" s="339"/>
      <c r="G43" s="340"/>
      <c r="H43" s="338" t="s">
        <v>414</v>
      </c>
      <c r="I43" s="339"/>
      <c r="J43" s="340"/>
      <c r="K43" s="338" t="s">
        <v>415</v>
      </c>
      <c r="L43" s="339"/>
      <c r="M43" s="340"/>
      <c r="N43" s="338" t="s">
        <v>416</v>
      </c>
      <c r="O43" s="339"/>
      <c r="P43" s="340"/>
      <c r="Q43" s="338" t="s">
        <v>406</v>
      </c>
      <c r="R43" s="339"/>
      <c r="S43" s="340"/>
      <c r="T43" s="338" t="s">
        <v>407</v>
      </c>
      <c r="U43" s="339"/>
      <c r="V43" s="340"/>
      <c r="W43" s="338" t="s">
        <v>408</v>
      </c>
      <c r="X43" s="339"/>
      <c r="Y43" s="340"/>
      <c r="Z43" s="338" t="s">
        <v>312</v>
      </c>
      <c r="AA43" s="339"/>
      <c r="AB43" s="340"/>
      <c r="AC43" s="338" t="s">
        <v>409</v>
      </c>
      <c r="AD43" s="339"/>
      <c r="AE43" s="340"/>
    </row>
    <row r="44" spans="1:31" ht="15" customHeight="1" thickBot="1" x14ac:dyDescent="0.35">
      <c r="A44" s="290"/>
      <c r="B44" s="78" t="s">
        <v>69</v>
      </c>
      <c r="C44" s="79" t="s">
        <v>70</v>
      </c>
      <c r="D44" s="80" t="s">
        <v>71</v>
      </c>
      <c r="E44" s="78" t="s">
        <v>69</v>
      </c>
      <c r="F44" s="79" t="s">
        <v>70</v>
      </c>
      <c r="G44" s="80" t="s">
        <v>71</v>
      </c>
      <c r="H44" s="78" t="s">
        <v>69</v>
      </c>
      <c r="I44" s="79" t="s">
        <v>70</v>
      </c>
      <c r="J44" s="80" t="s">
        <v>71</v>
      </c>
      <c r="K44" s="78" t="s">
        <v>69</v>
      </c>
      <c r="L44" s="79" t="s">
        <v>70</v>
      </c>
      <c r="M44" s="80" t="s">
        <v>71</v>
      </c>
      <c r="N44" s="78" t="s">
        <v>69</v>
      </c>
      <c r="O44" s="79" t="s">
        <v>70</v>
      </c>
      <c r="P44" s="80" t="s">
        <v>71</v>
      </c>
      <c r="Q44" s="78" t="s">
        <v>69</v>
      </c>
      <c r="R44" s="79" t="s">
        <v>70</v>
      </c>
      <c r="S44" s="80" t="s">
        <v>71</v>
      </c>
      <c r="T44" s="78" t="s">
        <v>69</v>
      </c>
      <c r="U44" s="79" t="s">
        <v>70</v>
      </c>
      <c r="V44" s="80" t="s">
        <v>71</v>
      </c>
      <c r="W44" s="78" t="s">
        <v>69</v>
      </c>
      <c r="X44" s="79" t="s">
        <v>70</v>
      </c>
      <c r="Y44" s="80" t="s">
        <v>71</v>
      </c>
      <c r="Z44" s="78" t="s">
        <v>69</v>
      </c>
      <c r="AA44" s="79" t="s">
        <v>70</v>
      </c>
      <c r="AB44" s="80" t="s">
        <v>71</v>
      </c>
      <c r="AC44" s="78" t="s">
        <v>69</v>
      </c>
      <c r="AD44" s="79" t="s">
        <v>70</v>
      </c>
      <c r="AE44" s="80" t="s">
        <v>71</v>
      </c>
    </row>
    <row r="45" spans="1:31" x14ac:dyDescent="0.3">
      <c r="A45" s="41">
        <v>2015</v>
      </c>
      <c r="B45" s="122">
        <v>112.3193803061987</v>
      </c>
      <c r="C45" s="125">
        <v>171.47790296583534</v>
      </c>
      <c r="D45" s="126">
        <v>242.29482813297142</v>
      </c>
      <c r="E45" s="122">
        <v>106.71984727353811</v>
      </c>
      <c r="F45" s="125">
        <v>156.78554334191546</v>
      </c>
      <c r="G45" s="126">
        <v>214.51601548641082</v>
      </c>
      <c r="H45" s="122">
        <v>85.630656405854339</v>
      </c>
      <c r="I45" s="125">
        <v>125.59162939525304</v>
      </c>
      <c r="J45" s="126">
        <v>171.26131281170868</v>
      </c>
      <c r="K45" s="15"/>
      <c r="L45" s="16"/>
      <c r="M45" s="18"/>
      <c r="N45" s="15"/>
      <c r="O45" s="16"/>
      <c r="P45" s="18"/>
      <c r="Q45" s="15"/>
      <c r="R45" s="16"/>
      <c r="S45" s="18"/>
      <c r="T45" s="15"/>
      <c r="U45" s="16"/>
      <c r="V45" s="18"/>
      <c r="W45" s="15"/>
      <c r="X45" s="16"/>
      <c r="Y45" s="18"/>
      <c r="Z45" s="15"/>
      <c r="AA45" s="16"/>
      <c r="AB45" s="18"/>
      <c r="AC45" s="15"/>
      <c r="AD45" s="16"/>
      <c r="AE45" s="18"/>
    </row>
    <row r="46" spans="1:31" x14ac:dyDescent="0.3">
      <c r="A46" s="41">
        <v>2016</v>
      </c>
      <c r="B46" s="123">
        <v>102.95318607624438</v>
      </c>
      <c r="C46" s="127">
        <v>164.48362994531288</v>
      </c>
      <c r="D46" s="128">
        <v>241.21850719363678</v>
      </c>
      <c r="E46" s="123">
        <v>98.022915133514402</v>
      </c>
      <c r="F46" s="127">
        <v>149.88573106032356</v>
      </c>
      <c r="G46" s="128">
        <v>214.51601548641082</v>
      </c>
      <c r="H46" s="123">
        <v>65.764745356746488</v>
      </c>
      <c r="I46" s="127">
        <v>96.693623308660804</v>
      </c>
      <c r="J46" s="128">
        <v>132.1803910374002</v>
      </c>
      <c r="K46" s="123">
        <v>56.551654369044087</v>
      </c>
      <c r="L46" s="127">
        <v>77.510175819910131</v>
      </c>
      <c r="M46" s="128">
        <v>100.65881703785979</v>
      </c>
      <c r="N46" s="17"/>
      <c r="O46" s="20"/>
      <c r="P46" s="19"/>
      <c r="Q46" s="17"/>
      <c r="R46" s="20"/>
      <c r="S46" s="19"/>
      <c r="T46" s="17"/>
      <c r="U46" s="20"/>
      <c r="V46" s="19"/>
      <c r="W46" s="17"/>
      <c r="X46" s="20"/>
      <c r="Y46" s="19"/>
      <c r="Z46" s="17"/>
      <c r="AA46" s="20"/>
      <c r="AB46" s="19"/>
      <c r="AC46" s="17"/>
      <c r="AD46" s="20"/>
      <c r="AE46" s="19"/>
    </row>
    <row r="47" spans="1:31" x14ac:dyDescent="0.3">
      <c r="A47" s="41">
        <v>2017</v>
      </c>
      <c r="B47" s="123">
        <v>93.048831376622715</v>
      </c>
      <c r="C47" s="127">
        <v>156.70005490261167</v>
      </c>
      <c r="D47" s="128">
        <v>239.06586531496751</v>
      </c>
      <c r="E47" s="123">
        <v>88.787822523823365</v>
      </c>
      <c r="F47" s="127">
        <v>142.72281810467214</v>
      </c>
      <c r="G47" s="128">
        <v>214.51601548641082</v>
      </c>
      <c r="H47" s="123">
        <v>52.722005757502757</v>
      </c>
      <c r="I47" s="127">
        <v>84.62904255102751</v>
      </c>
      <c r="J47" s="128">
        <v>132.1803910374002</v>
      </c>
      <c r="K47" s="123">
        <v>38.300647458933554</v>
      </c>
      <c r="L47" s="127">
        <v>52.66286361459801</v>
      </c>
      <c r="M47" s="128">
        <v>68.611275662534268</v>
      </c>
      <c r="N47" s="123">
        <v>40.629245704713014</v>
      </c>
      <c r="O47" s="127">
        <v>55.686787825016651</v>
      </c>
      <c r="P47" s="128">
        <v>72.31781024633689</v>
      </c>
      <c r="Q47" s="17"/>
      <c r="R47" s="20"/>
      <c r="S47" s="19"/>
      <c r="T47" s="17"/>
      <c r="U47" s="20"/>
      <c r="V47" s="19"/>
      <c r="W47" s="17"/>
      <c r="X47" s="20"/>
      <c r="Y47" s="19"/>
      <c r="Z47" s="17"/>
      <c r="AA47" s="20"/>
      <c r="AB47" s="19"/>
      <c r="AC47" s="17"/>
      <c r="AD47" s="20"/>
      <c r="AE47" s="19"/>
    </row>
    <row r="48" spans="1:31" x14ac:dyDescent="0.3">
      <c r="A48" s="41">
        <v>2018</v>
      </c>
      <c r="B48" s="123">
        <v>83.144476677001066</v>
      </c>
      <c r="C48" s="127">
        <v>148.91647985991048</v>
      </c>
      <c r="D48" s="128">
        <v>236.91322343629824</v>
      </c>
      <c r="E48" s="123">
        <v>79.552729914132328</v>
      </c>
      <c r="F48" s="127">
        <v>135.55990514902066</v>
      </c>
      <c r="G48" s="128">
        <v>214.51601548641082</v>
      </c>
      <c r="H48" s="123">
        <v>47.193842603355499</v>
      </c>
      <c r="I48" s="127">
        <v>80.490466998422761</v>
      </c>
      <c r="J48" s="128">
        <v>132.1803910374002</v>
      </c>
      <c r="K48" s="123">
        <v>29.961688363325344</v>
      </c>
      <c r="L48" s="127">
        <v>45.588911329967495</v>
      </c>
      <c r="M48" s="128">
        <v>63.636852893963237</v>
      </c>
      <c r="N48" s="123">
        <v>37.282815603304158</v>
      </c>
      <c r="O48" s="127">
        <v>51.273548636254041</v>
      </c>
      <c r="P48" s="128">
        <v>66.808545079428171</v>
      </c>
      <c r="Q48" s="123">
        <v>35.2864867725335</v>
      </c>
      <c r="R48" s="127">
        <v>45.179575441688584</v>
      </c>
      <c r="S48" s="128">
        <v>56.881863267967908</v>
      </c>
      <c r="T48" s="17"/>
      <c r="U48" s="20"/>
      <c r="V48" s="19"/>
      <c r="W48" s="17"/>
      <c r="X48" s="20"/>
      <c r="Y48" s="19"/>
      <c r="Z48" s="17"/>
      <c r="AA48" s="20"/>
      <c r="AB48" s="19"/>
      <c r="AC48" s="17"/>
      <c r="AD48" s="20"/>
      <c r="AE48" s="19"/>
    </row>
    <row r="49" spans="1:31" x14ac:dyDescent="0.3">
      <c r="A49" s="41">
        <v>2019</v>
      </c>
      <c r="B49" s="123">
        <v>73.240121977379403</v>
      </c>
      <c r="C49" s="127">
        <v>141.13290481720932</v>
      </c>
      <c r="D49" s="128">
        <v>234.76058155762897</v>
      </c>
      <c r="E49" s="123">
        <v>70.317637304441305</v>
      </c>
      <c r="F49" s="127">
        <v>128.39699219336921</v>
      </c>
      <c r="G49" s="128">
        <v>214.51601548641082</v>
      </c>
      <c r="H49" s="123">
        <v>43.062447228098826</v>
      </c>
      <c r="I49" s="127">
        <v>77.616054347508808</v>
      </c>
      <c r="J49" s="128">
        <v>132.1803910374002</v>
      </c>
      <c r="K49" s="123">
        <v>28.257799232482846</v>
      </c>
      <c r="L49" s="127">
        <v>44.290232972830509</v>
      </c>
      <c r="M49" s="128">
        <v>64.134295170820351</v>
      </c>
      <c r="N49" s="123">
        <v>31.669423842338603</v>
      </c>
      <c r="O49" s="127">
        <v>48.209389427486386</v>
      </c>
      <c r="P49" s="128">
        <v>66.808545079428171</v>
      </c>
      <c r="Q49" s="123">
        <v>30.522872827991915</v>
      </c>
      <c r="R49" s="127">
        <v>39.226962928400347</v>
      </c>
      <c r="S49" s="128">
        <v>49.709714178671092</v>
      </c>
      <c r="T49" s="123">
        <v>36.328167930750759</v>
      </c>
      <c r="U49" s="127">
        <v>45.643841577986265</v>
      </c>
      <c r="V49" s="128">
        <v>58.268152565311283</v>
      </c>
      <c r="W49" s="17"/>
      <c r="X49" s="20"/>
      <c r="Y49" s="19"/>
      <c r="Z49" s="17"/>
      <c r="AA49" s="20"/>
      <c r="AB49" s="19"/>
      <c r="AC49" s="17"/>
      <c r="AD49" s="20"/>
      <c r="AE49" s="19"/>
    </row>
    <row r="50" spans="1:31" x14ac:dyDescent="0.3">
      <c r="A50" s="41">
        <v>2020</v>
      </c>
      <c r="B50" s="123">
        <v>63.873927747425085</v>
      </c>
      <c r="C50" s="127">
        <v>134.13863179668689</v>
      </c>
      <c r="D50" s="128">
        <v>233.68426061829433</v>
      </c>
      <c r="E50" s="123">
        <v>61.620705164417572</v>
      </c>
      <c r="F50" s="127">
        <v>121.49717991177731</v>
      </c>
      <c r="G50" s="128">
        <v>214.51601548641082</v>
      </c>
      <c r="H50" s="123">
        <v>40.964831058683856</v>
      </c>
      <c r="I50" s="127">
        <v>75.345522009996373</v>
      </c>
      <c r="J50" s="128">
        <v>132.1803910374002</v>
      </c>
      <c r="K50" s="123">
        <v>26.66002871401156</v>
      </c>
      <c r="L50" s="127">
        <v>42.972052989461801</v>
      </c>
      <c r="M50" s="128">
        <v>65.626622001391638</v>
      </c>
      <c r="N50" s="123">
        <v>29.513228562254053</v>
      </c>
      <c r="O50" s="127">
        <v>46.858578367841289</v>
      </c>
      <c r="P50" s="128">
        <v>66.808545079428171</v>
      </c>
      <c r="Q50" s="123">
        <v>28.95104392910444</v>
      </c>
      <c r="R50" s="127">
        <v>37.930170292656719</v>
      </c>
      <c r="S50" s="128">
        <v>49.361137779308464</v>
      </c>
      <c r="T50" s="123">
        <v>35.620575438009581</v>
      </c>
      <c r="U50" s="127">
        <v>45.134488236468663</v>
      </c>
      <c r="V50" s="128">
        <v>58.170833492119996</v>
      </c>
      <c r="W50" s="123">
        <v>27.461579841382004</v>
      </c>
      <c r="X50" s="127">
        <v>34.79630345845306</v>
      </c>
      <c r="Y50" s="128">
        <v>44.846636213489958</v>
      </c>
      <c r="Z50" s="17"/>
      <c r="AA50" s="20"/>
      <c r="AB50" s="19"/>
      <c r="AC50" s="17"/>
      <c r="AD50" s="20"/>
      <c r="AE50" s="19"/>
    </row>
    <row r="51" spans="1:31" x14ac:dyDescent="0.3">
      <c r="A51" s="41">
        <v>2021</v>
      </c>
      <c r="B51" s="123">
        <v>63.873927747425085</v>
      </c>
      <c r="C51" s="127">
        <v>132.68250125632471</v>
      </c>
      <c r="D51" s="128">
        <v>233.68426061829433</v>
      </c>
      <c r="E51" s="123">
        <v>58.816994725597695</v>
      </c>
      <c r="F51" s="127">
        <v>118.21358398368191</v>
      </c>
      <c r="G51" s="128">
        <v>214.51601548641082</v>
      </c>
      <c r="H51" s="123">
        <v>40.026608833454191</v>
      </c>
      <c r="I51" s="127">
        <v>74.56834190108421</v>
      </c>
      <c r="J51" s="128">
        <v>132.1803910374002</v>
      </c>
      <c r="K51" s="123">
        <v>25.31413322789847</v>
      </c>
      <c r="L51" s="127">
        <v>41.810258507682796</v>
      </c>
      <c r="M51" s="128">
        <v>66.621506555105853</v>
      </c>
      <c r="N51" s="123">
        <v>28.217001779133483</v>
      </c>
      <c r="O51" s="127">
        <v>45.907619994186881</v>
      </c>
      <c r="P51" s="128">
        <v>66.808545079428171</v>
      </c>
      <c r="Q51" s="123">
        <v>27.266706853387973</v>
      </c>
      <c r="R51" s="127">
        <v>36.471469456769285</v>
      </c>
      <c r="S51" s="128">
        <v>48.773396373680093</v>
      </c>
      <c r="T51" s="123">
        <v>33.276398173055981</v>
      </c>
      <c r="U51" s="127">
        <v>43.203783804304287</v>
      </c>
      <c r="V51" s="128">
        <v>57.40389843310431</v>
      </c>
      <c r="W51" s="123">
        <v>23.901674983115015</v>
      </c>
      <c r="X51" s="127">
        <v>30.538813836725975</v>
      </c>
      <c r="Y51" s="128">
        <v>39.72931642964916</v>
      </c>
      <c r="Z51" s="123">
        <v>36.366068401432777</v>
      </c>
      <c r="AA51" s="127">
        <v>45.451835914262432</v>
      </c>
      <c r="AB51" s="128">
        <v>57.849858782084695</v>
      </c>
      <c r="AC51" s="17"/>
      <c r="AD51" s="20"/>
      <c r="AE51" s="19"/>
    </row>
    <row r="52" spans="1:31" x14ac:dyDescent="0.3">
      <c r="A52" s="41">
        <v>2022</v>
      </c>
      <c r="B52" s="123">
        <v>63.873927747425085</v>
      </c>
      <c r="C52" s="127">
        <v>131.22637071596259</v>
      </c>
      <c r="D52" s="128">
        <v>233.68426061829433</v>
      </c>
      <c r="E52" s="123">
        <v>56.013284286777804</v>
      </c>
      <c r="F52" s="127">
        <v>114.92998805558648</v>
      </c>
      <c r="G52" s="128">
        <v>214.51601548641082</v>
      </c>
      <c r="H52" s="123">
        <v>39.088386608224539</v>
      </c>
      <c r="I52" s="127">
        <v>73.791161792172048</v>
      </c>
      <c r="J52" s="128">
        <v>132.1803910374002</v>
      </c>
      <c r="K52" s="123">
        <v>24.444741949183907</v>
      </c>
      <c r="L52" s="127">
        <v>41.223320572000034</v>
      </c>
      <c r="M52" s="128">
        <v>66.621506555105853</v>
      </c>
      <c r="N52" s="123">
        <v>26.936772003205707</v>
      </c>
      <c r="O52" s="127">
        <v>44.949238811587072</v>
      </c>
      <c r="P52" s="128">
        <v>66.808545079428171</v>
      </c>
      <c r="Q52" s="123">
        <v>25.615694971217689</v>
      </c>
      <c r="R52" s="127">
        <v>35.038679679282261</v>
      </c>
      <c r="S52" s="128">
        <v>48.185654968051715</v>
      </c>
      <c r="T52" s="123">
        <v>31.016398305040312</v>
      </c>
      <c r="U52" s="127">
        <v>41.324651717580032</v>
      </c>
      <c r="V52" s="128">
        <v>56.637771581265191</v>
      </c>
      <c r="W52" s="123">
        <v>22.354088357689772</v>
      </c>
      <c r="X52" s="127">
        <v>29.395996426948308</v>
      </c>
      <c r="Y52" s="128">
        <v>39.628179259812477</v>
      </c>
      <c r="Z52" s="123">
        <v>37.576104604184415</v>
      </c>
      <c r="AA52" s="127">
        <v>47.158293584081783</v>
      </c>
      <c r="AB52" s="128">
        <v>60.370453520196691</v>
      </c>
      <c r="AC52" s="123">
        <v>38.884783431789138</v>
      </c>
      <c r="AD52" s="127">
        <v>48.80069534470983</v>
      </c>
      <c r="AE52" s="128">
        <v>62.473000741815262</v>
      </c>
    </row>
    <row r="53" spans="1:31" x14ac:dyDescent="0.3">
      <c r="A53" s="41">
        <v>2023</v>
      </c>
      <c r="B53" s="123">
        <v>63.873927747425085</v>
      </c>
      <c r="C53" s="127">
        <v>129.77024017560043</v>
      </c>
      <c r="D53" s="128">
        <v>233.68426061829433</v>
      </c>
      <c r="E53" s="123">
        <v>53.209573847957913</v>
      </c>
      <c r="F53" s="127">
        <v>111.64639212749108</v>
      </c>
      <c r="G53" s="128">
        <v>214.51601548641082</v>
      </c>
      <c r="H53" s="123">
        <v>38.15016438299488</v>
      </c>
      <c r="I53" s="127">
        <v>73.013981683259885</v>
      </c>
      <c r="J53" s="128">
        <v>132.1803910374002</v>
      </c>
      <c r="K53" s="123">
        <v>23.585291869482759</v>
      </c>
      <c r="L53" s="127">
        <v>40.641997572727902</v>
      </c>
      <c r="M53" s="128">
        <v>66.621506555105853</v>
      </c>
      <c r="N53" s="123">
        <v>25.672405871800215</v>
      </c>
      <c r="O53" s="127">
        <v>44.000373954953339</v>
      </c>
      <c r="P53" s="128">
        <v>66.808545079428171</v>
      </c>
      <c r="Q53" s="123">
        <v>23.9970289450815</v>
      </c>
      <c r="R53" s="127">
        <v>33.630934516166718</v>
      </c>
      <c r="S53" s="128">
        <v>47.597913562423344</v>
      </c>
      <c r="T53" s="123">
        <v>28.836037060940118</v>
      </c>
      <c r="U53" s="127">
        <v>39.494665076261001</v>
      </c>
      <c r="V53" s="128">
        <v>55.872428811015304</v>
      </c>
      <c r="W53" s="123">
        <v>20.863929714142195</v>
      </c>
      <c r="X53" s="127">
        <v>28.289348890323055</v>
      </c>
      <c r="Y53" s="128">
        <v>39.531402277236126</v>
      </c>
      <c r="Z53" s="123">
        <v>35.741500933957305</v>
      </c>
      <c r="AA53" s="127">
        <v>45.599426987924609</v>
      </c>
      <c r="AB53" s="128">
        <v>59.495346822471944</v>
      </c>
      <c r="AC53" s="123">
        <v>40.547406885584259</v>
      </c>
      <c r="AD53" s="127">
        <v>51.096425783504031</v>
      </c>
      <c r="AE53" s="128">
        <v>65.787019139007498</v>
      </c>
    </row>
    <row r="54" spans="1:31" x14ac:dyDescent="0.3">
      <c r="A54" s="41">
        <v>2024</v>
      </c>
      <c r="B54" s="123">
        <v>63.873927747425085</v>
      </c>
      <c r="C54" s="127">
        <v>128.31410963523828</v>
      </c>
      <c r="D54" s="128">
        <v>233.68426061829433</v>
      </c>
      <c r="E54" s="123">
        <v>50.405863409138036</v>
      </c>
      <c r="F54" s="127">
        <v>108.36279619939566</v>
      </c>
      <c r="G54" s="128">
        <v>214.51601548641082</v>
      </c>
      <c r="H54" s="123">
        <v>37.211942157765229</v>
      </c>
      <c r="I54" s="127">
        <v>72.236801574347723</v>
      </c>
      <c r="J54" s="128">
        <v>132.1803910374002</v>
      </c>
      <c r="K54" s="123">
        <v>22.735710528842755</v>
      </c>
      <c r="L54" s="127">
        <v>40.066252439426002</v>
      </c>
      <c r="M54" s="128">
        <v>66.621506555105853</v>
      </c>
      <c r="N54" s="123">
        <v>24.423770608726166</v>
      </c>
      <c r="O54" s="127">
        <v>43.060955703819232</v>
      </c>
      <c r="P54" s="128">
        <v>66.808545079428171</v>
      </c>
      <c r="Q54" s="123">
        <v>22.409767438665448</v>
      </c>
      <c r="R54" s="127">
        <v>32.247409064568195</v>
      </c>
      <c r="S54" s="128">
        <v>47.01017215679498</v>
      </c>
      <c r="T54" s="123">
        <v>26.731104165872924</v>
      </c>
      <c r="U54" s="127">
        <v>37.711557229929753</v>
      </c>
      <c r="V54" s="128">
        <v>55.107846947529339</v>
      </c>
      <c r="W54" s="123">
        <v>20.047797823251035</v>
      </c>
      <c r="X54" s="127">
        <v>28.091519026075922</v>
      </c>
      <c r="Y54" s="128">
        <v>40.717807143576991</v>
      </c>
      <c r="Z54" s="123">
        <v>33.944054851376393</v>
      </c>
      <c r="AA54" s="127">
        <v>44.065314233801729</v>
      </c>
      <c r="AB54" s="128">
        <v>58.620659273383517</v>
      </c>
      <c r="AC54" s="123">
        <v>38.317862145436898</v>
      </c>
      <c r="AD54" s="127">
        <v>49.095127716156313</v>
      </c>
      <c r="AE54" s="128">
        <v>64.42529185903949</v>
      </c>
    </row>
    <row r="55" spans="1:31" x14ac:dyDescent="0.3">
      <c r="A55" s="41">
        <v>2025</v>
      </c>
      <c r="B55" s="123">
        <v>63.873927747425085</v>
      </c>
      <c r="C55" s="127">
        <v>126.85797909487613</v>
      </c>
      <c r="D55" s="128">
        <v>233.68426061829433</v>
      </c>
      <c r="E55" s="123">
        <v>47.602152970318166</v>
      </c>
      <c r="F55" s="127">
        <v>105.07920027130028</v>
      </c>
      <c r="G55" s="128">
        <v>214.51601548641082</v>
      </c>
      <c r="H55" s="123">
        <v>36.273719932535563</v>
      </c>
      <c r="I55" s="127">
        <v>71.459621465435575</v>
      </c>
      <c r="J55" s="128">
        <v>132.1803910374002</v>
      </c>
      <c r="K55" s="123">
        <v>21.895925696015549</v>
      </c>
      <c r="L55" s="127">
        <v>39.496048213308242</v>
      </c>
      <c r="M55" s="128">
        <v>66.621506555105853</v>
      </c>
      <c r="N55" s="123">
        <v>23.190734023143893</v>
      </c>
      <c r="O55" s="127">
        <v>42.130914621848959</v>
      </c>
      <c r="P55" s="128">
        <v>66.808545079428171</v>
      </c>
      <c r="Q55" s="123">
        <v>20.853005291363491</v>
      </c>
      <c r="R55" s="127">
        <v>30.887317373565836</v>
      </c>
      <c r="S55" s="128">
        <v>46.422430751166594</v>
      </c>
      <c r="T55" s="123">
        <v>24.697687756071318</v>
      </c>
      <c r="U55" s="127">
        <v>35.973207948230524</v>
      </c>
      <c r="V55" s="128">
        <v>54.344003720365436</v>
      </c>
      <c r="W55" s="123">
        <v>18.611072251796642</v>
      </c>
      <c r="X55" s="127">
        <v>27.010523033462725</v>
      </c>
      <c r="Y55" s="128">
        <v>40.619447370954191</v>
      </c>
      <c r="Z55" s="123">
        <v>32.182598445266137</v>
      </c>
      <c r="AA55" s="127">
        <v>42.555206025242306</v>
      </c>
      <c r="AB55" s="128">
        <v>57.746380646014593</v>
      </c>
      <c r="AC55" s="123">
        <v>36.132829265018074</v>
      </c>
      <c r="AD55" s="127">
        <v>47.123787517763347</v>
      </c>
      <c r="AE55" s="128">
        <v>63.063969658583595</v>
      </c>
    </row>
    <row r="56" spans="1:31" x14ac:dyDescent="0.3">
      <c r="A56" s="41">
        <v>2026</v>
      </c>
      <c r="B56" s="123">
        <v>63.873927747425085</v>
      </c>
      <c r="C56" s="127">
        <v>125.40184855451396</v>
      </c>
      <c r="D56" s="128">
        <v>233.68426061829433</v>
      </c>
      <c r="E56" s="123">
        <v>46.18046472750391</v>
      </c>
      <c r="F56" s="127">
        <v>104.07031316950814</v>
      </c>
      <c r="G56" s="128">
        <v>214.51601548641082</v>
      </c>
      <c r="H56" s="123">
        <v>35.335497707305905</v>
      </c>
      <c r="I56" s="127">
        <v>70.761995840556523</v>
      </c>
      <c r="J56" s="128">
        <v>132.1803910374002</v>
      </c>
      <c r="K56" s="123">
        <v>21.06586536875497</v>
      </c>
      <c r="L56" s="127">
        <v>38.931348047375984</v>
      </c>
      <c r="M56" s="128">
        <v>66.621506555105853</v>
      </c>
      <c r="N56" s="123">
        <v>21.973164508482796</v>
      </c>
      <c r="O56" s="127">
        <v>41.210181556344075</v>
      </c>
      <c r="P56" s="128">
        <v>66.808545079428171</v>
      </c>
      <c r="Q56" s="123">
        <v>19.325871797016593</v>
      </c>
      <c r="R56" s="127">
        <v>29.549910052124368</v>
      </c>
      <c r="S56" s="128">
        <v>45.834689345538216</v>
      </c>
      <c r="T56" s="123">
        <v>22.732147654624221</v>
      </c>
      <c r="U56" s="127">
        <v>34.277631080344968</v>
      </c>
      <c r="V56" s="128">
        <v>53.58087771977511</v>
      </c>
      <c r="W56" s="123">
        <v>19.285559278786817</v>
      </c>
      <c r="X56" s="127">
        <v>29.111987050655291</v>
      </c>
      <c r="Y56" s="128">
        <v>45.520048344250611</v>
      </c>
      <c r="Z56" s="123">
        <v>30.456015995014951</v>
      </c>
      <c r="AA56" s="127">
        <v>41.068386076874276</v>
      </c>
      <c r="AB56" s="128">
        <v>56.872501043469875</v>
      </c>
      <c r="AC56" s="123">
        <v>33.990930002016071</v>
      </c>
      <c r="AD56" s="127">
        <v>45.181516899741347</v>
      </c>
      <c r="AE56" s="128">
        <v>61.70304289288952</v>
      </c>
    </row>
    <row r="57" spans="1:31" x14ac:dyDescent="0.3">
      <c r="A57" s="41">
        <v>2027</v>
      </c>
      <c r="B57" s="123">
        <v>63.873927747425085</v>
      </c>
      <c r="C57" s="127">
        <v>123.94571801415184</v>
      </c>
      <c r="D57" s="128">
        <v>233.68426061829433</v>
      </c>
      <c r="E57" s="123">
        <v>44.758776484689655</v>
      </c>
      <c r="F57" s="127">
        <v>103.06142606771598</v>
      </c>
      <c r="G57" s="128">
        <v>214.51601548641082</v>
      </c>
      <c r="H57" s="123">
        <v>34.397275482076239</v>
      </c>
      <c r="I57" s="127">
        <v>70.064370215677442</v>
      </c>
      <c r="J57" s="128">
        <v>132.1803910374002</v>
      </c>
      <c r="K57" s="123">
        <v>20.245457774131079</v>
      </c>
      <c r="L57" s="127">
        <v>38.37211520655859</v>
      </c>
      <c r="M57" s="128">
        <v>66.621506555105853</v>
      </c>
      <c r="N57" s="123">
        <v>20.770931041407483</v>
      </c>
      <c r="O57" s="127">
        <v>40.298687637771955</v>
      </c>
      <c r="P57" s="128">
        <v>66.808545079428171</v>
      </c>
      <c r="Q57" s="123">
        <v>17.82752908000375</v>
      </c>
      <c r="R57" s="127">
        <v>28.234472056614482</v>
      </c>
      <c r="S57" s="128">
        <v>45.246947939909852</v>
      </c>
      <c r="T57" s="123">
        <v>20.831091563036978</v>
      </c>
      <c r="U57" s="127">
        <v>32.622963510058405</v>
      </c>
      <c r="V57" s="128">
        <v>52.818448355521809</v>
      </c>
      <c r="W57" s="123">
        <v>17.975395137379746</v>
      </c>
      <c r="X57" s="127">
        <v>28.288785029149974</v>
      </c>
      <c r="Y57" s="128">
        <v>45.96415515468756</v>
      </c>
      <c r="Z57" s="123">
        <v>28.763240759401125</v>
      </c>
      <c r="AA57" s="127">
        <v>39.604169121605132</v>
      </c>
      <c r="AB57" s="128">
        <v>55.999010885669904</v>
      </c>
      <c r="AC57" s="123">
        <v>31.890846949889802</v>
      </c>
      <c r="AD57" s="127">
        <v>43.267466042531346</v>
      </c>
      <c r="AE57" s="128">
        <v>60.342502220978659</v>
      </c>
    </row>
    <row r="58" spans="1:31" x14ac:dyDescent="0.3">
      <c r="A58" s="41">
        <v>2028</v>
      </c>
      <c r="B58" s="123">
        <v>63.873927747425085</v>
      </c>
      <c r="C58" s="127">
        <v>122.4895874737897</v>
      </c>
      <c r="D58" s="128">
        <v>233.68426061829433</v>
      </c>
      <c r="E58" s="123">
        <v>43.337088241875399</v>
      </c>
      <c r="F58" s="127">
        <v>102.05253896592384</v>
      </c>
      <c r="G58" s="128">
        <v>214.51601548641082</v>
      </c>
      <c r="H58" s="123">
        <v>33.459053256846587</v>
      </c>
      <c r="I58" s="127">
        <v>69.366744590798405</v>
      </c>
      <c r="J58" s="128">
        <v>132.1803910374002</v>
      </c>
      <c r="K58" s="123">
        <v>19.43463136886059</v>
      </c>
      <c r="L58" s="127">
        <v>37.818313067861425</v>
      </c>
      <c r="M58" s="128">
        <v>66.621506555105853</v>
      </c>
      <c r="N58" s="123">
        <v>19.583903180829846</v>
      </c>
      <c r="O58" s="127">
        <v>39.396364279316387</v>
      </c>
      <c r="P58" s="128">
        <v>66.808545079428171</v>
      </c>
      <c r="Q58" s="123">
        <v>16.357170562321183</v>
      </c>
      <c r="R58" s="127">
        <v>26.940320642075108</v>
      </c>
      <c r="S58" s="128">
        <v>44.659206534281466</v>
      </c>
      <c r="T58" s="123">
        <v>18.991353790829177</v>
      </c>
      <c r="U58" s="127">
        <v>31.007455242505529</v>
      </c>
      <c r="V58" s="128">
        <v>52.056695818041462</v>
      </c>
      <c r="W58" s="123">
        <v>16.676764217204877</v>
      </c>
      <c r="X58" s="127">
        <v>27.467584421164105</v>
      </c>
      <c r="Y58" s="128">
        <v>46.406934641691308</v>
      </c>
      <c r="Z58" s="123">
        <v>27.103252030980542</v>
      </c>
      <c r="AA58" s="127">
        <v>38.161899076327423</v>
      </c>
      <c r="AB58" s="128">
        <v>55.125900896774496</v>
      </c>
      <c r="AC58" s="123">
        <v>29.831319808242725</v>
      </c>
      <c r="AD58" s="127">
        <v>41.380821294029438</v>
      </c>
      <c r="AE58" s="128">
        <v>58.982338593777925</v>
      </c>
    </row>
    <row r="59" spans="1:31" x14ac:dyDescent="0.3">
      <c r="A59" s="41">
        <v>2029</v>
      </c>
      <c r="B59" s="123">
        <v>63.873927747425085</v>
      </c>
      <c r="C59" s="127">
        <v>121.03345693342753</v>
      </c>
      <c r="D59" s="128">
        <v>233.68426061829433</v>
      </c>
      <c r="E59" s="123">
        <v>41.915399999061137</v>
      </c>
      <c r="F59" s="127">
        <v>101.0436518641317</v>
      </c>
      <c r="G59" s="128">
        <v>214.51601548641082</v>
      </c>
      <c r="H59" s="123">
        <v>32.520831031616929</v>
      </c>
      <c r="I59" s="127">
        <v>68.669118965919367</v>
      </c>
      <c r="J59" s="128">
        <v>132.1803910374002</v>
      </c>
      <c r="K59" s="123">
        <v>18.633314839653568</v>
      </c>
      <c r="L59" s="127">
        <v>37.269905120521599</v>
      </c>
      <c r="M59" s="128">
        <v>66.621506555105853</v>
      </c>
      <c r="N59" s="123">
        <v>18.411951066967479</v>
      </c>
      <c r="O59" s="127">
        <v>38.503143176448908</v>
      </c>
      <c r="P59" s="128">
        <v>66.808545079428171</v>
      </c>
      <c r="Q59" s="123">
        <v>14.914019515756811</v>
      </c>
      <c r="R59" s="127">
        <v>25.666803462984682</v>
      </c>
      <c r="S59" s="128">
        <v>44.071465128653102</v>
      </c>
      <c r="T59" s="123">
        <v>17.2099762023255</v>
      </c>
      <c r="U59" s="127">
        <v>29.429460483034713</v>
      </c>
      <c r="V59" s="128">
        <v>51.295601041791144</v>
      </c>
      <c r="W59" s="123">
        <v>15.388927615220442</v>
      </c>
      <c r="X59" s="127">
        <v>26.648052178017505</v>
      </c>
      <c r="Y59" s="128">
        <v>46.848206979483678</v>
      </c>
      <c r="Z59" s="123">
        <v>25.475072427678377</v>
      </c>
      <c r="AA59" s="127">
        <v>36.740947350114901</v>
      </c>
      <c r="AB59" s="128">
        <v>54.253162093200537</v>
      </c>
      <c r="AC59" s="123">
        <v>27.811141964731132</v>
      </c>
      <c r="AD59" s="127">
        <v>39.520803051723554</v>
      </c>
      <c r="AE59" s="128">
        <v>57.622543242805719</v>
      </c>
    </row>
    <row r="60" spans="1:31" x14ac:dyDescent="0.3">
      <c r="A60" s="41">
        <v>2030</v>
      </c>
      <c r="B60" s="123">
        <v>63.873927747425085</v>
      </c>
      <c r="C60" s="127">
        <v>119.57732639306541</v>
      </c>
      <c r="D60" s="128">
        <v>233.68426061829433</v>
      </c>
      <c r="E60" s="123">
        <v>40.493711756246888</v>
      </c>
      <c r="F60" s="127">
        <v>100.03476476233956</v>
      </c>
      <c r="G60" s="128">
        <v>214.51601548641082</v>
      </c>
      <c r="H60" s="123">
        <v>31.582608806387285</v>
      </c>
      <c r="I60" s="127">
        <v>67.971493341040315</v>
      </c>
      <c r="J60" s="128">
        <v>132.1803910374002</v>
      </c>
      <c r="K60" s="123">
        <v>17.841437103575068</v>
      </c>
      <c r="L60" s="127">
        <v>36.726854966170592</v>
      </c>
      <c r="M60" s="128">
        <v>66.621506555105853</v>
      </c>
      <c r="N60" s="123">
        <v>17.254945420445701</v>
      </c>
      <c r="O60" s="127">
        <v>37.618956306521078</v>
      </c>
      <c r="P60" s="128">
        <v>66.808545079428171</v>
      </c>
      <c r="Q60" s="123">
        <v>13.497327693699521</v>
      </c>
      <c r="R60" s="127">
        <v>24.413296810722127</v>
      </c>
      <c r="S60" s="128">
        <v>43.483723723024696</v>
      </c>
      <c r="T60" s="123">
        <v>15.484191106930597</v>
      </c>
      <c r="U60" s="127">
        <v>27.887429588824201</v>
      </c>
      <c r="V60" s="128">
        <v>50.535145670643551</v>
      </c>
      <c r="W60" s="123">
        <v>14.111220503367203</v>
      </c>
      <c r="X60" s="127">
        <v>25.829893080728525</v>
      </c>
      <c r="Y60" s="128">
        <v>47.287795351621938</v>
      </c>
      <c r="Z60" s="123">
        <v>23.877765396936983</v>
      </c>
      <c r="AA60" s="127">
        <v>35.340711280858059</v>
      </c>
      <c r="AB60" s="128">
        <v>53.380785772201563</v>
      </c>
      <c r="AC60" s="123">
        <v>25.829157354485417</v>
      </c>
      <c r="AD60" s="127">
        <v>37.68666380964666</v>
      </c>
      <c r="AE60" s="128">
        <v>56.263107669379842</v>
      </c>
    </row>
    <row r="61" spans="1:31" x14ac:dyDescent="0.3">
      <c r="A61" s="41">
        <v>2031</v>
      </c>
      <c r="B61" s="123">
        <v>63.873927747425085</v>
      </c>
      <c r="C61" s="127">
        <v>119.57732639306541</v>
      </c>
      <c r="D61" s="128">
        <v>233.68426061829433</v>
      </c>
      <c r="E61" s="123">
        <v>39.724875844924114</v>
      </c>
      <c r="F61" s="127">
        <v>99.405892258736529</v>
      </c>
      <c r="G61" s="128">
        <v>214.51601548641082</v>
      </c>
      <c r="H61" s="123">
        <v>31.059051738125078</v>
      </c>
      <c r="I61" s="127">
        <v>67.520326236273803</v>
      </c>
      <c r="J61" s="128">
        <v>132.1803910374002</v>
      </c>
      <c r="K61" s="123">
        <v>17.527218717324832</v>
      </c>
      <c r="L61" s="127">
        <v>36.477737817847554</v>
      </c>
      <c r="M61" s="128">
        <v>66.621506555105853</v>
      </c>
      <c r="N61" s="123">
        <v>16.737708835558202</v>
      </c>
      <c r="O61" s="127">
        <v>37.235131029496308</v>
      </c>
      <c r="P61" s="128">
        <v>66.808545079428171</v>
      </c>
      <c r="Q61" s="123">
        <v>13.268185163326711</v>
      </c>
      <c r="R61" s="127">
        <v>23.996837411697477</v>
      </c>
      <c r="S61" s="128">
        <v>42.614990616778428</v>
      </c>
      <c r="T61" s="123">
        <v>15.278569329047166</v>
      </c>
      <c r="U61" s="127">
        <v>27.431408968754365</v>
      </c>
      <c r="V61" s="128">
        <v>49.472492505119583</v>
      </c>
      <c r="W61" s="123">
        <v>13.92033436545181</v>
      </c>
      <c r="X61" s="127">
        <v>25.395178940473151</v>
      </c>
      <c r="Y61" s="128">
        <v>46.270634066237498</v>
      </c>
      <c r="Z61" s="123">
        <v>22.310432910915413</v>
      </c>
      <c r="AA61" s="127">
        <v>33.960612687984607</v>
      </c>
      <c r="AB61" s="128">
        <v>52.508763500978873</v>
      </c>
      <c r="AC61" s="123">
        <v>23.884257567605623</v>
      </c>
      <c r="AD61" s="127">
        <v>35.877686353656408</v>
      </c>
      <c r="AE61" s="128">
        <v>54.904023634319842</v>
      </c>
    </row>
    <row r="62" spans="1:31" x14ac:dyDescent="0.3">
      <c r="A62" s="41">
        <v>2032</v>
      </c>
      <c r="B62" s="123">
        <v>63.873927747425085</v>
      </c>
      <c r="C62" s="127">
        <v>119.57732639306541</v>
      </c>
      <c r="D62" s="128">
        <v>233.68426061829433</v>
      </c>
      <c r="E62" s="123">
        <v>38.956039933601332</v>
      </c>
      <c r="F62" s="127">
        <v>98.777019755133495</v>
      </c>
      <c r="G62" s="128">
        <v>214.51601548641082</v>
      </c>
      <c r="H62" s="123">
        <v>30.535494669862878</v>
      </c>
      <c r="I62" s="127">
        <v>67.069159131507291</v>
      </c>
      <c r="J62" s="128">
        <v>132.1803910374002</v>
      </c>
      <c r="K62" s="123">
        <v>17.213704375071512</v>
      </c>
      <c r="L62" s="127">
        <v>36.229073292813197</v>
      </c>
      <c r="M62" s="128">
        <v>66.621506555105853</v>
      </c>
      <c r="N62" s="123">
        <v>16.221935118164332</v>
      </c>
      <c r="O62" s="127">
        <v>36.852162722249417</v>
      </c>
      <c r="P62" s="128">
        <v>66.808545079428171</v>
      </c>
      <c r="Q62" s="123">
        <v>13.041168521495697</v>
      </c>
      <c r="R62" s="127">
        <v>23.583832461606963</v>
      </c>
      <c r="S62" s="128">
        <v>41.753574139921263</v>
      </c>
      <c r="T62" s="123">
        <v>15.074147989930234</v>
      </c>
      <c r="U62" s="127">
        <v>26.979869752174224</v>
      </c>
      <c r="V62" s="128">
        <v>48.422345352416421</v>
      </c>
      <c r="W62" s="123">
        <v>13.730530679082683</v>
      </c>
      <c r="X62" s="127">
        <v>24.964723823345683</v>
      </c>
      <c r="Y62" s="128">
        <v>45.265438387158262</v>
      </c>
      <c r="Z62" s="123">
        <v>20.772213333910869</v>
      </c>
      <c r="AA62" s="127">
        <v>32.600096530363608</v>
      </c>
      <c r="AB62" s="128">
        <v>51.63708710629524</v>
      </c>
      <c r="AC62" s="123">
        <v>21.975379179154171</v>
      </c>
      <c r="AD62" s="127">
        <v>34.093182090589998</v>
      </c>
      <c r="AE62" s="128">
        <v>53.545283148117413</v>
      </c>
    </row>
    <row r="63" spans="1:31" x14ac:dyDescent="0.3">
      <c r="A63" s="41">
        <v>2033</v>
      </c>
      <c r="B63" s="123">
        <v>63.873927747425085</v>
      </c>
      <c r="C63" s="127">
        <v>119.57732639306541</v>
      </c>
      <c r="D63" s="128">
        <v>233.68426061829433</v>
      </c>
      <c r="E63" s="123">
        <v>38.187204022278557</v>
      </c>
      <c r="F63" s="127">
        <v>98.148147251530503</v>
      </c>
      <c r="G63" s="128">
        <v>214.51601548641082</v>
      </c>
      <c r="H63" s="123">
        <v>30.011937601600671</v>
      </c>
      <c r="I63" s="127">
        <v>66.617992026740765</v>
      </c>
      <c r="J63" s="128">
        <v>132.1803910374002</v>
      </c>
      <c r="K63" s="123">
        <v>16.900891713220496</v>
      </c>
      <c r="L63" s="127">
        <v>35.980860067631191</v>
      </c>
      <c r="M63" s="128">
        <v>66.621506555105853</v>
      </c>
      <c r="N63" s="123">
        <v>15.707618071024426</v>
      </c>
      <c r="O63" s="127">
        <v>36.470048191875833</v>
      </c>
      <c r="P63" s="128">
        <v>66.808545079428171</v>
      </c>
      <c r="Q63" s="123">
        <v>12.81624832015296</v>
      </c>
      <c r="R63" s="127">
        <v>23.174237541719695</v>
      </c>
      <c r="S63" s="128">
        <v>40.899382247074847</v>
      </c>
      <c r="T63" s="123">
        <v>14.870910292980119</v>
      </c>
      <c r="U63" s="127">
        <v>26.532739245172081</v>
      </c>
      <c r="V63" s="128">
        <v>47.384485137984996</v>
      </c>
      <c r="W63" s="123">
        <v>13.541794987287709</v>
      </c>
      <c r="X63" s="127">
        <v>24.538458976448677</v>
      </c>
      <c r="Y63" s="128">
        <v>44.271998740951517</v>
      </c>
      <c r="Z63" s="123">
        <v>19.262279445456425</v>
      </c>
      <c r="AA63" s="127">
        <v>31.258629659744294</v>
      </c>
      <c r="AB63" s="128">
        <v>50.765748664564548</v>
      </c>
      <c r="AC63" s="123">
        <v>20.101501279335974</v>
      </c>
      <c r="AD63" s="127">
        <v>32.332489498583094</v>
      </c>
      <c r="AE63" s="128">
        <v>52.186878461550172</v>
      </c>
    </row>
    <row r="64" spans="1:31" x14ac:dyDescent="0.3">
      <c r="A64" s="41">
        <v>2034</v>
      </c>
      <c r="B64" s="123">
        <v>63.873927747425085</v>
      </c>
      <c r="C64" s="127">
        <v>119.57732639306541</v>
      </c>
      <c r="D64" s="128">
        <v>233.68426061829433</v>
      </c>
      <c r="E64" s="123">
        <v>37.418368110955775</v>
      </c>
      <c r="F64" s="127">
        <v>97.519274747927497</v>
      </c>
      <c r="G64" s="128">
        <v>214.51601548641082</v>
      </c>
      <c r="H64" s="123">
        <v>29.488380533338468</v>
      </c>
      <c r="I64" s="127">
        <v>66.166824921974268</v>
      </c>
      <c r="J64" s="128">
        <v>132.1803910374002</v>
      </c>
      <c r="K64" s="123">
        <v>16.643711226956356</v>
      </c>
      <c r="L64" s="127">
        <v>35.758193966432835</v>
      </c>
      <c r="M64" s="128">
        <v>66.621506555105853</v>
      </c>
      <c r="N64" s="123">
        <v>15.194751531854461</v>
      </c>
      <c r="O64" s="127">
        <v>36.088784262364648</v>
      </c>
      <c r="P64" s="128">
        <v>66.808545079428171</v>
      </c>
      <c r="Q64" s="123">
        <v>12.593395652635632</v>
      </c>
      <c r="R64" s="127">
        <v>22.768009018223367</v>
      </c>
      <c r="S64" s="128">
        <v>40.0523244303578</v>
      </c>
      <c r="T64" s="123">
        <v>14.668839932508604</v>
      </c>
      <c r="U64" s="127">
        <v>26.089946424673951</v>
      </c>
      <c r="V64" s="128">
        <v>46.35869787077656</v>
      </c>
      <c r="W64" s="123">
        <v>13.354113243385594</v>
      </c>
      <c r="X64" s="127">
        <v>24.116317216463518</v>
      </c>
      <c r="Y64" s="128">
        <v>43.290110416900902</v>
      </c>
      <c r="Z64" s="123">
        <v>17.779836604508489</v>
      </c>
      <c r="AA64" s="127">
        <v>29.935699661163301</v>
      </c>
      <c r="AB64" s="128">
        <v>49.894740492392096</v>
      </c>
      <c r="AC64" s="123">
        <v>18.261643184332684</v>
      </c>
      <c r="AD64" s="127">
        <v>30.594972687333186</v>
      </c>
      <c r="AE64" s="128">
        <v>50.828802056715865</v>
      </c>
    </row>
    <row r="65" spans="1:31" x14ac:dyDescent="0.3">
      <c r="A65" s="41">
        <v>2035</v>
      </c>
      <c r="B65" s="123">
        <v>63.873927747425085</v>
      </c>
      <c r="C65" s="127">
        <v>119.57732639306541</v>
      </c>
      <c r="D65" s="128">
        <v>233.68426061829433</v>
      </c>
      <c r="E65" s="123">
        <v>36.649532199633001</v>
      </c>
      <c r="F65" s="127">
        <v>96.890402244324477</v>
      </c>
      <c r="G65" s="128">
        <v>214.51601548641082</v>
      </c>
      <c r="H65" s="123">
        <v>28.964823465076265</v>
      </c>
      <c r="I65" s="127">
        <v>65.715657817207742</v>
      </c>
      <c r="J65" s="128">
        <v>132.1803910374002</v>
      </c>
      <c r="K65" s="123">
        <v>16.150706916751407</v>
      </c>
      <c r="L65" s="127">
        <v>35.427917394097953</v>
      </c>
      <c r="M65" s="128">
        <v>66.621506555105853</v>
      </c>
      <c r="N65" s="123">
        <v>14.683329373079962</v>
      </c>
      <c r="O65" s="127">
        <v>35.708367774483271</v>
      </c>
      <c r="P65" s="128">
        <v>66.808545079428171</v>
      </c>
      <c r="Q65" s="123">
        <v>12.372582141286838</v>
      </c>
      <c r="R65" s="127">
        <v>22.365104024410726</v>
      </c>
      <c r="S65" s="128">
        <v>39.212311687416914</v>
      </c>
      <c r="T65" s="123">
        <v>14.467921072014144</v>
      </c>
      <c r="U65" s="127">
        <v>25.651421888163821</v>
      </c>
      <c r="V65" s="128">
        <v>45.344774496684984</v>
      </c>
      <c r="W65" s="123">
        <v>13.167471793000455</v>
      </c>
      <c r="X65" s="127">
        <v>23.698232882855237</v>
      </c>
      <c r="Y65" s="128">
        <v>42.319573426817485</v>
      </c>
      <c r="Z65" s="123">
        <v>16.324121041822448</v>
      </c>
      <c r="AA65" s="127">
        <v>28.630813772691575</v>
      </c>
      <c r="AB65" s="128">
        <v>49.024055137541623</v>
      </c>
      <c r="AC65" s="123">
        <v>16.45486231062662</v>
      </c>
      <c r="AD65" s="127">
        <v>28.8800200583707</v>
      </c>
      <c r="AE65" s="128">
        <v>49.471046638464841</v>
      </c>
    </row>
    <row r="66" spans="1:31" x14ac:dyDescent="0.3">
      <c r="A66" s="41">
        <v>2036</v>
      </c>
      <c r="B66" s="123">
        <v>63.873927747425085</v>
      </c>
      <c r="C66" s="127">
        <v>119.57732639306541</v>
      </c>
      <c r="D66" s="128">
        <v>233.68426061829433</v>
      </c>
      <c r="E66" s="123">
        <v>35.880696288310226</v>
      </c>
      <c r="F66" s="127">
        <v>96.261529740721443</v>
      </c>
      <c r="G66" s="128">
        <v>214.51601548641082</v>
      </c>
      <c r="H66" s="123">
        <v>28.441266396814061</v>
      </c>
      <c r="I66" s="127">
        <v>65.264490712441216</v>
      </c>
      <c r="J66" s="128">
        <v>132.1803910374002</v>
      </c>
      <c r="K66" s="123">
        <v>15.759357500800675</v>
      </c>
      <c r="L66" s="127">
        <v>35.144213837422889</v>
      </c>
      <c r="M66" s="128">
        <v>66.621506555105853</v>
      </c>
      <c r="N66" s="123">
        <v>14.291384946323619</v>
      </c>
      <c r="O66" s="127">
        <v>35.382724206124628</v>
      </c>
      <c r="P66" s="128">
        <v>66.808545079428171</v>
      </c>
      <c r="Q66" s="123">
        <v>12.153779925409504</v>
      </c>
      <c r="R66" s="127">
        <v>21.96548044336275</v>
      </c>
      <c r="S66" s="128">
        <v>38.3792564902527</v>
      </c>
      <c r="T66" s="123">
        <v>14.268138323665793</v>
      </c>
      <c r="U66" s="127">
        <v>25.217097805303158</v>
      </c>
      <c r="V66" s="128">
        <v>44.342510757029721</v>
      </c>
      <c r="W66" s="123">
        <v>12.981857357074654</v>
      </c>
      <c r="X66" s="127">
        <v>23.284141792823199</v>
      </c>
      <c r="Y66" s="128">
        <v>41.360192369672511</v>
      </c>
      <c r="Z66" s="123">
        <v>16.093828540879127</v>
      </c>
      <c r="AA66" s="127">
        <v>28.110422732896073</v>
      </c>
      <c r="AB66" s="128">
        <v>47.972888497715658</v>
      </c>
      <c r="AC66" s="123">
        <v>16.222190758330832</v>
      </c>
      <c r="AD66" s="127">
        <v>28.347320412467404</v>
      </c>
      <c r="AE66" s="128">
        <v>48.397333969308463</v>
      </c>
    </row>
    <row r="67" spans="1:31" x14ac:dyDescent="0.3">
      <c r="A67" s="41">
        <v>2037</v>
      </c>
      <c r="B67" s="123">
        <v>63.873927747425085</v>
      </c>
      <c r="C67" s="127">
        <v>119.57732639306541</v>
      </c>
      <c r="D67" s="128">
        <v>233.68426061829433</v>
      </c>
      <c r="E67" s="123">
        <v>35.111860376987444</v>
      </c>
      <c r="F67" s="127">
        <v>95.632657237118437</v>
      </c>
      <c r="G67" s="128">
        <v>214.51601548641082</v>
      </c>
      <c r="H67" s="123">
        <v>27.917709328551854</v>
      </c>
      <c r="I67" s="127">
        <v>64.81332360767469</v>
      </c>
      <c r="J67" s="128">
        <v>132.1803910374002</v>
      </c>
      <c r="K67" s="123">
        <v>15.368880065729257</v>
      </c>
      <c r="L67" s="127">
        <v>34.861038417381366</v>
      </c>
      <c r="M67" s="128">
        <v>66.621506555105853</v>
      </c>
      <c r="N67" s="123">
        <v>13.900541248376607</v>
      </c>
      <c r="O67" s="127">
        <v>35.057770358760614</v>
      </c>
      <c r="P67" s="128">
        <v>66.808545079428171</v>
      </c>
      <c r="Q67" s="123">
        <v>11.93696164954779</v>
      </c>
      <c r="R67" s="127">
        <v>21.569096891112125</v>
      </c>
      <c r="S67" s="128">
        <v>37.553072754816313</v>
      </c>
      <c r="T67" s="123">
        <v>14.06947672891693</v>
      </c>
      <c r="U67" s="127">
        <v>24.7869078713614</v>
      </c>
      <c r="V67" s="128">
        <v>43.351707051878357</v>
      </c>
      <c r="W67" s="123">
        <v>12.797257015814852</v>
      </c>
      <c r="X67" s="127">
        <v>22.873981197917885</v>
      </c>
      <c r="Y67" s="128">
        <v>40.411776300859316</v>
      </c>
      <c r="Z67" s="123">
        <v>15.865222685345847</v>
      </c>
      <c r="AA67" s="127">
        <v>27.59499685424553</v>
      </c>
      <c r="AB67" s="128">
        <v>46.935263330751219</v>
      </c>
      <c r="AC67" s="123">
        <v>15.991224315278581</v>
      </c>
      <c r="AD67" s="127">
        <v>27.819771860824499</v>
      </c>
      <c r="AE67" s="128">
        <v>47.337562998671409</v>
      </c>
    </row>
    <row r="68" spans="1:31" x14ac:dyDescent="0.3">
      <c r="A68" s="41">
        <v>2038</v>
      </c>
      <c r="B68" s="123">
        <v>63.873927747425085</v>
      </c>
      <c r="C68" s="127">
        <v>119.57732639306541</v>
      </c>
      <c r="D68" s="128">
        <v>233.68426061829433</v>
      </c>
      <c r="E68" s="123">
        <v>34.343024465664669</v>
      </c>
      <c r="F68" s="127">
        <v>95.003784733515403</v>
      </c>
      <c r="G68" s="128">
        <v>214.51601548641082</v>
      </c>
      <c r="H68" s="123">
        <v>27.394152260289658</v>
      </c>
      <c r="I68" s="127">
        <v>64.362156502908178</v>
      </c>
      <c r="J68" s="128">
        <v>132.1803910374002</v>
      </c>
      <c r="K68" s="123">
        <v>14.979271700438472</v>
      </c>
      <c r="L68" s="127">
        <v>34.5783895633989</v>
      </c>
      <c r="M68" s="128">
        <v>66.621506555105853</v>
      </c>
      <c r="N68" s="123">
        <v>13.510793648844063</v>
      </c>
      <c r="O68" s="127">
        <v>34.733503759918484</v>
      </c>
      <c r="P68" s="128">
        <v>66.808545079428171</v>
      </c>
      <c r="Q68" s="123">
        <v>11.722100452085879</v>
      </c>
      <c r="R68" s="127">
        <v>21.175912700271134</v>
      </c>
      <c r="S68" s="128">
        <v>36.733675811355745</v>
      </c>
      <c r="T68" s="123">
        <v>13.871921740175962</v>
      </c>
      <c r="U68" s="127">
        <v>24.360787262374835</v>
      </c>
      <c r="V68" s="128">
        <v>42.37216830801674</v>
      </c>
      <c r="W68" s="123">
        <v>12.61365819351111</v>
      </c>
      <c r="X68" s="127">
        <v>22.467689742248783</v>
      </c>
      <c r="Y68" s="128">
        <v>39.474138605900833</v>
      </c>
      <c r="Z68" s="123">
        <v>15.638284726506834</v>
      </c>
      <c r="AA68" s="127">
        <v>27.084459986197466</v>
      </c>
      <c r="AB68" s="128">
        <v>45.910919648039084</v>
      </c>
      <c r="AC68" s="123">
        <v>15.761944012448065</v>
      </c>
      <c r="AD68" s="127">
        <v>27.297294472881052</v>
      </c>
      <c r="AE68" s="128">
        <v>46.291464614987419</v>
      </c>
    </row>
    <row r="69" spans="1:31" x14ac:dyDescent="0.3">
      <c r="A69" s="41">
        <v>2039</v>
      </c>
      <c r="B69" s="123">
        <v>63.873927747425085</v>
      </c>
      <c r="C69" s="127">
        <v>119.57732639306541</v>
      </c>
      <c r="D69" s="128">
        <v>233.68426061829433</v>
      </c>
      <c r="E69" s="123">
        <v>33.574188554341895</v>
      </c>
      <c r="F69" s="127">
        <v>94.374912229912397</v>
      </c>
      <c r="G69" s="128">
        <v>214.51601548641082</v>
      </c>
      <c r="H69" s="123">
        <v>26.870595192027455</v>
      </c>
      <c r="I69" s="127">
        <v>63.910989398141666</v>
      </c>
      <c r="J69" s="128">
        <v>132.1803910374002</v>
      </c>
      <c r="K69" s="123">
        <v>14.590529506773457</v>
      </c>
      <c r="L69" s="127">
        <v>34.296265711408985</v>
      </c>
      <c r="M69" s="128">
        <v>66.621506555105853</v>
      </c>
      <c r="N69" s="123">
        <v>13.122137543266088</v>
      </c>
      <c r="O69" s="127">
        <v>34.409921949883298</v>
      </c>
      <c r="P69" s="128">
        <v>66.808545079428171</v>
      </c>
      <c r="Q69" s="123">
        <v>11.509169954154133</v>
      </c>
      <c r="R69" s="127">
        <v>20.785887904108748</v>
      </c>
      <c r="S69" s="128">
        <v>35.920982375489892</v>
      </c>
      <c r="T69" s="123">
        <v>13.675459203466426</v>
      </c>
      <c r="U69" s="127">
        <v>23.938672591955076</v>
      </c>
      <c r="V69" s="128">
        <v>41.403703851383469</v>
      </c>
      <c r="W69" s="123">
        <v>12.431048644173217</v>
      </c>
      <c r="X69" s="127">
        <v>22.065207422211895</v>
      </c>
      <c r="Y69" s="128">
        <v>38.547096878427347</v>
      </c>
      <c r="Z69" s="123">
        <v>15.412996197997073</v>
      </c>
      <c r="AA69" s="127">
        <v>26.578737608090115</v>
      </c>
      <c r="AB69" s="128">
        <v>44.899604074154219</v>
      </c>
      <c r="AC69" s="123">
        <v>15.534331166771038</v>
      </c>
      <c r="AD69" s="127">
        <v>26.779810044175896</v>
      </c>
      <c r="AE69" s="128">
        <v>45.258776576906222</v>
      </c>
    </row>
    <row r="70" spans="1:31" x14ac:dyDescent="0.3">
      <c r="A70" s="41">
        <v>2040</v>
      </c>
      <c r="B70" s="123">
        <v>63.873927747425085</v>
      </c>
      <c r="C70" s="127">
        <v>119.57732639306541</v>
      </c>
      <c r="D70" s="128">
        <v>233.68426061829433</v>
      </c>
      <c r="E70" s="123">
        <v>32.80535264301912</v>
      </c>
      <c r="F70" s="127">
        <v>93.746039726309391</v>
      </c>
      <c r="G70" s="128">
        <v>214.51601548641082</v>
      </c>
      <c r="H70" s="123">
        <v>26.347038123765234</v>
      </c>
      <c r="I70" s="127">
        <v>63.459822293375147</v>
      </c>
      <c r="J70" s="128">
        <v>132.1803910374002</v>
      </c>
      <c r="K70" s="123">
        <v>14.202650599451323</v>
      </c>
      <c r="L70" s="127">
        <v>34.014665303818539</v>
      </c>
      <c r="M70" s="128">
        <v>66.621506555105853</v>
      </c>
      <c r="N70" s="123">
        <v>12.734568352936458</v>
      </c>
      <c r="O70" s="127">
        <v>34.087022481612124</v>
      </c>
      <c r="P70" s="128">
        <v>66.808545079428171</v>
      </c>
      <c r="Q70" s="123">
        <v>11.298144248832919</v>
      </c>
      <c r="R70" s="127">
        <v>20.398983221062149</v>
      </c>
      <c r="S70" s="128">
        <v>35.114910519989536</v>
      </c>
      <c r="T70" s="123">
        <v>13.48007534201373</v>
      </c>
      <c r="U70" s="127">
        <v>23.520501869673115</v>
      </c>
      <c r="V70" s="128">
        <v>40.446127283793452</v>
      </c>
      <c r="W70" s="123">
        <v>12.249416437932556</v>
      </c>
      <c r="X70" s="127">
        <v>21.666475547669794</v>
      </c>
      <c r="Y70" s="128">
        <v>37.630472802257025</v>
      </c>
      <c r="Z70" s="123">
        <v>15.189338910378158</v>
      </c>
      <c r="AA70" s="127">
        <v>26.077756784223002</v>
      </c>
      <c r="AB70" s="128">
        <v>43.901069637914588</v>
      </c>
      <c r="AC70" s="123">
        <v>15.308367375632915</v>
      </c>
      <c r="AD70" s="127">
        <v>26.267242048482654</v>
      </c>
      <c r="AE70" s="128">
        <v>44.239243295691956</v>
      </c>
    </row>
    <row r="71" spans="1:31" x14ac:dyDescent="0.3">
      <c r="A71" s="41">
        <v>2041</v>
      </c>
      <c r="B71" s="123">
        <v>63.873927747425085</v>
      </c>
      <c r="C71" s="127">
        <v>119.57732639306541</v>
      </c>
      <c r="D71" s="128">
        <v>233.68426061829433</v>
      </c>
      <c r="E71" s="123">
        <v>32.142146429134073</v>
      </c>
      <c r="F71" s="127">
        <v>93.208327472125603</v>
      </c>
      <c r="G71" s="128">
        <v>214.51601548641082</v>
      </c>
      <c r="H71" s="123">
        <v>25.82650525472291</v>
      </c>
      <c r="I71" s="127">
        <v>63.02747991538461</v>
      </c>
      <c r="J71" s="128">
        <v>132.1803910374002</v>
      </c>
      <c r="K71" s="123">
        <v>13.981926711066233</v>
      </c>
      <c r="L71" s="127">
        <v>33.79558601309666</v>
      </c>
      <c r="M71" s="128">
        <v>66.621506555105853</v>
      </c>
      <c r="N71" s="123">
        <v>12.493147018130918</v>
      </c>
      <c r="O71" s="127">
        <v>33.849506276907633</v>
      </c>
      <c r="P71" s="128">
        <v>66.808545079428171</v>
      </c>
      <c r="Q71" s="123">
        <v>11.08899789064491</v>
      </c>
      <c r="R71" s="127">
        <v>20.015160039668679</v>
      </c>
      <c r="S71" s="128">
        <v>34.315379647245365</v>
      </c>
      <c r="T71" s="123">
        <v>13.285756740700485</v>
      </c>
      <c r="U71" s="127">
        <v>23.106214460948895</v>
      </c>
      <c r="V71" s="128">
        <v>39.49925636378341</v>
      </c>
      <c r="W71" s="123">
        <v>12.068749948161424</v>
      </c>
      <c r="X71" s="127">
        <v>21.271436704520472</v>
      </c>
      <c r="Y71" s="128">
        <v>36.724092037419105</v>
      </c>
      <c r="Z71" s="123">
        <v>14.967294945842276</v>
      </c>
      <c r="AA71" s="127">
        <v>25.581446120451766</v>
      </c>
      <c r="AB71" s="128">
        <v>42.915075571312066</v>
      </c>
      <c r="AC71" s="123">
        <v>15.084034511502885</v>
      </c>
      <c r="AD71" s="127">
        <v>25.759515591564512</v>
      </c>
      <c r="AE71" s="128">
        <v>43.232615625833915</v>
      </c>
    </row>
    <row r="72" spans="1:31" x14ac:dyDescent="0.3">
      <c r="A72" s="41">
        <v>2042</v>
      </c>
      <c r="B72" s="123">
        <v>63.873927747425085</v>
      </c>
      <c r="C72" s="127">
        <v>119.57732639306541</v>
      </c>
      <c r="D72" s="128">
        <v>233.68426061829433</v>
      </c>
      <c r="E72" s="123">
        <v>31.478940215249033</v>
      </c>
      <c r="F72" s="127">
        <v>92.670615217941872</v>
      </c>
      <c r="G72" s="128">
        <v>214.51601548641082</v>
      </c>
      <c r="H72" s="123">
        <v>25.30597238568059</v>
      </c>
      <c r="I72" s="127">
        <v>62.595137537394073</v>
      </c>
      <c r="J72" s="128">
        <v>132.1803910374002</v>
      </c>
      <c r="K72" s="123">
        <v>13.616342662818667</v>
      </c>
      <c r="L72" s="127">
        <v>33.510470326302851</v>
      </c>
      <c r="M72" s="128">
        <v>66.621506555105853</v>
      </c>
      <c r="N72" s="123">
        <v>12.252398959089287</v>
      </c>
      <c r="O72" s="127">
        <v>33.612459313457265</v>
      </c>
      <c r="P72" s="128">
        <v>66.808545079428171</v>
      </c>
      <c r="Q72" s="123">
        <v>10.881705885326911</v>
      </c>
      <c r="R72" s="127">
        <v>19.634380403904654</v>
      </c>
      <c r="S72" s="128">
        <v>33.522310462403503</v>
      </c>
      <c r="T72" s="123">
        <v>13.092490331336329</v>
      </c>
      <c r="U72" s="127">
        <v>22.695751048379737</v>
      </c>
      <c r="V72" s="128">
        <v>38.562912891419259</v>
      </c>
      <c r="W72" s="123">
        <v>11.889037839265326</v>
      </c>
      <c r="X72" s="127">
        <v>20.880034718594406</v>
      </c>
      <c r="Y72" s="128">
        <v>35.8277841099668</v>
      </c>
      <c r="Z72" s="123">
        <v>14.746846653040647</v>
      </c>
      <c r="AA72" s="127">
        <v>25.089735722236913</v>
      </c>
      <c r="AB72" s="128">
        <v>41.941387115971281</v>
      </c>
      <c r="AC72" s="123">
        <v>14.861314716690448</v>
      </c>
      <c r="AD72" s="127">
        <v>25.256557366484156</v>
      </c>
      <c r="AE72" s="128">
        <v>42.238650663510199</v>
      </c>
    </row>
    <row r="73" spans="1:31" x14ac:dyDescent="0.3">
      <c r="A73" s="41">
        <v>2043</v>
      </c>
      <c r="B73" s="123">
        <v>63.873927747425085</v>
      </c>
      <c r="C73" s="127">
        <v>119.57732639306541</v>
      </c>
      <c r="D73" s="128">
        <v>233.68426061829433</v>
      </c>
      <c r="E73" s="123">
        <v>30.815734001363989</v>
      </c>
      <c r="F73" s="127">
        <v>92.132902963758113</v>
      </c>
      <c r="G73" s="128">
        <v>214.51601548641082</v>
      </c>
      <c r="H73" s="123">
        <v>24.78543951663826</v>
      </c>
      <c r="I73" s="127">
        <v>62.162795159403522</v>
      </c>
      <c r="J73" s="128">
        <v>132.1803910374002</v>
      </c>
      <c r="K73" s="123">
        <v>13.186193505496561</v>
      </c>
      <c r="L73" s="127">
        <v>33.196002332550584</v>
      </c>
      <c r="M73" s="128">
        <v>66.621506555105853</v>
      </c>
      <c r="N73" s="123">
        <v>12.012321363286397</v>
      </c>
      <c r="O73" s="127">
        <v>33.375879998428417</v>
      </c>
      <c r="P73" s="128">
        <v>66.808545079428171</v>
      </c>
      <c r="Q73" s="123">
        <v>10.676243679872469</v>
      </c>
      <c r="R73" s="127">
        <v>19.256606998917814</v>
      </c>
      <c r="S73" s="128">
        <v>32.735624947149788</v>
      </c>
      <c r="T73" s="123">
        <v>12.900263378692115</v>
      </c>
      <c r="U73" s="127">
        <v>22.289053594445086</v>
      </c>
      <c r="V73" s="128">
        <v>37.63692259691269</v>
      </c>
      <c r="W73" s="123">
        <v>11.710269055106691</v>
      </c>
      <c r="X73" s="127">
        <v>20.49221462082269</v>
      </c>
      <c r="Y73" s="128">
        <v>34.941382305433883</v>
      </c>
      <c r="Z73" s="123">
        <v>14.527976642032915</v>
      </c>
      <c r="AA73" s="127">
        <v>24.602557154089094</v>
      </c>
      <c r="AB73" s="128">
        <v>40.979775336810022</v>
      </c>
      <c r="AC73" s="123">
        <v>14.640190398224741</v>
      </c>
      <c r="AD73" s="127">
        <v>24.758295610407046</v>
      </c>
      <c r="AE73" s="128">
        <v>41.257111552563273</v>
      </c>
    </row>
    <row r="74" spans="1:31" x14ac:dyDescent="0.3">
      <c r="A74" s="41">
        <v>2044</v>
      </c>
      <c r="B74" s="123">
        <v>63.873927747425085</v>
      </c>
      <c r="C74" s="127">
        <v>119.57732639306541</v>
      </c>
      <c r="D74" s="128">
        <v>233.68426061829433</v>
      </c>
      <c r="E74" s="123">
        <v>30.152527787478942</v>
      </c>
      <c r="F74" s="127">
        <v>91.595190709574339</v>
      </c>
      <c r="G74" s="128">
        <v>214.51601548641082</v>
      </c>
      <c r="H74" s="123">
        <v>24.264906647595939</v>
      </c>
      <c r="I74" s="127">
        <v>61.730452781413</v>
      </c>
      <c r="J74" s="128">
        <v>132.1803910374002</v>
      </c>
      <c r="K74" s="123">
        <v>12.756995363786761</v>
      </c>
      <c r="L74" s="127">
        <v>32.882114081243202</v>
      </c>
      <c r="M74" s="128">
        <v>66.621506555105853</v>
      </c>
      <c r="N74" s="123">
        <v>11.772911433840603</v>
      </c>
      <c r="O74" s="127">
        <v>33.139766746917019</v>
      </c>
      <c r="P74" s="128">
        <v>66.808545079428171</v>
      </c>
      <c r="Q74" s="123">
        <v>10.472587152837079</v>
      </c>
      <c r="R74" s="127">
        <v>18.881803137140995</v>
      </c>
      <c r="S74" s="128">
        <v>31.955246334124503</v>
      </c>
      <c r="T74" s="123">
        <v>12.709063467251745</v>
      </c>
      <c r="U74" s="127">
        <v>21.886065305527648</v>
      </c>
      <c r="V74" s="128">
        <v>36.721115032900705</v>
      </c>
      <c r="W74" s="123">
        <v>11.532432808021561</v>
      </c>
      <c r="X74" s="127">
        <v>20.107922613622062</v>
      </c>
      <c r="Y74" s="128">
        <v>34.064723565794964</v>
      </c>
      <c r="Z74" s="123">
        <v>14.310667779354175</v>
      </c>
      <c r="AA74" s="127">
        <v>24.11984340035583</v>
      </c>
      <c r="AB74" s="128">
        <v>40.030016942589974</v>
      </c>
      <c r="AC74" s="123">
        <v>14.420644222853278</v>
      </c>
      <c r="AD74" s="127">
        <v>24.264660062839503</v>
      </c>
      <c r="AE74" s="128">
        <v>40.287767297662647</v>
      </c>
    </row>
    <row r="75" spans="1:31" x14ac:dyDescent="0.3">
      <c r="A75" s="41">
        <v>2045</v>
      </c>
      <c r="B75" s="123">
        <v>63.873927747425085</v>
      </c>
      <c r="C75" s="127">
        <v>119.57732639306541</v>
      </c>
      <c r="D75" s="128">
        <v>233.68426061829433</v>
      </c>
      <c r="E75" s="123">
        <v>29.489321573593894</v>
      </c>
      <c r="F75" s="127">
        <v>91.057478455390594</v>
      </c>
      <c r="G75" s="128">
        <v>214.51601548641082</v>
      </c>
      <c r="H75" s="123">
        <v>23.744373778553619</v>
      </c>
      <c r="I75" s="127">
        <v>61.298110403422456</v>
      </c>
      <c r="J75" s="128">
        <v>132.1803910374002</v>
      </c>
      <c r="K75" s="123">
        <v>12.734097107736279</v>
      </c>
      <c r="L75" s="127">
        <v>32.753996834200152</v>
      </c>
      <c r="M75" s="128">
        <v>66.621506555105853</v>
      </c>
      <c r="N75" s="123">
        <v>11.53416638940516</v>
      </c>
      <c r="O75" s="127">
        <v>32.904117981895233</v>
      </c>
      <c r="P75" s="128">
        <v>66.808545079428171</v>
      </c>
      <c r="Q75" s="123">
        <v>10.270712604897835</v>
      </c>
      <c r="R75" s="127">
        <v>18.509932744774893</v>
      </c>
      <c r="S75" s="128">
        <v>31.18109908195008</v>
      </c>
      <c r="T75" s="123">
        <v>12.518878488638265</v>
      </c>
      <c r="U75" s="127">
        <v>21.48673059719475</v>
      </c>
      <c r="V75" s="128">
        <v>35.815323470248401</v>
      </c>
      <c r="W75" s="123">
        <v>11.355518568393396</v>
      </c>
      <c r="X75" s="127">
        <v>19.727106038445047</v>
      </c>
      <c r="Y75" s="128">
        <v>33.197648389795873</v>
      </c>
      <c r="Z75" s="123">
        <v>14.09490318319625</v>
      </c>
      <c r="AA75" s="127">
        <v>23.641528827297503</v>
      </c>
      <c r="AB75" s="128">
        <v>39.091894113062892</v>
      </c>
      <c r="AC75" s="123">
        <v>14.202659112156663</v>
      </c>
      <c r="AD75" s="127">
        <v>23.775581925245142</v>
      </c>
      <c r="AE75" s="128">
        <v>39.330392584346399</v>
      </c>
    </row>
    <row r="76" spans="1:31" x14ac:dyDescent="0.3">
      <c r="A76" s="41">
        <v>2046</v>
      </c>
      <c r="B76" s="123">
        <v>63.873927747425085</v>
      </c>
      <c r="C76" s="127">
        <v>119.57732639306541</v>
      </c>
      <c r="D76" s="128">
        <v>233.68426061829433</v>
      </c>
      <c r="E76" s="123">
        <v>28.826115359708854</v>
      </c>
      <c r="F76" s="127">
        <v>90.519766201206835</v>
      </c>
      <c r="G76" s="128">
        <v>214.51601548641082</v>
      </c>
      <c r="H76" s="123">
        <v>23.223840909511296</v>
      </c>
      <c r="I76" s="127">
        <v>60.865768025431912</v>
      </c>
      <c r="J76" s="128">
        <v>132.1803910374002</v>
      </c>
      <c r="K76" s="123">
        <v>11.962963135220292</v>
      </c>
      <c r="L76" s="127">
        <v>32.284178236624328</v>
      </c>
      <c r="M76" s="128">
        <v>66.621506555105853</v>
      </c>
      <c r="N76" s="123">
        <v>11.341795660291311</v>
      </c>
      <c r="O76" s="127">
        <v>32.689816641763294</v>
      </c>
      <c r="P76" s="128">
        <v>66.808545079428171</v>
      </c>
      <c r="Q76" s="123">
        <v>10.070596749659829</v>
      </c>
      <c r="R76" s="127">
        <v>18.140960348628123</v>
      </c>
      <c r="S76" s="128">
        <v>30.413108850854602</v>
      </c>
      <c r="T76" s="123">
        <v>12.32969662967373</v>
      </c>
      <c r="U76" s="127">
        <v>21.090995060686041</v>
      </c>
      <c r="V76" s="128">
        <v>34.919384797241243</v>
      </c>
      <c r="W76" s="123">
        <v>11.17951605475054</v>
      </c>
      <c r="X76" s="127">
        <v>19.349713344446489</v>
      </c>
      <c r="Y76" s="128">
        <v>32.340000736526264</v>
      </c>
      <c r="Z76" s="123">
        <v>13.880666218700149</v>
      </c>
      <c r="AA76" s="127">
        <v>23.167549146402351</v>
      </c>
      <c r="AB76" s="128">
        <v>38.165194332430751</v>
      </c>
      <c r="AC76" s="123">
        <v>13.98621823777621</v>
      </c>
      <c r="AD76" s="127">
        <v>23.290993821986202</v>
      </c>
      <c r="AE76" s="128">
        <v>38.384767605647866</v>
      </c>
    </row>
    <row r="77" spans="1:31" x14ac:dyDescent="0.3">
      <c r="A77" s="41">
        <v>2047</v>
      </c>
      <c r="B77" s="123">
        <v>63.873927747425085</v>
      </c>
      <c r="C77" s="127">
        <v>119.57732639306541</v>
      </c>
      <c r="D77" s="128">
        <v>233.68426061829433</v>
      </c>
      <c r="E77" s="123">
        <v>28.162909145823807</v>
      </c>
      <c r="F77" s="127">
        <v>89.982053947023047</v>
      </c>
      <c r="G77" s="128">
        <v>214.51601548641082</v>
      </c>
      <c r="H77" s="123">
        <v>22.703308040468968</v>
      </c>
      <c r="I77" s="127">
        <v>60.433425647441382</v>
      </c>
      <c r="J77" s="128">
        <v>132.1803910374002</v>
      </c>
      <c r="K77" s="123">
        <v>11.59798721641209</v>
      </c>
      <c r="L77" s="127">
        <v>32.000065310286821</v>
      </c>
      <c r="M77" s="128">
        <v>66.621506555105853</v>
      </c>
      <c r="N77" s="123">
        <v>11.149957700158277</v>
      </c>
      <c r="O77" s="127">
        <v>32.475918818034572</v>
      </c>
      <c r="P77" s="128">
        <v>66.808545079428171</v>
      </c>
      <c r="Q77" s="123">
        <v>9.8722167047017848</v>
      </c>
      <c r="R77" s="127">
        <v>17.774851063303505</v>
      </c>
      <c r="S77" s="128">
        <v>29.651202478874588</v>
      </c>
      <c r="T77" s="123">
        <v>12.141506361035198</v>
      </c>
      <c r="U77" s="127">
        <v>20.698805430556838</v>
      </c>
      <c r="V77" s="128">
        <v>34.03313942203895</v>
      </c>
      <c r="W77" s="123">
        <v>11.004415224356334</v>
      </c>
      <c r="X77" s="127">
        <v>18.975694058219922</v>
      </c>
      <c r="Y77" s="128">
        <v>31.491627932112038</v>
      </c>
      <c r="Z77" s="123">
        <v>13.667940493356539</v>
      </c>
      <c r="AA77" s="127">
        <v>22.697841378892853</v>
      </c>
      <c r="AB77" s="128">
        <v>37.249710228852621</v>
      </c>
      <c r="AC77" s="123">
        <v>13.771305016751178</v>
      </c>
      <c r="AD77" s="127">
        <v>22.810829762538447</v>
      </c>
      <c r="AE77" s="128">
        <v>37.45067789502837</v>
      </c>
    </row>
    <row r="78" spans="1:31" x14ac:dyDescent="0.3">
      <c r="A78" s="41">
        <v>2048</v>
      </c>
      <c r="B78" s="123">
        <v>63.873927747425085</v>
      </c>
      <c r="C78" s="127">
        <v>119.57732639306541</v>
      </c>
      <c r="D78" s="128">
        <v>233.68426061829433</v>
      </c>
      <c r="E78" s="123">
        <v>27.499702931938767</v>
      </c>
      <c r="F78" s="127">
        <v>89.444341692839302</v>
      </c>
      <c r="G78" s="128">
        <v>214.51601548641082</v>
      </c>
      <c r="H78" s="123">
        <v>22.182775171426648</v>
      </c>
      <c r="I78" s="127">
        <v>60.001083269450838</v>
      </c>
      <c r="J78" s="128">
        <v>132.1803910374002</v>
      </c>
      <c r="K78" s="123">
        <v>11.233814669533187</v>
      </c>
      <c r="L78" s="127">
        <v>31.716463603826227</v>
      </c>
      <c r="M78" s="128">
        <v>66.621506555105853</v>
      </c>
      <c r="N78" s="123">
        <v>10.958650298818347</v>
      </c>
      <c r="O78" s="127">
        <v>32.262423196948347</v>
      </c>
      <c r="P78" s="128">
        <v>66.808545079428171</v>
      </c>
      <c r="Q78" s="123">
        <v>9.6755499828536653</v>
      </c>
      <c r="R78" s="127">
        <v>17.411570578719598</v>
      </c>
      <c r="S78" s="128">
        <v>28.89530795862122</v>
      </c>
      <c r="T78" s="123">
        <v>11.954296426471737</v>
      </c>
      <c r="U78" s="127">
        <v>20.31010955342871</v>
      </c>
      <c r="V78" s="128">
        <v>33.156431178268512</v>
      </c>
      <c r="W78" s="123">
        <v>10.830206264262817</v>
      </c>
      <c r="X78" s="127">
        <v>18.60499875455962</v>
      </c>
      <c r="Y78" s="128">
        <v>30.652380579410416</v>
      </c>
      <c r="Z78" s="123">
        <v>13.45670985251137</v>
      </c>
      <c r="AA78" s="127">
        <v>22.232343821377626</v>
      </c>
      <c r="AB78" s="128">
        <v>36.345239419743613</v>
      </c>
      <c r="AC78" s="123">
        <v>13.557903106962732</v>
      </c>
      <c r="AD78" s="127">
        <v>22.33502510493075</v>
      </c>
      <c r="AE78" s="128">
        <v>36.527914165350012</v>
      </c>
    </row>
    <row r="79" spans="1:31" x14ac:dyDescent="0.3">
      <c r="A79" s="41">
        <v>2049</v>
      </c>
      <c r="B79" s="123">
        <v>63.873927747425085</v>
      </c>
      <c r="C79" s="127">
        <v>119.57732639306541</v>
      </c>
      <c r="D79" s="128">
        <v>233.68426061829433</v>
      </c>
      <c r="E79" s="123">
        <v>26.83649671805372</v>
      </c>
      <c r="F79" s="127">
        <v>88.906629438655528</v>
      </c>
      <c r="G79" s="128">
        <v>214.51601548641082</v>
      </c>
      <c r="H79" s="123">
        <v>21.662242302384325</v>
      </c>
      <c r="I79" s="127">
        <v>59.568740891460315</v>
      </c>
      <c r="J79" s="128">
        <v>132.1803910374002</v>
      </c>
      <c r="K79" s="123">
        <v>10.8704428449694</v>
      </c>
      <c r="L79" s="127">
        <v>31.433371641185119</v>
      </c>
      <c r="M79" s="128">
        <v>66.621506555105853</v>
      </c>
      <c r="N79" s="123">
        <v>10.767871258292201</v>
      </c>
      <c r="O79" s="127">
        <v>32.049328471090568</v>
      </c>
      <c r="P79" s="128">
        <v>66.808545079428171</v>
      </c>
      <c r="Q79" s="123">
        <v>9.4805744836993675</v>
      </c>
      <c r="R79" s="127">
        <v>17.051085147957153</v>
      </c>
      <c r="S79" s="128">
        <v>28.145354414594198</v>
      </c>
      <c r="T79" s="123">
        <v>11.768055832549598</v>
      </c>
      <c r="U79" s="127">
        <v>19.924856357801534</v>
      </c>
      <c r="V79" s="128">
        <v>32.289107233639093</v>
      </c>
      <c r="W79" s="123">
        <v>10.656879582800961</v>
      </c>
      <c r="X79" s="127">
        <v>18.237579028206362</v>
      </c>
      <c r="Y79" s="128">
        <v>29.822112470595627</v>
      </c>
      <c r="Z79" s="123">
        <v>13.246958374973701</v>
      </c>
      <c r="AA79" s="127">
        <v>21.770996012605309</v>
      </c>
      <c r="AB79" s="128">
        <v>35.451584362623379</v>
      </c>
      <c r="AC79" s="123">
        <v>13.345996402681667</v>
      </c>
      <c r="AD79" s="127">
        <v>21.863516520362474</v>
      </c>
      <c r="AE79" s="128">
        <v>35.616272153635464</v>
      </c>
    </row>
    <row r="80" spans="1:31" ht="15" thickBot="1" x14ac:dyDescent="0.35">
      <c r="A80" s="42">
        <v>2050</v>
      </c>
      <c r="B80" s="124">
        <v>63.873927747425085</v>
      </c>
      <c r="C80" s="129">
        <v>119.57732639306541</v>
      </c>
      <c r="D80" s="130">
        <v>233.68426061829433</v>
      </c>
      <c r="E80" s="124">
        <v>26.173290504168673</v>
      </c>
      <c r="F80" s="129">
        <v>88.368917184471783</v>
      </c>
      <c r="G80" s="130">
        <v>214.51601548641082</v>
      </c>
      <c r="H80" s="124">
        <v>21.141709433341997</v>
      </c>
      <c r="I80" s="129">
        <v>59.13639851346975</v>
      </c>
      <c r="J80" s="130">
        <v>132.1803910374002</v>
      </c>
      <c r="K80" s="124">
        <v>10.724838947119462</v>
      </c>
      <c r="L80" s="129">
        <v>31.249914852673633</v>
      </c>
      <c r="M80" s="130">
        <v>66.621506555105853</v>
      </c>
      <c r="N80" s="124">
        <v>10.577618392724704</v>
      </c>
      <c r="O80" s="129">
        <v>31.836633339353053</v>
      </c>
      <c r="P80" s="130">
        <v>66.808545079428171</v>
      </c>
      <c r="Q80" s="124">
        <v>9.2872684852976395</v>
      </c>
      <c r="R80" s="129">
        <v>16.693361575420475</v>
      </c>
      <c r="S80" s="130">
        <v>27.401272081028676</v>
      </c>
      <c r="T80" s="124">
        <v>11.582773838895099</v>
      </c>
      <c r="U80" s="129">
        <v>19.542995824883182</v>
      </c>
      <c r="V80" s="130">
        <v>31.431018001466615</v>
      </c>
      <c r="W80" s="124">
        <v>10.484425801482235</v>
      </c>
      <c r="X80" s="129">
        <v>17.873387466536837</v>
      </c>
      <c r="Y80" s="130">
        <v>29.000680502527796</v>
      </c>
      <c r="Z80" s="124">
        <v>13.038670368722958</v>
      </c>
      <c r="AA80" s="129">
        <v>21.313738701278513</v>
      </c>
      <c r="AB80" s="130">
        <v>34.568552211283475</v>
      </c>
      <c r="AC80" s="124">
        <v>13.135569030217065</v>
      </c>
      <c r="AD80" s="129">
        <v>21.396241958953979</v>
      </c>
      <c r="AE80" s="130">
        <v>34.715552471373719</v>
      </c>
    </row>
    <row r="81" spans="1:57" ht="15" thickBot="1" x14ac:dyDescent="0.35">
      <c r="A81" s="237"/>
      <c r="B81" s="127"/>
      <c r="C81" s="127"/>
      <c r="D81" s="127"/>
      <c r="E81" s="127"/>
      <c r="F81" s="127"/>
      <c r="G81" s="127"/>
      <c r="H81" s="20"/>
      <c r="I81" s="20"/>
      <c r="J81" s="20"/>
      <c r="K81" s="20"/>
      <c r="L81" s="20"/>
      <c r="M81" s="20"/>
      <c r="N81" s="20"/>
      <c r="O81" s="20"/>
      <c r="P81" s="20"/>
      <c r="Q81" s="20"/>
      <c r="R81" s="20"/>
      <c r="S81" s="20"/>
      <c r="T81" s="20"/>
      <c r="U81" s="20"/>
      <c r="V81" s="20"/>
      <c r="W81" s="20"/>
      <c r="X81" s="20"/>
      <c r="Y81" s="20"/>
      <c r="Z81" s="20"/>
      <c r="AA81" s="20"/>
      <c r="AB81" s="20"/>
      <c r="AC81" s="20"/>
      <c r="AD81" s="20"/>
      <c r="AE81" s="20"/>
    </row>
    <row r="82" spans="1:57" ht="18.600000000000001" thickBot="1" x14ac:dyDescent="0.4">
      <c r="A82" s="289" t="s">
        <v>0</v>
      </c>
      <c r="B82" s="350" t="s">
        <v>417</v>
      </c>
      <c r="C82" s="351"/>
      <c r="D82" s="351"/>
      <c r="E82" s="351"/>
      <c r="F82" s="351"/>
      <c r="G82" s="351"/>
      <c r="H82" s="351"/>
      <c r="I82" s="351"/>
      <c r="J82" s="351"/>
      <c r="K82" s="351"/>
      <c r="L82" s="351"/>
      <c r="M82" s="351"/>
      <c r="N82" s="351"/>
      <c r="O82" s="351"/>
      <c r="P82" s="351"/>
      <c r="Q82" s="351"/>
      <c r="R82" s="351"/>
      <c r="S82" s="351"/>
      <c r="T82" s="351"/>
      <c r="U82" s="351"/>
      <c r="V82" s="351"/>
      <c r="W82" s="351"/>
      <c r="X82" s="351"/>
      <c r="Y82" s="351"/>
      <c r="Z82" s="351"/>
      <c r="AA82" s="351"/>
      <c r="AB82" s="352"/>
      <c r="AD82" s="289" t="s">
        <v>0</v>
      </c>
      <c r="AE82" s="350" t="s">
        <v>418</v>
      </c>
      <c r="AF82" s="351"/>
      <c r="AG82" s="351"/>
      <c r="AH82" s="351"/>
      <c r="AI82" s="351"/>
      <c r="AJ82" s="351"/>
      <c r="AK82" s="351"/>
      <c r="AL82" s="351"/>
      <c r="AM82" s="351"/>
      <c r="AN82" s="351"/>
      <c r="AO82" s="351"/>
      <c r="AP82" s="351"/>
      <c r="AQ82" s="351"/>
      <c r="AR82" s="351"/>
      <c r="AS82" s="351"/>
      <c r="AT82" s="351"/>
      <c r="AU82" s="351"/>
      <c r="AV82" s="351"/>
      <c r="AW82" s="351"/>
      <c r="AX82" s="351"/>
      <c r="AY82" s="351"/>
      <c r="AZ82" s="351"/>
      <c r="BA82" s="351"/>
      <c r="BB82" s="351"/>
      <c r="BC82" s="351"/>
      <c r="BD82" s="351"/>
      <c r="BE82" s="352"/>
    </row>
    <row r="83" spans="1:57" ht="18.600000000000001" thickBot="1" x14ac:dyDescent="0.35">
      <c r="A83" s="344"/>
      <c r="B83" s="338" t="s">
        <v>413</v>
      </c>
      <c r="C83" s="339"/>
      <c r="D83" s="340"/>
      <c r="E83" s="338" t="s">
        <v>414</v>
      </c>
      <c r="F83" s="339"/>
      <c r="G83" s="340"/>
      <c r="H83" s="338" t="s">
        <v>415</v>
      </c>
      <c r="I83" s="339"/>
      <c r="J83" s="340"/>
      <c r="K83" s="338" t="s">
        <v>416</v>
      </c>
      <c r="L83" s="339"/>
      <c r="M83" s="340"/>
      <c r="N83" s="338" t="s">
        <v>406</v>
      </c>
      <c r="O83" s="339"/>
      <c r="P83" s="340"/>
      <c r="Q83" s="338" t="s">
        <v>407</v>
      </c>
      <c r="R83" s="339"/>
      <c r="S83" s="340"/>
      <c r="T83" s="338" t="s">
        <v>408</v>
      </c>
      <c r="U83" s="339"/>
      <c r="V83" s="340"/>
      <c r="W83" s="338" t="s">
        <v>312</v>
      </c>
      <c r="X83" s="339"/>
      <c r="Y83" s="340"/>
      <c r="Z83" s="338" t="s">
        <v>409</v>
      </c>
      <c r="AA83" s="339"/>
      <c r="AB83" s="340"/>
      <c r="AD83" s="344"/>
      <c r="AE83" s="338" t="s">
        <v>413</v>
      </c>
      <c r="AF83" s="339"/>
      <c r="AG83" s="340"/>
      <c r="AH83" s="338" t="s">
        <v>414</v>
      </c>
      <c r="AI83" s="339"/>
      <c r="AJ83" s="340"/>
      <c r="AK83" s="338" t="s">
        <v>415</v>
      </c>
      <c r="AL83" s="339"/>
      <c r="AM83" s="340"/>
      <c r="AN83" s="338" t="s">
        <v>416</v>
      </c>
      <c r="AO83" s="339"/>
      <c r="AP83" s="340"/>
      <c r="AQ83" s="338" t="s">
        <v>406</v>
      </c>
      <c r="AR83" s="339"/>
      <c r="AS83" s="340"/>
      <c r="AT83" s="338" t="s">
        <v>407</v>
      </c>
      <c r="AU83" s="339"/>
      <c r="AV83" s="340"/>
      <c r="AW83" s="338" t="s">
        <v>408</v>
      </c>
      <c r="AX83" s="339"/>
      <c r="AY83" s="340"/>
      <c r="AZ83" s="338" t="s">
        <v>312</v>
      </c>
      <c r="BA83" s="339"/>
      <c r="BB83" s="340"/>
      <c r="BC83" s="338" t="s">
        <v>409</v>
      </c>
      <c r="BD83" s="339"/>
      <c r="BE83" s="340"/>
    </row>
    <row r="84" spans="1:57" ht="15" thickBot="1" x14ac:dyDescent="0.35">
      <c r="A84" s="290"/>
      <c r="B84" s="78" t="s">
        <v>69</v>
      </c>
      <c r="C84" s="79" t="s">
        <v>70</v>
      </c>
      <c r="D84" s="80" t="s">
        <v>71</v>
      </c>
      <c r="E84" s="78" t="s">
        <v>69</v>
      </c>
      <c r="F84" s="79" t="s">
        <v>70</v>
      </c>
      <c r="G84" s="80" t="s">
        <v>71</v>
      </c>
      <c r="H84" s="78" t="s">
        <v>69</v>
      </c>
      <c r="I84" s="79" t="s">
        <v>70</v>
      </c>
      <c r="J84" s="80" t="s">
        <v>71</v>
      </c>
      <c r="K84" s="78" t="s">
        <v>69</v>
      </c>
      <c r="L84" s="79" t="s">
        <v>70</v>
      </c>
      <c r="M84" s="80" t="s">
        <v>71</v>
      </c>
      <c r="N84" s="78" t="s">
        <v>69</v>
      </c>
      <c r="O84" s="79" t="s">
        <v>70</v>
      </c>
      <c r="P84" s="80" t="s">
        <v>71</v>
      </c>
      <c r="Q84" s="78" t="s">
        <v>69</v>
      </c>
      <c r="R84" s="79" t="s">
        <v>70</v>
      </c>
      <c r="S84" s="80" t="s">
        <v>71</v>
      </c>
      <c r="T84" s="78" t="s">
        <v>69</v>
      </c>
      <c r="U84" s="79" t="s">
        <v>70</v>
      </c>
      <c r="V84" s="80" t="s">
        <v>71</v>
      </c>
      <c r="W84" s="78" t="s">
        <v>69</v>
      </c>
      <c r="X84" s="79" t="s">
        <v>70</v>
      </c>
      <c r="Y84" s="80" t="s">
        <v>71</v>
      </c>
      <c r="Z84" s="78" t="s">
        <v>69</v>
      </c>
      <c r="AA84" s="79" t="s">
        <v>70</v>
      </c>
      <c r="AB84" s="80" t="s">
        <v>71</v>
      </c>
      <c r="AD84" s="290"/>
      <c r="AE84" s="78" t="s">
        <v>69</v>
      </c>
      <c r="AF84" s="79" t="s">
        <v>70</v>
      </c>
      <c r="AG84" s="80" t="s">
        <v>71</v>
      </c>
      <c r="AH84" s="78" t="s">
        <v>69</v>
      </c>
      <c r="AI84" s="79" t="s">
        <v>70</v>
      </c>
      <c r="AJ84" s="80" t="s">
        <v>71</v>
      </c>
      <c r="AK84" s="78" t="s">
        <v>69</v>
      </c>
      <c r="AL84" s="79" t="s">
        <v>70</v>
      </c>
      <c r="AM84" s="80" t="s">
        <v>71</v>
      </c>
      <c r="AN84" s="78" t="s">
        <v>69</v>
      </c>
      <c r="AO84" s="79" t="s">
        <v>70</v>
      </c>
      <c r="AP84" s="80" t="s">
        <v>71</v>
      </c>
      <c r="AQ84" s="78" t="s">
        <v>69</v>
      </c>
      <c r="AR84" s="79" t="s">
        <v>70</v>
      </c>
      <c r="AS84" s="80" t="s">
        <v>71</v>
      </c>
      <c r="AT84" s="78" t="s">
        <v>69</v>
      </c>
      <c r="AU84" s="79" t="s">
        <v>70</v>
      </c>
      <c r="AV84" s="80" t="s">
        <v>71</v>
      </c>
      <c r="AW84" s="78" t="s">
        <v>69</v>
      </c>
      <c r="AX84" s="79" t="s">
        <v>70</v>
      </c>
      <c r="AY84" s="80" t="s">
        <v>71</v>
      </c>
      <c r="AZ84" s="78" t="s">
        <v>69</v>
      </c>
      <c r="BA84" s="79" t="s">
        <v>70</v>
      </c>
      <c r="BB84" s="80" t="s">
        <v>71</v>
      </c>
      <c r="BC84" s="78" t="s">
        <v>69</v>
      </c>
      <c r="BD84" s="79" t="s">
        <v>70</v>
      </c>
      <c r="BE84" s="80" t="s">
        <v>71</v>
      </c>
    </row>
    <row r="85" spans="1:57" x14ac:dyDescent="0.3">
      <c r="A85" s="41">
        <v>2015</v>
      </c>
      <c r="B85" s="122">
        <v>4087.148651784471</v>
      </c>
      <c r="C85" s="125">
        <v>4087.148651784471</v>
      </c>
      <c r="D85" s="126">
        <v>4087.148651784471</v>
      </c>
      <c r="E85" s="122">
        <v>5151.7113972263542</v>
      </c>
      <c r="F85" s="125">
        <v>5151.7113972263542</v>
      </c>
      <c r="G85" s="126">
        <v>5151.7113972263542</v>
      </c>
      <c r="H85" s="122"/>
      <c r="I85" s="125"/>
      <c r="J85" s="126"/>
      <c r="K85" s="122"/>
      <c r="L85" s="125"/>
      <c r="M85" s="126"/>
      <c r="N85" s="238"/>
      <c r="O85" s="239"/>
      <c r="P85" s="240"/>
      <c r="Q85" s="238"/>
      <c r="R85" s="239"/>
      <c r="S85" s="240"/>
      <c r="T85" s="238"/>
      <c r="U85" s="239"/>
      <c r="V85" s="240"/>
      <c r="W85" s="238"/>
      <c r="X85" s="239"/>
      <c r="Y85" s="240"/>
      <c r="Z85" s="238"/>
      <c r="AA85" s="239"/>
      <c r="AB85" s="240"/>
      <c r="AD85" s="41">
        <v>2015</v>
      </c>
      <c r="AE85" s="122">
        <v>2968.8312641833513</v>
      </c>
      <c r="AF85" s="125">
        <v>2968.8312641833504</v>
      </c>
      <c r="AG85" s="126">
        <v>2968.8312641833513</v>
      </c>
      <c r="AH85" s="122">
        <v>3154.7906612035949</v>
      </c>
      <c r="AI85" s="125">
        <v>3154.7906612035954</v>
      </c>
      <c r="AJ85" s="126">
        <v>3154.7906612035949</v>
      </c>
      <c r="AK85" s="122"/>
      <c r="AL85" s="125"/>
      <c r="AM85" s="126"/>
      <c r="AN85" s="122"/>
      <c r="AO85" s="125"/>
      <c r="AP85" s="126"/>
      <c r="AQ85" s="122"/>
      <c r="AR85" s="125"/>
      <c r="AS85" s="126"/>
      <c r="AT85" s="122"/>
      <c r="AU85" s="125"/>
      <c r="AV85" s="126"/>
      <c r="AW85" s="122"/>
      <c r="AX85" s="125"/>
      <c r="AY85" s="126"/>
      <c r="AZ85" s="122"/>
      <c r="BA85" s="125"/>
      <c r="BB85" s="126"/>
      <c r="BC85" s="122"/>
      <c r="BD85" s="125"/>
      <c r="BE85" s="126"/>
    </row>
    <row r="86" spans="1:57" x14ac:dyDescent="0.3">
      <c r="A86" s="41">
        <v>2016</v>
      </c>
      <c r="B86" s="123">
        <v>3708.8133780939183</v>
      </c>
      <c r="C86" s="127">
        <v>3886.8950670878276</v>
      </c>
      <c r="D86" s="128">
        <v>4087.148651784471</v>
      </c>
      <c r="E86" s="123">
        <v>3752.6822768812376</v>
      </c>
      <c r="F86" s="127">
        <v>3752.6822768812381</v>
      </c>
      <c r="G86" s="128">
        <v>3752.6822768812376</v>
      </c>
      <c r="H86" s="123">
        <v>4727.555215930669</v>
      </c>
      <c r="I86" s="127">
        <v>4727.555215930669</v>
      </c>
      <c r="J86" s="128">
        <v>4727.555215930669</v>
      </c>
      <c r="K86" s="123"/>
      <c r="L86" s="127"/>
      <c r="M86" s="128"/>
      <c r="N86" s="241"/>
      <c r="O86" s="242"/>
      <c r="P86" s="243"/>
      <c r="Q86" s="241"/>
      <c r="R86" s="242"/>
      <c r="S86" s="243"/>
      <c r="T86" s="241"/>
      <c r="U86" s="242"/>
      <c r="V86" s="243"/>
      <c r="W86" s="241"/>
      <c r="X86" s="242"/>
      <c r="Y86" s="243"/>
      <c r="Z86" s="241"/>
      <c r="AA86" s="242"/>
      <c r="AB86" s="243"/>
      <c r="AD86" s="41">
        <v>2016</v>
      </c>
      <c r="AE86" s="123">
        <v>2685.0957566813072</v>
      </c>
      <c r="AF86" s="127">
        <v>2839.0600765462254</v>
      </c>
      <c r="AG86" s="128">
        <v>2968.8312641833513</v>
      </c>
      <c r="AH86" s="123">
        <v>2790.6537720250299</v>
      </c>
      <c r="AI86" s="127">
        <v>2790.6537720250299</v>
      </c>
      <c r="AJ86" s="128">
        <v>2790.6537720250299</v>
      </c>
      <c r="AK86" s="123">
        <v>3246.6888192455322</v>
      </c>
      <c r="AL86" s="127">
        <v>3246.6888192455317</v>
      </c>
      <c r="AM86" s="128">
        <v>3246.6888192455322</v>
      </c>
      <c r="AN86" s="123"/>
      <c r="AO86" s="127"/>
      <c r="AP86" s="128"/>
      <c r="AQ86" s="123"/>
      <c r="AR86" s="127"/>
      <c r="AS86" s="128"/>
      <c r="AT86" s="123"/>
      <c r="AU86" s="127"/>
      <c r="AV86" s="128"/>
      <c r="AW86" s="123"/>
      <c r="AX86" s="127"/>
      <c r="AY86" s="128"/>
      <c r="AZ86" s="123"/>
      <c r="BA86" s="127"/>
      <c r="BB86" s="128"/>
      <c r="BC86" s="123"/>
      <c r="BD86" s="127"/>
      <c r="BE86" s="128"/>
    </row>
    <row r="87" spans="1:57" x14ac:dyDescent="0.3">
      <c r="A87" s="41">
        <v>2017</v>
      </c>
      <c r="B87" s="123">
        <v>3330.4781044033657</v>
      </c>
      <c r="C87" s="127">
        <v>3686.6414823911841</v>
      </c>
      <c r="D87" s="128">
        <v>4087.148651784471</v>
      </c>
      <c r="E87" s="123">
        <v>3171.1573772922025</v>
      </c>
      <c r="F87" s="127">
        <v>3502.6132180578134</v>
      </c>
      <c r="G87" s="128">
        <v>3752.6822768812376</v>
      </c>
      <c r="H87" s="123">
        <v>3621.7285278957156</v>
      </c>
      <c r="I87" s="127">
        <v>3621.7285278957143</v>
      </c>
      <c r="J87" s="128">
        <v>3621.7285278957156</v>
      </c>
      <c r="K87" s="123">
        <v>3406.7743526575186</v>
      </c>
      <c r="L87" s="127">
        <v>3406.7743526575186</v>
      </c>
      <c r="M87" s="128">
        <v>3406.7743526575186</v>
      </c>
      <c r="N87" s="241"/>
      <c r="O87" s="242"/>
      <c r="P87" s="243"/>
      <c r="Q87" s="241"/>
      <c r="R87" s="242"/>
      <c r="S87" s="243"/>
      <c r="T87" s="241"/>
      <c r="U87" s="242"/>
      <c r="V87" s="243"/>
      <c r="W87" s="241"/>
      <c r="X87" s="242"/>
      <c r="Y87" s="243"/>
      <c r="Z87" s="241"/>
      <c r="AA87" s="242"/>
      <c r="AB87" s="243"/>
      <c r="AD87" s="41">
        <v>2017</v>
      </c>
      <c r="AE87" s="123">
        <v>2401.3602491792631</v>
      </c>
      <c r="AF87" s="127">
        <v>2709.2888889091005</v>
      </c>
      <c r="AG87" s="128">
        <v>2968.8312641833513</v>
      </c>
      <c r="AH87" s="123">
        <v>2096.2064194043819</v>
      </c>
      <c r="AI87" s="127">
        <v>2515.4740286829069</v>
      </c>
      <c r="AJ87" s="128">
        <v>2790.6537720250299</v>
      </c>
      <c r="AK87" s="123">
        <v>2471.1364064320792</v>
      </c>
      <c r="AL87" s="127">
        <v>2471.1364064320792</v>
      </c>
      <c r="AM87" s="128">
        <v>2471.1364064320792</v>
      </c>
      <c r="AN87" s="123">
        <v>2284.1102781852696</v>
      </c>
      <c r="AO87" s="127">
        <v>2284.1102781852687</v>
      </c>
      <c r="AP87" s="128">
        <v>2284.1102781852696</v>
      </c>
      <c r="AQ87" s="123"/>
      <c r="AR87" s="127"/>
      <c r="AS87" s="128"/>
      <c r="AT87" s="123"/>
      <c r="AU87" s="127"/>
      <c r="AV87" s="128"/>
      <c r="AW87" s="123"/>
      <c r="AX87" s="127"/>
      <c r="AY87" s="128"/>
      <c r="AZ87" s="123"/>
      <c r="BA87" s="127"/>
      <c r="BB87" s="128"/>
      <c r="BC87" s="123"/>
      <c r="BD87" s="127"/>
      <c r="BE87" s="128"/>
    </row>
    <row r="88" spans="1:57" x14ac:dyDescent="0.3">
      <c r="A88" s="41">
        <v>2018</v>
      </c>
      <c r="B88" s="123">
        <v>2952.1428307128131</v>
      </c>
      <c r="C88" s="127">
        <v>3486.3878976945412</v>
      </c>
      <c r="D88" s="128">
        <v>4087.148651784471</v>
      </c>
      <c r="E88" s="123">
        <v>3031.4229989301407</v>
      </c>
      <c r="F88" s="127">
        <v>3396.4019666073218</v>
      </c>
      <c r="G88" s="128">
        <v>3752.6822768812376</v>
      </c>
      <c r="H88" s="123">
        <v>3199.6649223116965</v>
      </c>
      <c r="I88" s="127">
        <v>3409.456113865765</v>
      </c>
      <c r="J88" s="128">
        <v>3621.7285278957156</v>
      </c>
      <c r="K88" s="123">
        <v>3246.9506991552144</v>
      </c>
      <c r="L88" s="127">
        <v>3246.9506991552134</v>
      </c>
      <c r="M88" s="128">
        <v>3246.9506991552144</v>
      </c>
      <c r="N88" s="123">
        <v>3695.7250329805815</v>
      </c>
      <c r="O88" s="127">
        <v>3695.7250329805806</v>
      </c>
      <c r="P88" s="128">
        <v>3695.7250329805815</v>
      </c>
      <c r="Q88" s="241"/>
      <c r="R88" s="242"/>
      <c r="S88" s="243"/>
      <c r="T88" s="241"/>
      <c r="U88" s="242"/>
      <c r="V88" s="243"/>
      <c r="W88" s="241"/>
      <c r="X88" s="242"/>
      <c r="Y88" s="243"/>
      <c r="Z88" s="241"/>
      <c r="AA88" s="242"/>
      <c r="AB88" s="243"/>
      <c r="AD88" s="41">
        <v>2018</v>
      </c>
      <c r="AE88" s="123">
        <v>2117.6247416772189</v>
      </c>
      <c r="AF88" s="127">
        <v>2579.5177012719755</v>
      </c>
      <c r="AG88" s="128">
        <v>2968.8312641833513</v>
      </c>
      <c r="AH88" s="123">
        <v>1930.0405728870835</v>
      </c>
      <c r="AI88" s="127">
        <v>2408.0309420177232</v>
      </c>
      <c r="AJ88" s="128">
        <v>2790.6537720250299</v>
      </c>
      <c r="AK88" s="123">
        <v>1801.2643677759747</v>
      </c>
      <c r="AL88" s="127">
        <v>2141.4583630174352</v>
      </c>
      <c r="AM88" s="128">
        <v>2344.4210692615757</v>
      </c>
      <c r="AN88" s="123">
        <v>2226.3169409873326</v>
      </c>
      <c r="AO88" s="127">
        <v>2226.3169409873331</v>
      </c>
      <c r="AP88" s="128">
        <v>2226.3169409873326</v>
      </c>
      <c r="AQ88" s="123">
        <v>2483.0444920281097</v>
      </c>
      <c r="AR88" s="127">
        <v>2483.0444920281088</v>
      </c>
      <c r="AS88" s="128">
        <v>2483.0444920281097</v>
      </c>
      <c r="AT88" s="123"/>
      <c r="AU88" s="127"/>
      <c r="AV88" s="128"/>
      <c r="AW88" s="123"/>
      <c r="AX88" s="127"/>
      <c r="AY88" s="128"/>
      <c r="AZ88" s="123"/>
      <c r="BA88" s="127"/>
      <c r="BB88" s="128"/>
      <c r="BC88" s="123"/>
      <c r="BD88" s="127"/>
      <c r="BE88" s="128"/>
    </row>
    <row r="89" spans="1:57" x14ac:dyDescent="0.3">
      <c r="A89" s="41">
        <v>2019</v>
      </c>
      <c r="B89" s="123">
        <v>2573.8075570222604</v>
      </c>
      <c r="C89" s="127">
        <v>3286.1343129978986</v>
      </c>
      <c r="D89" s="128">
        <v>4087.148651784471</v>
      </c>
      <c r="E89" s="123">
        <v>2840.518814616109</v>
      </c>
      <c r="F89" s="127">
        <v>3281.944841129352</v>
      </c>
      <c r="G89" s="128">
        <v>3752.6822768812376</v>
      </c>
      <c r="H89" s="123">
        <v>3018.0583515845524</v>
      </c>
      <c r="I89" s="127">
        <v>3291.0864096761288</v>
      </c>
      <c r="J89" s="128">
        <v>3621.7285278957156</v>
      </c>
      <c r="K89" s="123">
        <v>2885.6611523249985</v>
      </c>
      <c r="L89" s="127">
        <v>3100.0852460149395</v>
      </c>
      <c r="M89" s="128">
        <v>3246.9506991552144</v>
      </c>
      <c r="N89" s="123">
        <v>3383.4565361567766</v>
      </c>
      <c r="O89" s="127">
        <v>3383.4565361567766</v>
      </c>
      <c r="P89" s="128">
        <v>3383.4565361567766</v>
      </c>
      <c r="Q89" s="123">
        <v>3217.0786017368978</v>
      </c>
      <c r="R89" s="127">
        <v>3217.0786017368955</v>
      </c>
      <c r="S89" s="128">
        <v>3217.0786017368978</v>
      </c>
      <c r="T89" s="241"/>
      <c r="U89" s="242"/>
      <c r="V89" s="243"/>
      <c r="W89" s="241"/>
      <c r="X89" s="242"/>
      <c r="Y89" s="243"/>
      <c r="Z89" s="241"/>
      <c r="AA89" s="242"/>
      <c r="AB89" s="243"/>
      <c r="AD89" s="41">
        <v>2019</v>
      </c>
      <c r="AE89" s="123">
        <v>1833.889234175175</v>
      </c>
      <c r="AF89" s="127">
        <v>2449.746513634851</v>
      </c>
      <c r="AG89" s="128">
        <v>2968.8312641833513</v>
      </c>
      <c r="AH89" s="123">
        <v>1781.8155554159064</v>
      </c>
      <c r="AI89" s="127">
        <v>2323.9434897020005</v>
      </c>
      <c r="AJ89" s="128">
        <v>2790.6537720250299</v>
      </c>
      <c r="AK89" s="123">
        <v>1665.8691564389117</v>
      </c>
      <c r="AL89" s="127">
        <v>2058.7012574009432</v>
      </c>
      <c r="AM89" s="128">
        <v>2357.092602978626</v>
      </c>
      <c r="AN89" s="123">
        <v>1639.215249935889</v>
      </c>
      <c r="AO89" s="127">
        <v>1994.7413105013163</v>
      </c>
      <c r="AP89" s="128">
        <v>2226.3169409873326</v>
      </c>
      <c r="AQ89" s="123">
        <v>2193.1537747458819</v>
      </c>
      <c r="AR89" s="127">
        <v>2193.1537747458824</v>
      </c>
      <c r="AS89" s="128">
        <v>2193.1537747458819</v>
      </c>
      <c r="AT89" s="123">
        <v>2095.4966362507034</v>
      </c>
      <c r="AU89" s="127">
        <v>2095.496636250703</v>
      </c>
      <c r="AV89" s="128">
        <v>2095.4966362507034</v>
      </c>
      <c r="AW89" s="123"/>
      <c r="AX89" s="127"/>
      <c r="AY89" s="128"/>
      <c r="AZ89" s="123"/>
      <c r="BA89" s="127"/>
      <c r="BB89" s="128"/>
      <c r="BC89" s="123"/>
      <c r="BD89" s="127"/>
      <c r="BE89" s="128"/>
    </row>
    <row r="90" spans="1:57" x14ac:dyDescent="0.3">
      <c r="A90" s="41">
        <v>2020</v>
      </c>
      <c r="B90" s="123">
        <v>2195.4722833317087</v>
      </c>
      <c r="C90" s="127">
        <v>3085.8807283012543</v>
      </c>
      <c r="D90" s="128">
        <v>4087.148651784471</v>
      </c>
      <c r="E90" s="123">
        <v>2553.7798760486862</v>
      </c>
      <c r="F90" s="127">
        <v>3126.154050976641</v>
      </c>
      <c r="G90" s="128">
        <v>3752.6822768812376</v>
      </c>
      <c r="H90" s="123">
        <v>2820.7526422474025</v>
      </c>
      <c r="I90" s="127">
        <v>3108.2492326353445</v>
      </c>
      <c r="J90" s="128">
        <v>3621.7285278957156</v>
      </c>
      <c r="K90" s="123">
        <v>2726.9497889471236</v>
      </c>
      <c r="L90" s="127">
        <v>3020.7458540254452</v>
      </c>
      <c r="M90" s="128">
        <v>3246.9506991552144</v>
      </c>
      <c r="N90" s="123">
        <v>3170.211857494387</v>
      </c>
      <c r="O90" s="127">
        <v>3237.6590528857805</v>
      </c>
      <c r="P90" s="128">
        <v>3343.1881188165066</v>
      </c>
      <c r="Q90" s="123">
        <v>3143.7608792302108</v>
      </c>
      <c r="R90" s="127">
        <v>3143.760879230209</v>
      </c>
      <c r="S90" s="128">
        <v>3143.7608792302108</v>
      </c>
      <c r="T90" s="123">
        <v>2935.3663099999999</v>
      </c>
      <c r="U90" s="127">
        <v>2935.3663099999994</v>
      </c>
      <c r="V90" s="128">
        <v>2935.3663099999999</v>
      </c>
      <c r="W90" s="241"/>
      <c r="X90" s="242"/>
      <c r="Y90" s="243"/>
      <c r="Z90" s="241"/>
      <c r="AA90" s="242"/>
      <c r="AB90" s="243"/>
      <c r="AD90" s="41">
        <v>2020</v>
      </c>
      <c r="AE90" s="123">
        <v>1550.1537266731311</v>
      </c>
      <c r="AF90" s="127">
        <v>2319.9753259977247</v>
      </c>
      <c r="AG90" s="128">
        <v>2968.8312641833513</v>
      </c>
      <c r="AH90" s="123">
        <v>1637.6612651596733</v>
      </c>
      <c r="AI90" s="127">
        <v>2234.710612740676</v>
      </c>
      <c r="AJ90" s="128">
        <v>2790.6537720250299</v>
      </c>
      <c r="AK90" s="123">
        <v>1559.8833930903465</v>
      </c>
      <c r="AL90" s="127">
        <v>1990.0100689510014</v>
      </c>
      <c r="AM90" s="128">
        <v>2395.1072041297771</v>
      </c>
      <c r="AN90" s="123">
        <v>1534.9252588009008</v>
      </c>
      <c r="AO90" s="127">
        <v>1919.1228971292514</v>
      </c>
      <c r="AP90" s="128">
        <v>2226.3169409873326</v>
      </c>
      <c r="AQ90" s="123">
        <v>2081.3188594463677</v>
      </c>
      <c r="AR90" s="127">
        <v>2120.0675677180952</v>
      </c>
      <c r="AS90" s="128">
        <v>2170.9970912181111</v>
      </c>
      <c r="AT90" s="123">
        <v>2044.4183168280326</v>
      </c>
      <c r="AU90" s="127">
        <v>2044.4183168280319</v>
      </c>
      <c r="AV90" s="128">
        <v>2044.4183168280326</v>
      </c>
      <c r="AW90" s="123">
        <v>1908.4116495238968</v>
      </c>
      <c r="AX90" s="127">
        <v>1908.4116495238961</v>
      </c>
      <c r="AY90" s="128">
        <v>1908.4116495238968</v>
      </c>
      <c r="AZ90" s="123"/>
      <c r="BA90" s="127"/>
      <c r="BB90" s="128"/>
      <c r="BC90" s="123"/>
      <c r="BD90" s="127"/>
      <c r="BE90" s="128"/>
    </row>
    <row r="91" spans="1:57" x14ac:dyDescent="0.3">
      <c r="A91" s="41">
        <v>2021</v>
      </c>
      <c r="B91" s="123">
        <v>2058.195724388981</v>
      </c>
      <c r="C91" s="127">
        <v>2994.5141867133602</v>
      </c>
      <c r="D91" s="128">
        <v>4087.148651784471</v>
      </c>
      <c r="E91" s="123">
        <v>2410.2111626650608</v>
      </c>
      <c r="F91" s="127">
        <v>3039.8978131820991</v>
      </c>
      <c r="G91" s="128">
        <v>3752.6822768812376</v>
      </c>
      <c r="H91" s="123">
        <v>2514.5773712701393</v>
      </c>
      <c r="I91" s="127">
        <v>2927.0140486965493</v>
      </c>
      <c r="J91" s="128">
        <v>3621.7285278957156</v>
      </c>
      <c r="K91" s="123">
        <v>2553.0523289916914</v>
      </c>
      <c r="L91" s="127">
        <v>2917.5837244967606</v>
      </c>
      <c r="M91" s="128">
        <v>3246.9506991552144</v>
      </c>
      <c r="N91" s="123">
        <v>2956.967178831997</v>
      </c>
      <c r="O91" s="127">
        <v>3091.8615696147826</v>
      </c>
      <c r="P91" s="128">
        <v>3302.9197014762372</v>
      </c>
      <c r="Q91" s="123">
        <v>2920.0349950368845</v>
      </c>
      <c r="R91" s="127">
        <v>2985.7220079962635</v>
      </c>
      <c r="S91" s="128">
        <v>3091.273137125952</v>
      </c>
      <c r="T91" s="123">
        <v>2835.5</v>
      </c>
      <c r="U91" s="127">
        <v>2835.5</v>
      </c>
      <c r="V91" s="128">
        <v>2835.5</v>
      </c>
      <c r="W91" s="123">
        <v>2944.4913178953789</v>
      </c>
      <c r="X91" s="127">
        <v>2944.4913178953798</v>
      </c>
      <c r="Y91" s="128">
        <v>2944.4913178953789</v>
      </c>
      <c r="Z91" s="241"/>
      <c r="AA91" s="242"/>
      <c r="AB91" s="243"/>
      <c r="AD91" s="41">
        <v>2021</v>
      </c>
      <c r="AE91" s="123">
        <v>1500.9905959063899</v>
      </c>
      <c r="AF91" s="127">
        <v>2266.518016613536</v>
      </c>
      <c r="AG91" s="128">
        <v>2968.8312641833513</v>
      </c>
      <c r="AH91" s="123">
        <v>1455.7538773808687</v>
      </c>
      <c r="AI91" s="127">
        <v>2146.2523205578473</v>
      </c>
      <c r="AJ91" s="128">
        <v>2790.6537720250299</v>
      </c>
      <c r="AK91" s="123">
        <v>1403.5133106849369</v>
      </c>
      <c r="AL91" s="127">
        <v>1917.0399481403574</v>
      </c>
      <c r="AM91" s="128">
        <v>2420.4502715638778</v>
      </c>
      <c r="AN91" s="123">
        <v>1381.057097713978</v>
      </c>
      <c r="AO91" s="127">
        <v>1858.4077168930696</v>
      </c>
      <c r="AP91" s="128">
        <v>2226.3169409873326</v>
      </c>
      <c r="AQ91" s="123">
        <v>1969.4839441468534</v>
      </c>
      <c r="AR91" s="127">
        <v>2046.9813606903081</v>
      </c>
      <c r="AS91" s="128">
        <v>2148.8404076903403</v>
      </c>
      <c r="AT91" s="123">
        <v>1921.2144002966222</v>
      </c>
      <c r="AU91" s="127">
        <v>1959.1798456930567</v>
      </c>
      <c r="AV91" s="128">
        <v>2010.5281762340915</v>
      </c>
      <c r="AW91" s="123">
        <v>1709.8537829219663</v>
      </c>
      <c r="AX91" s="127">
        <v>1709.8537829219672</v>
      </c>
      <c r="AY91" s="128">
        <v>1709.8537829219663</v>
      </c>
      <c r="AZ91" s="123">
        <v>1806.4125448813827</v>
      </c>
      <c r="BA91" s="127">
        <v>1806.4125448813838</v>
      </c>
      <c r="BB91" s="128">
        <v>1806.4125448813827</v>
      </c>
      <c r="BC91" s="123"/>
      <c r="BD91" s="127"/>
      <c r="BE91" s="128"/>
    </row>
    <row r="92" spans="1:57" x14ac:dyDescent="0.3">
      <c r="A92" s="41">
        <v>2022</v>
      </c>
      <c r="B92" s="123">
        <v>1920.9191654462534</v>
      </c>
      <c r="C92" s="127">
        <v>2903.1476451254653</v>
      </c>
      <c r="D92" s="128">
        <v>4087.148651784471</v>
      </c>
      <c r="E92" s="123">
        <v>2266.6424492814353</v>
      </c>
      <c r="F92" s="127">
        <v>2953.6415753875576</v>
      </c>
      <c r="G92" s="128">
        <v>3752.6822768812376</v>
      </c>
      <c r="H92" s="123">
        <v>2351.8465522401239</v>
      </c>
      <c r="I92" s="127">
        <v>2812.4725103493747</v>
      </c>
      <c r="J92" s="128">
        <v>3571.7285278957156</v>
      </c>
      <c r="K92" s="123">
        <v>2379.1548690362583</v>
      </c>
      <c r="L92" s="127">
        <v>2814.4215949680761</v>
      </c>
      <c r="M92" s="128">
        <v>3246.9506991552144</v>
      </c>
      <c r="N92" s="123">
        <v>2743.7225001696074</v>
      </c>
      <c r="O92" s="127">
        <v>2946.064086343787</v>
      </c>
      <c r="P92" s="128">
        <v>3262.6512841359677</v>
      </c>
      <c r="Q92" s="123">
        <v>2696.3091108435578</v>
      </c>
      <c r="R92" s="127">
        <v>2827.6831367623163</v>
      </c>
      <c r="S92" s="128">
        <v>3038.7853950216931</v>
      </c>
      <c r="T92" s="123">
        <v>2614.4949859406702</v>
      </c>
      <c r="U92" s="127">
        <v>2682.6459539905691</v>
      </c>
      <c r="V92" s="128">
        <v>2792.1563625913755</v>
      </c>
      <c r="W92" s="123">
        <v>3035.5580596859577</v>
      </c>
      <c r="X92" s="127">
        <v>3035.5580596859577</v>
      </c>
      <c r="Y92" s="128">
        <v>3035.5580596859577</v>
      </c>
      <c r="Z92" s="123">
        <v>3182.9957314709854</v>
      </c>
      <c r="AA92" s="127">
        <v>3182.9957314709859</v>
      </c>
      <c r="AB92" s="128">
        <v>3182.9957314709854</v>
      </c>
      <c r="AD92" s="41">
        <v>2022</v>
      </c>
      <c r="AE92" s="123">
        <v>1451.8274651396484</v>
      </c>
      <c r="AF92" s="127">
        <v>2213.0607072293469</v>
      </c>
      <c r="AG92" s="128">
        <v>2968.8312641833513</v>
      </c>
      <c r="AH92" s="123">
        <v>1427.2996549028612</v>
      </c>
      <c r="AI92" s="127">
        <v>2108.9450834752843</v>
      </c>
      <c r="AJ92" s="128">
        <v>2790.6537720250299</v>
      </c>
      <c r="AK92" s="123">
        <v>1349.2492935883831</v>
      </c>
      <c r="AL92" s="127">
        <v>1879.0171530676196</v>
      </c>
      <c r="AM92" s="128">
        <v>2420.4502715638778</v>
      </c>
      <c r="AN92" s="123">
        <v>1334.1851263198732</v>
      </c>
      <c r="AO92" s="127">
        <v>1827.6263018068605</v>
      </c>
      <c r="AP92" s="128">
        <v>2226.3169409873326</v>
      </c>
      <c r="AQ92" s="123">
        <v>1857.649028847339</v>
      </c>
      <c r="AR92" s="127">
        <v>1973.8951536625214</v>
      </c>
      <c r="AS92" s="128">
        <v>2126.683724162569</v>
      </c>
      <c r="AT92" s="123">
        <v>1798.0104837652118</v>
      </c>
      <c r="AU92" s="127">
        <v>1873.9413745580814</v>
      </c>
      <c r="AV92" s="128">
        <v>1976.6380356401501</v>
      </c>
      <c r="AW92" s="123">
        <v>1604.1513135125606</v>
      </c>
      <c r="AX92" s="127">
        <v>1643.5390364633308</v>
      </c>
      <c r="AY92" s="128">
        <v>1696.8109998557263</v>
      </c>
      <c r="AZ92" s="123">
        <v>1963.4918966101984</v>
      </c>
      <c r="BA92" s="127">
        <v>1963.4918966101973</v>
      </c>
      <c r="BB92" s="128">
        <v>1963.4918966101984</v>
      </c>
      <c r="BC92" s="123">
        <v>2120.0443044149274</v>
      </c>
      <c r="BD92" s="127">
        <v>2120.0443044149283</v>
      </c>
      <c r="BE92" s="128">
        <v>2120.0443044149274</v>
      </c>
    </row>
    <row r="93" spans="1:57" x14ac:dyDescent="0.3">
      <c r="A93" s="41">
        <v>2023</v>
      </c>
      <c r="B93" s="123">
        <v>1783.6426065035259</v>
      </c>
      <c r="C93" s="127">
        <v>2811.7811035375707</v>
      </c>
      <c r="D93" s="128">
        <v>4087.148651784471</v>
      </c>
      <c r="E93" s="123">
        <v>2123.0737358978099</v>
      </c>
      <c r="F93" s="127">
        <v>2867.3853375930157</v>
      </c>
      <c r="G93" s="128">
        <v>3752.6822768812376</v>
      </c>
      <c r="H93" s="123">
        <v>2239.1157332101088</v>
      </c>
      <c r="I93" s="127">
        <v>2747.9309720022006</v>
      </c>
      <c r="J93" s="128">
        <v>3571.7285278957156</v>
      </c>
      <c r="K93" s="123">
        <v>2205.2574090808253</v>
      </c>
      <c r="L93" s="127">
        <v>2711.259465439392</v>
      </c>
      <c r="M93" s="128">
        <v>3246.9506991552144</v>
      </c>
      <c r="N93" s="123">
        <v>2530.4778215072174</v>
      </c>
      <c r="O93" s="127">
        <v>2800.2666030727901</v>
      </c>
      <c r="P93" s="128">
        <v>3222.3828667956986</v>
      </c>
      <c r="Q93" s="123">
        <v>2472.5832266502316</v>
      </c>
      <c r="R93" s="127">
        <v>2669.6442655283677</v>
      </c>
      <c r="S93" s="128">
        <v>2986.2976529174334</v>
      </c>
      <c r="T93" s="123">
        <v>2393.4899718813408</v>
      </c>
      <c r="U93" s="127">
        <v>2529.7919079811363</v>
      </c>
      <c r="V93" s="128">
        <v>2748.8127251827509</v>
      </c>
      <c r="W93" s="123">
        <v>2890.6778217008491</v>
      </c>
      <c r="X93" s="127">
        <v>2932.0832963023518</v>
      </c>
      <c r="Y93" s="128">
        <v>2978.5948710939761</v>
      </c>
      <c r="Z93" s="123">
        <v>2682.1846272586527</v>
      </c>
      <c r="AA93" s="127">
        <v>2682.184627258654</v>
      </c>
      <c r="AB93" s="128">
        <v>2682.1846272586527</v>
      </c>
      <c r="AD93" s="41">
        <v>2023</v>
      </c>
      <c r="AE93" s="123">
        <v>1402.664334372907</v>
      </c>
      <c r="AF93" s="127">
        <v>2159.6033978451583</v>
      </c>
      <c r="AG93" s="128">
        <v>2968.8312641833513</v>
      </c>
      <c r="AH93" s="123">
        <v>1398.8454324248539</v>
      </c>
      <c r="AI93" s="127">
        <v>2071.6378463927213</v>
      </c>
      <c r="AJ93" s="128">
        <v>2790.6537720250299</v>
      </c>
      <c r="AK93" s="123">
        <v>1294.9852764918292</v>
      </c>
      <c r="AL93" s="127">
        <v>1840.9943579948822</v>
      </c>
      <c r="AM93" s="128">
        <v>2420.4502715638778</v>
      </c>
      <c r="AN93" s="123">
        <v>1287.3131549257687</v>
      </c>
      <c r="AO93" s="127">
        <v>1796.8448867206516</v>
      </c>
      <c r="AP93" s="128">
        <v>2226.3169409873326</v>
      </c>
      <c r="AQ93" s="123">
        <v>1745.8141135478243</v>
      </c>
      <c r="AR93" s="127">
        <v>1900.808946634734</v>
      </c>
      <c r="AS93" s="128">
        <v>2104.5270406347977</v>
      </c>
      <c r="AT93" s="123">
        <v>1674.8065672338016</v>
      </c>
      <c r="AU93" s="127">
        <v>1788.7029034231057</v>
      </c>
      <c r="AV93" s="128">
        <v>1942.7478950462087</v>
      </c>
      <c r="AW93" s="123">
        <v>1498.4488441031549</v>
      </c>
      <c r="AX93" s="127">
        <v>1577.2242900046954</v>
      </c>
      <c r="AY93" s="128">
        <v>1683.7682167894864</v>
      </c>
      <c r="AZ93" s="123">
        <v>1880.6397057668562</v>
      </c>
      <c r="BA93" s="127">
        <v>1906.666924380304</v>
      </c>
      <c r="BB93" s="128">
        <v>1935.9627395889763</v>
      </c>
      <c r="BC93" s="123">
        <v>1900.5846954540198</v>
      </c>
      <c r="BD93" s="127">
        <v>1900.58469545402</v>
      </c>
      <c r="BE93" s="128">
        <v>1900.5846954540198</v>
      </c>
    </row>
    <row r="94" spans="1:57" x14ac:dyDescent="0.3">
      <c r="A94" s="41">
        <v>2024</v>
      </c>
      <c r="B94" s="123">
        <v>1646.3660475607983</v>
      </c>
      <c r="C94" s="127">
        <v>2720.4145619496758</v>
      </c>
      <c r="D94" s="128">
        <v>4087.148651784471</v>
      </c>
      <c r="E94" s="123">
        <v>1979.5050225141845</v>
      </c>
      <c r="F94" s="127">
        <v>2781.1290997984752</v>
      </c>
      <c r="G94" s="128">
        <v>3752.6822768812376</v>
      </c>
      <c r="H94" s="123">
        <v>2126.3849141800933</v>
      </c>
      <c r="I94" s="127">
        <v>2683.3894336550256</v>
      </c>
      <c r="J94" s="128">
        <v>3571.7285278957156</v>
      </c>
      <c r="K94" s="123">
        <v>2031.3599491253929</v>
      </c>
      <c r="L94" s="127">
        <v>2608.0973359107074</v>
      </c>
      <c r="M94" s="128">
        <v>3246.9506991552144</v>
      </c>
      <c r="N94" s="123">
        <v>2317.2331428448283</v>
      </c>
      <c r="O94" s="127">
        <v>2654.469119801794</v>
      </c>
      <c r="P94" s="128">
        <v>3182.1144494554292</v>
      </c>
      <c r="Q94" s="123">
        <v>2248.8573424569054</v>
      </c>
      <c r="R94" s="127">
        <v>2511.60539429442</v>
      </c>
      <c r="S94" s="128">
        <v>2933.8099108131746</v>
      </c>
      <c r="T94" s="123">
        <v>2172.484957822011</v>
      </c>
      <c r="U94" s="127">
        <v>2376.9378619717063</v>
      </c>
      <c r="V94" s="128">
        <v>2705.4690877741264</v>
      </c>
      <c r="W94" s="123">
        <v>2745.797583715741</v>
      </c>
      <c r="X94" s="127">
        <v>2828.608532918744</v>
      </c>
      <c r="Y94" s="128">
        <v>2921.6316825019944</v>
      </c>
      <c r="Z94" s="123">
        <v>2559.3420269772928</v>
      </c>
      <c r="AA94" s="127">
        <v>2606.3766194701657</v>
      </c>
      <c r="AB94" s="128">
        <v>2659.2114918531179</v>
      </c>
      <c r="AD94" s="41">
        <v>2024</v>
      </c>
      <c r="AE94" s="123">
        <v>1353.5012036061657</v>
      </c>
      <c r="AF94" s="127">
        <v>2106.1460884609692</v>
      </c>
      <c r="AG94" s="128">
        <v>2968.8312641833513</v>
      </c>
      <c r="AH94" s="123">
        <v>1370.3912099468464</v>
      </c>
      <c r="AI94" s="127">
        <v>2034.3306093101587</v>
      </c>
      <c r="AJ94" s="128">
        <v>2790.6537720250299</v>
      </c>
      <c r="AK94" s="123">
        <v>1240.7212593952754</v>
      </c>
      <c r="AL94" s="127">
        <v>1802.9715629221448</v>
      </c>
      <c r="AM94" s="128">
        <v>2420.4502715638778</v>
      </c>
      <c r="AN94" s="123">
        <v>1240.4411835316641</v>
      </c>
      <c r="AO94" s="127">
        <v>1766.0634716344423</v>
      </c>
      <c r="AP94" s="128">
        <v>2226.3169409873326</v>
      </c>
      <c r="AQ94" s="123">
        <v>1633.97919824831</v>
      </c>
      <c r="AR94" s="127">
        <v>1827.7227396069472</v>
      </c>
      <c r="AS94" s="128">
        <v>2082.3703571070264</v>
      </c>
      <c r="AT94" s="123">
        <v>1551.6026507023912</v>
      </c>
      <c r="AU94" s="127">
        <v>1703.4644322881286</v>
      </c>
      <c r="AV94" s="128">
        <v>1908.8577544522673</v>
      </c>
      <c r="AW94" s="123">
        <v>1392.7463746937492</v>
      </c>
      <c r="AX94" s="127">
        <v>1510.9095435460599</v>
      </c>
      <c r="AY94" s="128">
        <v>1670.7254337232462</v>
      </c>
      <c r="AZ94" s="123">
        <v>1797.7875149235142</v>
      </c>
      <c r="BA94" s="127">
        <v>1849.84195215041</v>
      </c>
      <c r="BB94" s="128">
        <v>1908.4335825677545</v>
      </c>
      <c r="BC94" s="123">
        <v>1821.9600209500272</v>
      </c>
      <c r="BD94" s="127">
        <v>1852.4042997030167</v>
      </c>
      <c r="BE94" s="128">
        <v>1886.6718861768181</v>
      </c>
    </row>
    <row r="95" spans="1:57" x14ac:dyDescent="0.3">
      <c r="A95" s="41">
        <v>2025</v>
      </c>
      <c r="B95" s="123">
        <v>1509.0894886180713</v>
      </c>
      <c r="C95" s="127">
        <v>2629.0480203617813</v>
      </c>
      <c r="D95" s="128">
        <v>4087.148651784471</v>
      </c>
      <c r="E95" s="123">
        <v>1835.936309130559</v>
      </c>
      <c r="F95" s="127">
        <v>2694.8728620039324</v>
      </c>
      <c r="G95" s="128">
        <v>3752.6822768812376</v>
      </c>
      <c r="H95" s="123">
        <v>2013.6540951500776</v>
      </c>
      <c r="I95" s="127">
        <v>2618.8478953078511</v>
      </c>
      <c r="J95" s="128">
        <v>3571.7285278957156</v>
      </c>
      <c r="K95" s="123">
        <v>1857.4624891699602</v>
      </c>
      <c r="L95" s="127">
        <v>2504.9352063820229</v>
      </c>
      <c r="M95" s="128">
        <v>3246.9506991552144</v>
      </c>
      <c r="N95" s="123">
        <v>2103.9884641824392</v>
      </c>
      <c r="O95" s="127">
        <v>2508.6716365307975</v>
      </c>
      <c r="P95" s="128">
        <v>3141.8460321151592</v>
      </c>
      <c r="Q95" s="123">
        <v>2025.1314582635789</v>
      </c>
      <c r="R95" s="127">
        <v>2353.5665230604741</v>
      </c>
      <c r="S95" s="128">
        <v>2881.3221687089158</v>
      </c>
      <c r="T95" s="123">
        <v>1951.4799437626816</v>
      </c>
      <c r="U95" s="127">
        <v>2224.083815962274</v>
      </c>
      <c r="V95" s="128">
        <v>2662.1254503655018</v>
      </c>
      <c r="W95" s="123">
        <v>2600.9173457306324</v>
      </c>
      <c r="X95" s="127">
        <v>2725.1337695351372</v>
      </c>
      <c r="Y95" s="128">
        <v>2864.6684939100132</v>
      </c>
      <c r="Z95" s="123">
        <v>2436.4994266959334</v>
      </c>
      <c r="AA95" s="127">
        <v>2530.5686116816805</v>
      </c>
      <c r="AB95" s="128">
        <v>2636.2383564475831</v>
      </c>
      <c r="AD95" s="41">
        <v>2025</v>
      </c>
      <c r="AE95" s="123">
        <v>1304.3380728394241</v>
      </c>
      <c r="AF95" s="127">
        <v>2052.6887790767801</v>
      </c>
      <c r="AG95" s="128">
        <v>2968.8312641833513</v>
      </c>
      <c r="AH95" s="123">
        <v>1341.9369874688387</v>
      </c>
      <c r="AI95" s="127">
        <v>1997.0233722275952</v>
      </c>
      <c r="AJ95" s="128">
        <v>2790.6537720250299</v>
      </c>
      <c r="AK95" s="123">
        <v>1186.4572422987214</v>
      </c>
      <c r="AL95" s="127">
        <v>1764.948767849407</v>
      </c>
      <c r="AM95" s="128">
        <v>2420.4502715638778</v>
      </c>
      <c r="AN95" s="123">
        <v>1193.5692121375598</v>
      </c>
      <c r="AO95" s="127">
        <v>1735.2820565482334</v>
      </c>
      <c r="AP95" s="128">
        <v>2226.3169409873326</v>
      </c>
      <c r="AQ95" s="123">
        <v>1522.1442829487955</v>
      </c>
      <c r="AR95" s="127">
        <v>1754.6365325791601</v>
      </c>
      <c r="AS95" s="128">
        <v>2060.2136735792556</v>
      </c>
      <c r="AT95" s="123">
        <v>1428.398734170981</v>
      </c>
      <c r="AU95" s="127">
        <v>1618.2259611531526</v>
      </c>
      <c r="AV95" s="128">
        <v>1874.9676138583259</v>
      </c>
      <c r="AW95" s="123">
        <v>1287.0439052843433</v>
      </c>
      <c r="AX95" s="127">
        <v>1444.5947970874247</v>
      </c>
      <c r="AY95" s="128">
        <v>1657.6826506570062</v>
      </c>
      <c r="AZ95" s="123">
        <v>1714.935324080172</v>
      </c>
      <c r="BA95" s="127">
        <v>1793.0169799205157</v>
      </c>
      <c r="BB95" s="128">
        <v>1880.9044255465328</v>
      </c>
      <c r="BC95" s="123">
        <v>1743.3353464460347</v>
      </c>
      <c r="BD95" s="127">
        <v>1804.2239039520123</v>
      </c>
      <c r="BE95" s="128">
        <v>1872.7590768996165</v>
      </c>
    </row>
    <row r="96" spans="1:57" x14ac:dyDescent="0.3">
      <c r="A96" s="41">
        <v>2026</v>
      </c>
      <c r="B96" s="123">
        <v>1492.3218276334262</v>
      </c>
      <c r="C96" s="127">
        <v>2601.6070765521954</v>
      </c>
      <c r="D96" s="128">
        <v>4087.148651784471</v>
      </c>
      <c r="E96" s="123">
        <v>1775.9490473044473</v>
      </c>
      <c r="F96" s="127">
        <v>2636.4771080618953</v>
      </c>
      <c r="G96" s="128">
        <v>3752.6822768812376</v>
      </c>
      <c r="H96" s="123">
        <v>1900.9232761200622</v>
      </c>
      <c r="I96" s="127">
        <v>2554.3063569606757</v>
      </c>
      <c r="J96" s="128">
        <v>3571.7285278957156</v>
      </c>
      <c r="K96" s="123">
        <v>1683.5650292145274</v>
      </c>
      <c r="L96" s="127">
        <v>2401.7730768533379</v>
      </c>
      <c r="M96" s="128">
        <v>3246.9506991552144</v>
      </c>
      <c r="N96" s="123">
        <v>1890.7437855200496</v>
      </c>
      <c r="O96" s="127">
        <v>2362.874153259801</v>
      </c>
      <c r="P96" s="128">
        <v>3101.5776147748898</v>
      </c>
      <c r="Q96" s="123">
        <v>1801.4055740702522</v>
      </c>
      <c r="R96" s="127">
        <v>2195.5276518265264</v>
      </c>
      <c r="S96" s="128">
        <v>2828.834426604657</v>
      </c>
      <c r="T96" s="123">
        <v>1730.474929703352</v>
      </c>
      <c r="U96" s="127">
        <v>2071.2297699528431</v>
      </c>
      <c r="V96" s="128">
        <v>2618.7818129568773</v>
      </c>
      <c r="W96" s="123">
        <v>2456.0371077455238</v>
      </c>
      <c r="X96" s="127">
        <v>2621.6590061515312</v>
      </c>
      <c r="Y96" s="128">
        <v>2807.7053053180312</v>
      </c>
      <c r="Z96" s="123">
        <v>2313.6568264145735</v>
      </c>
      <c r="AA96" s="127">
        <v>2454.7606038931935</v>
      </c>
      <c r="AB96" s="128">
        <v>2613.2652210420483</v>
      </c>
      <c r="AD96" s="41">
        <v>2026</v>
      </c>
      <c r="AE96" s="123">
        <v>1290.6081983884828</v>
      </c>
      <c r="AF96" s="127">
        <v>2034.2354764002007</v>
      </c>
      <c r="AG96" s="128">
        <v>2968.8312641833513</v>
      </c>
      <c r="AH96" s="123">
        <v>1313.4827649908311</v>
      </c>
      <c r="AI96" s="127">
        <v>1959.7161351450322</v>
      </c>
      <c r="AJ96" s="128">
        <v>2790.6537720250299</v>
      </c>
      <c r="AK96" s="123">
        <v>1132.1932252021675</v>
      </c>
      <c r="AL96" s="127">
        <v>1726.9259727766698</v>
      </c>
      <c r="AM96" s="128">
        <v>2420.4502715638778</v>
      </c>
      <c r="AN96" s="123">
        <v>1146.697240743455</v>
      </c>
      <c r="AO96" s="127">
        <v>1704.5006414620243</v>
      </c>
      <c r="AP96" s="128">
        <v>2226.3169409873326</v>
      </c>
      <c r="AQ96" s="123">
        <v>1410.3093676492813</v>
      </c>
      <c r="AR96" s="127">
        <v>1681.5503255513734</v>
      </c>
      <c r="AS96" s="128">
        <v>2038.0569900514847</v>
      </c>
      <c r="AT96" s="123">
        <v>1305.1948176395706</v>
      </c>
      <c r="AU96" s="127">
        <v>1532.9874900181767</v>
      </c>
      <c r="AV96" s="128">
        <v>1841.0774732643847</v>
      </c>
      <c r="AW96" s="123">
        <v>1182.2478673958185</v>
      </c>
      <c r="AX96" s="127">
        <v>1379.3375911878111</v>
      </c>
      <c r="AY96" s="128">
        <v>1645.9017833851424</v>
      </c>
      <c r="AZ96" s="123">
        <v>1632.08313323683</v>
      </c>
      <c r="BA96" s="127">
        <v>1736.1920076906215</v>
      </c>
      <c r="BB96" s="128">
        <v>1853.375268525311</v>
      </c>
      <c r="BC96" s="123">
        <v>1664.7106719420419</v>
      </c>
      <c r="BD96" s="127">
        <v>1756.0435082010092</v>
      </c>
      <c r="BE96" s="128">
        <v>1858.8462676224151</v>
      </c>
    </row>
    <row r="97" spans="1:57" x14ac:dyDescent="0.3">
      <c r="A97" s="41">
        <v>2027</v>
      </c>
      <c r="B97" s="123">
        <v>1475.5541666487811</v>
      </c>
      <c r="C97" s="127">
        <v>2574.1661327426095</v>
      </c>
      <c r="D97" s="128">
        <v>4087.148651784471</v>
      </c>
      <c r="E97" s="123">
        <v>1715.9617854783353</v>
      </c>
      <c r="F97" s="127">
        <v>2578.0813541198581</v>
      </c>
      <c r="G97" s="128">
        <v>3752.6822768812376</v>
      </c>
      <c r="H97" s="123">
        <v>1788.1924570900467</v>
      </c>
      <c r="I97" s="127">
        <v>2489.7648186135016</v>
      </c>
      <c r="J97" s="128">
        <v>3571.7285278957156</v>
      </c>
      <c r="K97" s="123">
        <v>1509.6675692590945</v>
      </c>
      <c r="L97" s="127">
        <v>2298.6109473246538</v>
      </c>
      <c r="M97" s="128">
        <v>3246.9506991552144</v>
      </c>
      <c r="N97" s="123">
        <v>1677.4991068576603</v>
      </c>
      <c r="O97" s="127">
        <v>2217.0766699888054</v>
      </c>
      <c r="P97" s="128">
        <v>3061.3091974346203</v>
      </c>
      <c r="Q97" s="123">
        <v>1577.679689876926</v>
      </c>
      <c r="R97" s="127">
        <v>2037.4887805925789</v>
      </c>
      <c r="S97" s="128">
        <v>2776.3466845003977</v>
      </c>
      <c r="T97" s="123">
        <v>1509.4699156440224</v>
      </c>
      <c r="U97" s="127">
        <v>1918.3757239434117</v>
      </c>
      <c r="V97" s="128">
        <v>2575.4381755482527</v>
      </c>
      <c r="W97" s="123">
        <v>2311.1568697604157</v>
      </c>
      <c r="X97" s="127">
        <v>2518.1842427679239</v>
      </c>
      <c r="Y97" s="128">
        <v>2750.74211672605</v>
      </c>
      <c r="Z97" s="123">
        <v>2190.8142261332141</v>
      </c>
      <c r="AA97" s="127">
        <v>2378.9525961047079</v>
      </c>
      <c r="AB97" s="128">
        <v>2590.2920856365135</v>
      </c>
      <c r="AD97" s="41">
        <v>2027</v>
      </c>
      <c r="AE97" s="123">
        <v>1276.8783239375414</v>
      </c>
      <c r="AF97" s="127">
        <v>2015.7821737236211</v>
      </c>
      <c r="AG97" s="128">
        <v>2968.8312641833513</v>
      </c>
      <c r="AH97" s="123">
        <v>1285.0285425128236</v>
      </c>
      <c r="AI97" s="127">
        <v>1922.4088980624697</v>
      </c>
      <c r="AJ97" s="128">
        <v>2790.6537720250299</v>
      </c>
      <c r="AK97" s="123">
        <v>1077.9292081056135</v>
      </c>
      <c r="AL97" s="127">
        <v>1688.9031777039322</v>
      </c>
      <c r="AM97" s="128">
        <v>2420.4502715638778</v>
      </c>
      <c r="AN97" s="123">
        <v>1099.8252693493505</v>
      </c>
      <c r="AO97" s="127">
        <v>1673.7192263758154</v>
      </c>
      <c r="AP97" s="128">
        <v>2226.3169409873326</v>
      </c>
      <c r="AQ97" s="123">
        <v>1298.4744523497666</v>
      </c>
      <c r="AR97" s="127">
        <v>1608.4641185235864</v>
      </c>
      <c r="AS97" s="128">
        <v>2015.9003065237137</v>
      </c>
      <c r="AT97" s="123">
        <v>1181.9909011081602</v>
      </c>
      <c r="AU97" s="127">
        <v>1447.7490188832012</v>
      </c>
      <c r="AV97" s="128">
        <v>1807.1873326704431</v>
      </c>
      <c r="AW97" s="123">
        <v>1077.288825106217</v>
      </c>
      <c r="AX97" s="127">
        <v>1313.9776497255373</v>
      </c>
      <c r="AY97" s="128">
        <v>1634.0996942587803</v>
      </c>
      <c r="AZ97" s="123">
        <v>1549.2309423934878</v>
      </c>
      <c r="BA97" s="127">
        <v>1679.367035460727</v>
      </c>
      <c r="BB97" s="128">
        <v>1825.8461115040893</v>
      </c>
      <c r="BC97" s="123">
        <v>1586.0859974380494</v>
      </c>
      <c r="BD97" s="127">
        <v>1707.8631124500059</v>
      </c>
      <c r="BE97" s="128">
        <v>1844.9334583452135</v>
      </c>
    </row>
    <row r="98" spans="1:57" x14ac:dyDescent="0.3">
      <c r="A98" s="41">
        <v>2028</v>
      </c>
      <c r="B98" s="123">
        <v>1458.786505664136</v>
      </c>
      <c r="C98" s="127">
        <v>2546.7251889330223</v>
      </c>
      <c r="D98" s="128">
        <v>4087.148651784471</v>
      </c>
      <c r="E98" s="123">
        <v>1655.9745236522233</v>
      </c>
      <c r="F98" s="127">
        <v>2519.6856001778206</v>
      </c>
      <c r="G98" s="128">
        <v>3752.6822768812376</v>
      </c>
      <c r="H98" s="123">
        <v>1675.461638060031</v>
      </c>
      <c r="I98" s="127">
        <v>2425.223280266327</v>
      </c>
      <c r="J98" s="128">
        <v>3571.7285278957156</v>
      </c>
      <c r="K98" s="123">
        <v>1335.7701093036619</v>
      </c>
      <c r="L98" s="127">
        <v>2195.4488177959688</v>
      </c>
      <c r="M98" s="128">
        <v>3246.9506991552144</v>
      </c>
      <c r="N98" s="123">
        <v>1464.254428195271</v>
      </c>
      <c r="O98" s="127">
        <v>2071.2791867178094</v>
      </c>
      <c r="P98" s="128">
        <v>3021.0407800943508</v>
      </c>
      <c r="Q98" s="123">
        <v>1353.9538056835995</v>
      </c>
      <c r="R98" s="127">
        <v>1879.4499093586307</v>
      </c>
      <c r="S98" s="128">
        <v>2723.8589423961389</v>
      </c>
      <c r="T98" s="123">
        <v>1288.4649015846928</v>
      </c>
      <c r="U98" s="127">
        <v>1765.5216779339796</v>
      </c>
      <c r="V98" s="128">
        <v>2532.0945381396282</v>
      </c>
      <c r="W98" s="123">
        <v>2166.2766317753071</v>
      </c>
      <c r="X98" s="127">
        <v>2414.7094793843162</v>
      </c>
      <c r="Y98" s="128">
        <v>2693.7789281340683</v>
      </c>
      <c r="Z98" s="123">
        <v>2067.9716258518542</v>
      </c>
      <c r="AA98" s="127">
        <v>2303.1445883162201</v>
      </c>
      <c r="AB98" s="128">
        <v>2567.3189502309792</v>
      </c>
      <c r="AD98" s="41">
        <v>2028</v>
      </c>
      <c r="AE98" s="123">
        <v>1263.1484494866002</v>
      </c>
      <c r="AF98" s="127">
        <v>1997.328871047042</v>
      </c>
      <c r="AG98" s="128">
        <v>2968.8312641833513</v>
      </c>
      <c r="AH98" s="123">
        <v>1256.5743200348161</v>
      </c>
      <c r="AI98" s="127">
        <v>1885.1016609799065</v>
      </c>
      <c r="AJ98" s="128">
        <v>2790.6537720250299</v>
      </c>
      <c r="AK98" s="123">
        <v>1023.6651910090593</v>
      </c>
      <c r="AL98" s="127">
        <v>1650.8803826311944</v>
      </c>
      <c r="AM98" s="128">
        <v>2420.4502715638778</v>
      </c>
      <c r="AN98" s="123">
        <v>1052.9532979552459</v>
      </c>
      <c r="AO98" s="127">
        <v>1642.9378112896065</v>
      </c>
      <c r="AP98" s="128">
        <v>2226.3169409873326</v>
      </c>
      <c r="AQ98" s="123">
        <v>1186.6395370502521</v>
      </c>
      <c r="AR98" s="127">
        <v>1535.3779114957993</v>
      </c>
      <c r="AS98" s="128">
        <v>1993.7436229959426</v>
      </c>
      <c r="AT98" s="123">
        <v>1058.7869845767498</v>
      </c>
      <c r="AU98" s="127">
        <v>1362.5105477482255</v>
      </c>
      <c r="AV98" s="128">
        <v>1773.2971920765019</v>
      </c>
      <c r="AW98" s="123">
        <v>972.16701500480121</v>
      </c>
      <c r="AX98" s="127">
        <v>1248.5151224899196</v>
      </c>
      <c r="AY98" s="128">
        <v>1622.2764156701601</v>
      </c>
      <c r="AZ98" s="123">
        <v>1466.3787515501456</v>
      </c>
      <c r="BA98" s="127">
        <v>1622.5420632308328</v>
      </c>
      <c r="BB98" s="128">
        <v>1798.3169544828672</v>
      </c>
      <c r="BC98" s="123">
        <v>1507.4613229340571</v>
      </c>
      <c r="BD98" s="127">
        <v>1659.682716699002</v>
      </c>
      <c r="BE98" s="128">
        <v>1831.0206490680121</v>
      </c>
    </row>
    <row r="99" spans="1:57" x14ac:dyDescent="0.3">
      <c r="A99" s="41">
        <v>2029</v>
      </c>
      <c r="B99" s="123">
        <v>1442.0188446794909</v>
      </c>
      <c r="C99" s="127">
        <v>2519.2842451234369</v>
      </c>
      <c r="D99" s="128">
        <v>4087.148651784471</v>
      </c>
      <c r="E99" s="123">
        <v>1595.9872618261113</v>
      </c>
      <c r="F99" s="127">
        <v>2461.2898462357834</v>
      </c>
      <c r="G99" s="128">
        <v>3752.6822768812376</v>
      </c>
      <c r="H99" s="123">
        <v>1562.7308190300155</v>
      </c>
      <c r="I99" s="127">
        <v>2360.6817419191516</v>
      </c>
      <c r="J99" s="128">
        <v>3571.7285278957156</v>
      </c>
      <c r="K99" s="123">
        <v>1161.8726493482293</v>
      </c>
      <c r="L99" s="127">
        <v>2092.2866882672843</v>
      </c>
      <c r="M99" s="128">
        <v>3246.9506991552144</v>
      </c>
      <c r="N99" s="123">
        <v>1251.0097495328816</v>
      </c>
      <c r="O99" s="127">
        <v>1925.4817034468122</v>
      </c>
      <c r="P99" s="128">
        <v>2980.7723627540809</v>
      </c>
      <c r="Q99" s="123">
        <v>1130.2279214902733</v>
      </c>
      <c r="R99" s="127">
        <v>1721.4110381246837</v>
      </c>
      <c r="S99" s="128">
        <v>2671.3712002918801</v>
      </c>
      <c r="T99" s="123">
        <v>1067.4598875253632</v>
      </c>
      <c r="U99" s="127">
        <v>1612.6676319245489</v>
      </c>
      <c r="V99" s="128">
        <v>2488.7509007310036</v>
      </c>
      <c r="W99" s="123">
        <v>2021.3963937901985</v>
      </c>
      <c r="X99" s="127">
        <v>2311.2347160007103</v>
      </c>
      <c r="Y99" s="128">
        <v>2636.8157395420867</v>
      </c>
      <c r="Z99" s="123">
        <v>1945.1290255704948</v>
      </c>
      <c r="AA99" s="127">
        <v>2227.3365805277349</v>
      </c>
      <c r="AB99" s="128">
        <v>2544.3458148254444</v>
      </c>
      <c r="AD99" s="41">
        <v>2029</v>
      </c>
      <c r="AE99" s="123">
        <v>1249.4185750356589</v>
      </c>
      <c r="AF99" s="127">
        <v>1978.8755683704626</v>
      </c>
      <c r="AG99" s="128">
        <v>2968.8312641833513</v>
      </c>
      <c r="AH99" s="123">
        <v>1228.1200975568086</v>
      </c>
      <c r="AI99" s="127">
        <v>1847.7944238973434</v>
      </c>
      <c r="AJ99" s="128">
        <v>2790.6537720250299</v>
      </c>
      <c r="AK99" s="123">
        <v>969.40117391250533</v>
      </c>
      <c r="AL99" s="127">
        <v>1612.857587558457</v>
      </c>
      <c r="AM99" s="128">
        <v>2420.4502715638778</v>
      </c>
      <c r="AN99" s="123">
        <v>1006.0813265611414</v>
      </c>
      <c r="AO99" s="127">
        <v>1612.1563962033974</v>
      </c>
      <c r="AP99" s="128">
        <v>2226.3169409873326</v>
      </c>
      <c r="AQ99" s="123">
        <v>1074.8046217507376</v>
      </c>
      <c r="AR99" s="127">
        <v>1462.2917044680121</v>
      </c>
      <c r="AS99" s="128">
        <v>1971.5869394681713</v>
      </c>
      <c r="AT99" s="123">
        <v>935.58306804533947</v>
      </c>
      <c r="AU99" s="127">
        <v>1277.2720766132486</v>
      </c>
      <c r="AV99" s="128">
        <v>1739.4070514825605</v>
      </c>
      <c r="AW99" s="123">
        <v>866.88267276954571</v>
      </c>
      <c r="AX99" s="127">
        <v>1182.9501586920283</v>
      </c>
      <c r="AY99" s="128">
        <v>1610.4319798837187</v>
      </c>
      <c r="AZ99" s="123">
        <v>1383.5265607068036</v>
      </c>
      <c r="BA99" s="127">
        <v>1565.7170910009388</v>
      </c>
      <c r="BB99" s="128">
        <v>1770.7877974616454</v>
      </c>
      <c r="BC99" s="123">
        <v>1428.8366484300643</v>
      </c>
      <c r="BD99" s="127">
        <v>1611.5023209479982</v>
      </c>
      <c r="BE99" s="128">
        <v>1817.1078397908107</v>
      </c>
    </row>
    <row r="100" spans="1:57" x14ac:dyDescent="0.3">
      <c r="A100" s="41">
        <v>2030</v>
      </c>
      <c r="B100" s="123">
        <v>1425.2511836948452</v>
      </c>
      <c r="C100" s="127">
        <v>2491.843301313851</v>
      </c>
      <c r="D100" s="128">
        <v>4087.148651784471</v>
      </c>
      <c r="E100" s="123">
        <v>1536</v>
      </c>
      <c r="F100" s="127">
        <v>2402.8940922937463</v>
      </c>
      <c r="G100" s="128">
        <v>3752.6822768812376</v>
      </c>
      <c r="H100" s="123">
        <v>1450</v>
      </c>
      <c r="I100" s="127">
        <v>2296.1402035719766</v>
      </c>
      <c r="J100" s="128">
        <v>3571.7285278957156</v>
      </c>
      <c r="K100" s="123">
        <v>987.97518939279666</v>
      </c>
      <c r="L100" s="127">
        <v>1989.124558738599</v>
      </c>
      <c r="M100" s="128">
        <v>3246.9506991552144</v>
      </c>
      <c r="N100" s="123">
        <v>1037.7650708704925</v>
      </c>
      <c r="O100" s="127">
        <v>1779.6842201758168</v>
      </c>
      <c r="P100" s="128">
        <v>2940.5039454138109</v>
      </c>
      <c r="Q100" s="123">
        <v>906.50203729694761</v>
      </c>
      <c r="R100" s="127">
        <v>1563.3721668907367</v>
      </c>
      <c r="S100" s="128">
        <v>2618.8834581876195</v>
      </c>
      <c r="T100" s="123">
        <v>846.45487346603375</v>
      </c>
      <c r="U100" s="127">
        <v>1459.813585915118</v>
      </c>
      <c r="V100" s="128">
        <v>2445.4072633223795</v>
      </c>
      <c r="W100" s="123">
        <v>1876.5161558050897</v>
      </c>
      <c r="X100" s="127">
        <v>2207.7599526171039</v>
      </c>
      <c r="Y100" s="128">
        <v>2579.8525509501051</v>
      </c>
      <c r="Z100" s="123">
        <v>1822.2864252891352</v>
      </c>
      <c r="AA100" s="127">
        <v>2151.5285727392488</v>
      </c>
      <c r="AB100" s="128">
        <v>2521.3726794199097</v>
      </c>
      <c r="AD100" s="41">
        <v>2030</v>
      </c>
      <c r="AE100" s="123">
        <v>1235.6887005847175</v>
      </c>
      <c r="AF100" s="127">
        <v>1960.4222656938832</v>
      </c>
      <c r="AG100" s="128">
        <v>2968.8312641833513</v>
      </c>
      <c r="AH100" s="123">
        <v>1199.665875078801</v>
      </c>
      <c r="AI100" s="127">
        <v>1810.4871868147809</v>
      </c>
      <c r="AJ100" s="128">
        <v>2790.6537720250299</v>
      </c>
      <c r="AK100" s="123">
        <v>915.13715681595113</v>
      </c>
      <c r="AL100" s="127">
        <v>1574.8347924857192</v>
      </c>
      <c r="AM100" s="128">
        <v>2420.4502715638778</v>
      </c>
      <c r="AN100" s="123">
        <v>959.20935516703639</v>
      </c>
      <c r="AO100" s="127">
        <v>1581.3749811171876</v>
      </c>
      <c r="AP100" s="128">
        <v>2226.3169409873326</v>
      </c>
      <c r="AQ100" s="123">
        <v>962.96970645122201</v>
      </c>
      <c r="AR100" s="127">
        <v>1389.2054974402256</v>
      </c>
      <c r="AS100" s="128">
        <v>1949.4302559404018</v>
      </c>
      <c r="AT100" s="123">
        <v>812.37915151392849</v>
      </c>
      <c r="AU100" s="127">
        <v>1192.0336054782729</v>
      </c>
      <c r="AV100" s="128">
        <v>1705.5169108886193</v>
      </c>
      <c r="AW100" s="123">
        <v>761.43603317260693</v>
      </c>
      <c r="AX100" s="127">
        <v>1117.2829069681691</v>
      </c>
      <c r="AY100" s="128">
        <v>1598.566419036867</v>
      </c>
      <c r="AZ100" s="123">
        <v>1300.6743698634616</v>
      </c>
      <c r="BA100" s="127">
        <v>1508.8921187710446</v>
      </c>
      <c r="BB100" s="128">
        <v>1743.2586404404237</v>
      </c>
      <c r="BC100" s="123">
        <v>1350.2119739260716</v>
      </c>
      <c r="BD100" s="127">
        <v>1563.3219251969945</v>
      </c>
      <c r="BE100" s="128">
        <v>1803.195030513609</v>
      </c>
    </row>
    <row r="101" spans="1:57" x14ac:dyDescent="0.3">
      <c r="A101" s="41">
        <v>2031</v>
      </c>
      <c r="B101" s="123">
        <v>1418.5441193009872</v>
      </c>
      <c r="C101" s="127">
        <v>2479.7826864995636</v>
      </c>
      <c r="D101" s="128">
        <v>4087.148651784471</v>
      </c>
      <c r="E101" s="123">
        <v>1514.2586829329018</v>
      </c>
      <c r="F101" s="127">
        <v>2384.9803199380467</v>
      </c>
      <c r="G101" s="128">
        <v>3752.6822768812376</v>
      </c>
      <c r="H101" s="123">
        <v>1377.2068283763606</v>
      </c>
      <c r="I101" s="127">
        <v>2261.31941027009</v>
      </c>
      <c r="J101" s="128">
        <v>3571.7285278957156</v>
      </c>
      <c r="K101" s="123">
        <v>964.0275958509427</v>
      </c>
      <c r="L101" s="127">
        <v>1970.1717181075978</v>
      </c>
      <c r="M101" s="128">
        <v>3246.9506991552144</v>
      </c>
      <c r="N101" s="123">
        <v>1022.3232830629319</v>
      </c>
      <c r="O101" s="127">
        <v>1742.8246429975748</v>
      </c>
      <c r="P101" s="128">
        <v>2861.5179303552782</v>
      </c>
      <c r="Q101" s="123">
        <v>892.71111558736857</v>
      </c>
      <c r="R101" s="127">
        <v>1530.2355026393645</v>
      </c>
      <c r="S101" s="128">
        <v>2546.1758355376205</v>
      </c>
      <c r="T101" s="123">
        <v>833.57746954373272</v>
      </c>
      <c r="U101" s="127">
        <v>1428.8719114434116</v>
      </c>
      <c r="V101" s="128">
        <v>2377.5158312041076</v>
      </c>
      <c r="W101" s="123">
        <v>1731.6359178199812</v>
      </c>
      <c r="X101" s="127">
        <v>2104.285189233497</v>
      </c>
      <c r="Y101" s="128">
        <v>2522.8893623581234</v>
      </c>
      <c r="Z101" s="123">
        <v>1699.4438250077756</v>
      </c>
      <c r="AA101" s="127">
        <v>2075.7205649507619</v>
      </c>
      <c r="AB101" s="128">
        <v>2498.3995440143749</v>
      </c>
      <c r="AD101" s="41">
        <v>2031</v>
      </c>
      <c r="AE101" s="123">
        <v>1228.8237633592469</v>
      </c>
      <c r="AF101" s="127">
        <v>1948.2946794291393</v>
      </c>
      <c r="AG101" s="128">
        <v>2968.8312641833513</v>
      </c>
      <c r="AH101" s="123">
        <v>1193.0010646616965</v>
      </c>
      <c r="AI101" s="127">
        <v>1803.8984866353205</v>
      </c>
      <c r="AJ101" s="128">
        <v>2790.6537720250299</v>
      </c>
      <c r="AK101" s="123">
        <v>891.50514637410151</v>
      </c>
      <c r="AL101" s="127">
        <v>1562.5950220840557</v>
      </c>
      <c r="AM101" s="128">
        <v>2420.4502715638778</v>
      </c>
      <c r="AN101" s="123">
        <v>935.73917620945497</v>
      </c>
      <c r="AO101" s="127">
        <v>1568.6620354797237</v>
      </c>
      <c r="AP101" s="128">
        <v>2226.3169409873326</v>
      </c>
      <c r="AQ101" s="123">
        <v>950.296398369587</v>
      </c>
      <c r="AR101" s="127">
        <v>1368.5400522548612</v>
      </c>
      <c r="AS101" s="128">
        <v>1914.7195696398344</v>
      </c>
      <c r="AT101" s="123">
        <v>801.9086966810263</v>
      </c>
      <c r="AU101" s="127">
        <v>1173.6578245443945</v>
      </c>
      <c r="AV101" s="128">
        <v>1673.151303045802</v>
      </c>
      <c r="AW101" s="123">
        <v>751.62216537624568</v>
      </c>
      <c r="AX101" s="127">
        <v>1100.0594446049774</v>
      </c>
      <c r="AY101" s="128">
        <v>1568.2304115197755</v>
      </c>
      <c r="AZ101" s="123">
        <v>1217.8221790201194</v>
      </c>
      <c r="BA101" s="127">
        <v>1452.0671465411506</v>
      </c>
      <c r="BB101" s="128">
        <v>1715.7294834192019</v>
      </c>
      <c r="BC101" s="123">
        <v>1271.5872994220788</v>
      </c>
      <c r="BD101" s="127">
        <v>1515.141529445991</v>
      </c>
      <c r="BE101" s="128">
        <v>1789.2822212364074</v>
      </c>
    </row>
    <row r="102" spans="1:57" x14ac:dyDescent="0.3">
      <c r="A102" s="41">
        <v>2032</v>
      </c>
      <c r="B102" s="123">
        <v>1411.837054907129</v>
      </c>
      <c r="C102" s="127">
        <v>2467.7220716852762</v>
      </c>
      <c r="D102" s="128">
        <v>4087.148651784471</v>
      </c>
      <c r="E102" s="123">
        <v>1492.5173658658034</v>
      </c>
      <c r="F102" s="127">
        <v>2367.0665475823471</v>
      </c>
      <c r="G102" s="128">
        <v>3752.6822768812376</v>
      </c>
      <c r="H102" s="123">
        <v>1304.4136567527212</v>
      </c>
      <c r="I102" s="127">
        <v>2226.4986169682029</v>
      </c>
      <c r="J102" s="128">
        <v>3571.7285278957156</v>
      </c>
      <c r="K102" s="123">
        <v>940.08000230908885</v>
      </c>
      <c r="L102" s="127">
        <v>1951.2188774765964</v>
      </c>
      <c r="M102" s="128">
        <v>3246.9506991552144</v>
      </c>
      <c r="N102" s="123">
        <v>1006.8814952553712</v>
      </c>
      <c r="O102" s="127">
        <v>1705.9650658193318</v>
      </c>
      <c r="P102" s="128">
        <v>2782.531915296745</v>
      </c>
      <c r="Q102" s="123">
        <v>878.92019387778976</v>
      </c>
      <c r="R102" s="127">
        <v>1497.098838387994</v>
      </c>
      <c r="S102" s="128">
        <v>2473.4682128876211</v>
      </c>
      <c r="T102" s="123">
        <v>820.70006562143169</v>
      </c>
      <c r="U102" s="127">
        <v>1397.9302369717059</v>
      </c>
      <c r="V102" s="128">
        <v>2309.6243990858352</v>
      </c>
      <c r="W102" s="123">
        <v>1586.7556798348724</v>
      </c>
      <c r="X102" s="127">
        <v>2000.8104258498902</v>
      </c>
      <c r="Y102" s="128">
        <v>2465.9261737661423</v>
      </c>
      <c r="Z102" s="123">
        <v>1576.6012247264159</v>
      </c>
      <c r="AA102" s="127">
        <v>1999.9125571622749</v>
      </c>
      <c r="AB102" s="128">
        <v>2475.4264086088401</v>
      </c>
      <c r="AD102" s="41">
        <v>2032</v>
      </c>
      <c r="AE102" s="123">
        <v>1221.958826133776</v>
      </c>
      <c r="AF102" s="127">
        <v>1936.1670931643955</v>
      </c>
      <c r="AG102" s="128">
        <v>2968.8312641833513</v>
      </c>
      <c r="AH102" s="123">
        <v>1186.3362542445921</v>
      </c>
      <c r="AI102" s="127">
        <v>1797.3097864558597</v>
      </c>
      <c r="AJ102" s="128">
        <v>2790.6537720250299</v>
      </c>
      <c r="AK102" s="123">
        <v>867.87313593225178</v>
      </c>
      <c r="AL102" s="127">
        <v>1550.355251682392</v>
      </c>
      <c r="AM102" s="128">
        <v>2420.4502715638778</v>
      </c>
      <c r="AN102" s="123">
        <v>912.26899725187366</v>
      </c>
      <c r="AO102" s="127">
        <v>1555.9490898422598</v>
      </c>
      <c r="AP102" s="128">
        <v>2226.3169409873326</v>
      </c>
      <c r="AQ102" s="123">
        <v>937.62309028795187</v>
      </c>
      <c r="AR102" s="127">
        <v>1347.8746070694965</v>
      </c>
      <c r="AS102" s="128">
        <v>1880.008883339267</v>
      </c>
      <c r="AT102" s="123">
        <v>791.43824184812445</v>
      </c>
      <c r="AU102" s="127">
        <v>1155.2820436105158</v>
      </c>
      <c r="AV102" s="128">
        <v>1640.7856952029849</v>
      </c>
      <c r="AW102" s="123">
        <v>741.80829757988442</v>
      </c>
      <c r="AX102" s="127">
        <v>1082.835982241786</v>
      </c>
      <c r="AY102" s="128">
        <v>1537.8944040026838</v>
      </c>
      <c r="AZ102" s="123">
        <v>1134.9699881767774</v>
      </c>
      <c r="BA102" s="127">
        <v>1395.2421743112557</v>
      </c>
      <c r="BB102" s="128">
        <v>1688.2003263979802</v>
      </c>
      <c r="BC102" s="123">
        <v>1192.9626249180865</v>
      </c>
      <c r="BD102" s="127">
        <v>1466.9611336949877</v>
      </c>
      <c r="BE102" s="128">
        <v>1775.369411959206</v>
      </c>
    </row>
    <row r="103" spans="1:57" x14ac:dyDescent="0.3">
      <c r="A103" s="41">
        <v>2033</v>
      </c>
      <c r="B103" s="123">
        <v>1405.129990513271</v>
      </c>
      <c r="C103" s="127">
        <v>2455.6614568709892</v>
      </c>
      <c r="D103" s="128">
        <v>4087.148651784471</v>
      </c>
      <c r="E103" s="123">
        <v>1470.7760487987052</v>
      </c>
      <c r="F103" s="127">
        <v>2349.1527752266479</v>
      </c>
      <c r="G103" s="128">
        <v>3752.6822768812376</v>
      </c>
      <c r="H103" s="123">
        <v>1231.620485129082</v>
      </c>
      <c r="I103" s="127">
        <v>2191.6778236663167</v>
      </c>
      <c r="J103" s="128">
        <v>3571.7285278957156</v>
      </c>
      <c r="K103" s="123">
        <v>916.13240876723489</v>
      </c>
      <c r="L103" s="127">
        <v>1932.2660368455947</v>
      </c>
      <c r="M103" s="128">
        <v>3246.9506991552144</v>
      </c>
      <c r="N103" s="123">
        <v>991.43970744781041</v>
      </c>
      <c r="O103" s="127">
        <v>1669.10548864109</v>
      </c>
      <c r="P103" s="128">
        <v>2703.5459002382122</v>
      </c>
      <c r="Q103" s="123">
        <v>865.12927216821083</v>
      </c>
      <c r="R103" s="127">
        <v>1463.9621741366234</v>
      </c>
      <c r="S103" s="128">
        <v>2400.7605902376217</v>
      </c>
      <c r="T103" s="123">
        <v>807.82266169913066</v>
      </c>
      <c r="U103" s="127">
        <v>1366.9885624999995</v>
      </c>
      <c r="V103" s="128">
        <v>2241.7329669675632</v>
      </c>
      <c r="W103" s="123">
        <v>1441.875441849764</v>
      </c>
      <c r="X103" s="127">
        <v>1897.3356624662838</v>
      </c>
      <c r="Y103" s="128">
        <v>2408.9629851741602</v>
      </c>
      <c r="Z103" s="123">
        <v>1453.7586244450563</v>
      </c>
      <c r="AA103" s="127">
        <v>1924.104549373789</v>
      </c>
      <c r="AB103" s="128">
        <v>2452.4532732033053</v>
      </c>
      <c r="AD103" s="41">
        <v>2033</v>
      </c>
      <c r="AE103" s="123">
        <v>1215.0938889083054</v>
      </c>
      <c r="AF103" s="127">
        <v>1924.0395068996513</v>
      </c>
      <c r="AG103" s="128">
        <v>2968.8312641833513</v>
      </c>
      <c r="AH103" s="123">
        <v>1179.6714438274878</v>
      </c>
      <c r="AI103" s="127">
        <v>1790.7210862763991</v>
      </c>
      <c r="AJ103" s="128">
        <v>2790.6537720250299</v>
      </c>
      <c r="AK103" s="123">
        <v>844.24112549040206</v>
      </c>
      <c r="AL103" s="127">
        <v>1538.1154812807285</v>
      </c>
      <c r="AM103" s="128">
        <v>2420.4502715638778</v>
      </c>
      <c r="AN103" s="123">
        <v>888.79881829429223</v>
      </c>
      <c r="AO103" s="127">
        <v>1543.2361442047957</v>
      </c>
      <c r="AP103" s="128">
        <v>2226.3169409873326</v>
      </c>
      <c r="AQ103" s="123">
        <v>924.94978220631685</v>
      </c>
      <c r="AR103" s="127">
        <v>1327.2091618841316</v>
      </c>
      <c r="AS103" s="128">
        <v>1845.2981970386998</v>
      </c>
      <c r="AT103" s="123">
        <v>780.9677870152226</v>
      </c>
      <c r="AU103" s="127">
        <v>1136.9062626766367</v>
      </c>
      <c r="AV103" s="128">
        <v>1608.4200873601676</v>
      </c>
      <c r="AW103" s="123">
        <v>731.99442978352317</v>
      </c>
      <c r="AX103" s="127">
        <v>1065.6125198785951</v>
      </c>
      <c r="AY103" s="128">
        <v>1507.5583964855923</v>
      </c>
      <c r="AZ103" s="123">
        <v>1052.1177973334354</v>
      </c>
      <c r="BA103" s="127">
        <v>1338.4172020813614</v>
      </c>
      <c r="BB103" s="128">
        <v>1660.6711693767581</v>
      </c>
      <c r="BC103" s="123">
        <v>1114.3379504140939</v>
      </c>
      <c r="BD103" s="127">
        <v>1418.7807379439835</v>
      </c>
      <c r="BE103" s="128">
        <v>1761.4566026820044</v>
      </c>
    </row>
    <row r="104" spans="1:57" x14ac:dyDescent="0.3">
      <c r="A104" s="41">
        <v>2034</v>
      </c>
      <c r="B104" s="123">
        <v>1398.4229261194128</v>
      </c>
      <c r="C104" s="127">
        <v>2443.6008420567018</v>
      </c>
      <c r="D104" s="128">
        <v>4087.148651784471</v>
      </c>
      <c r="E104" s="123">
        <v>1449.0347317316068</v>
      </c>
      <c r="F104" s="127">
        <v>2331.2390028709483</v>
      </c>
      <c r="G104" s="128">
        <v>3752.6822768812376</v>
      </c>
      <c r="H104" s="123">
        <v>1158.8273135054424</v>
      </c>
      <c r="I104" s="127">
        <v>2156.8570303644292</v>
      </c>
      <c r="J104" s="128">
        <v>3571.7285278957156</v>
      </c>
      <c r="K104" s="123">
        <v>892.18481522538104</v>
      </c>
      <c r="L104" s="127">
        <v>1913.3131962145931</v>
      </c>
      <c r="M104" s="128">
        <v>3246.9506991552144</v>
      </c>
      <c r="N104" s="123">
        <v>975.99791964024985</v>
      </c>
      <c r="O104" s="127">
        <v>1632.2459114628477</v>
      </c>
      <c r="P104" s="128">
        <v>2624.5598851796785</v>
      </c>
      <c r="Q104" s="123">
        <v>851.33835045863202</v>
      </c>
      <c r="R104" s="127">
        <v>1430.825509885253</v>
      </c>
      <c r="S104" s="128">
        <v>2328.0529675876232</v>
      </c>
      <c r="T104" s="123">
        <v>794.94525777682964</v>
      </c>
      <c r="U104" s="127">
        <v>1336.0468880282936</v>
      </c>
      <c r="V104" s="128">
        <v>2173.8415348492913</v>
      </c>
      <c r="W104" s="123">
        <v>1296.9952038646552</v>
      </c>
      <c r="X104" s="127">
        <v>1793.860899082677</v>
      </c>
      <c r="Y104" s="128">
        <v>2351.999796582179</v>
      </c>
      <c r="Z104" s="123">
        <v>1330.9160241636966</v>
      </c>
      <c r="AA104" s="127">
        <v>1848.2965415853032</v>
      </c>
      <c r="AB104" s="128">
        <v>2429.480137797771</v>
      </c>
      <c r="AD104" s="41">
        <v>2034</v>
      </c>
      <c r="AE104" s="123">
        <v>1208.2289516828348</v>
      </c>
      <c r="AF104" s="127">
        <v>1911.9119206349076</v>
      </c>
      <c r="AG104" s="128">
        <v>2968.8312641833513</v>
      </c>
      <c r="AH104" s="123">
        <v>1173.0066334103833</v>
      </c>
      <c r="AI104" s="127">
        <v>1784.1323860969387</v>
      </c>
      <c r="AJ104" s="128">
        <v>2790.6537720250299</v>
      </c>
      <c r="AK104" s="123">
        <v>820.60911504855244</v>
      </c>
      <c r="AL104" s="127">
        <v>1525.8757108790646</v>
      </c>
      <c r="AM104" s="128">
        <v>2420.4502715638778</v>
      </c>
      <c r="AN104" s="123">
        <v>865.32863933671081</v>
      </c>
      <c r="AO104" s="127">
        <v>1530.5231985673311</v>
      </c>
      <c r="AP104" s="128">
        <v>2226.3169409873326</v>
      </c>
      <c r="AQ104" s="123">
        <v>912.27647412468195</v>
      </c>
      <c r="AR104" s="127">
        <v>1306.5437166987667</v>
      </c>
      <c r="AS104" s="128">
        <v>1810.5875107381323</v>
      </c>
      <c r="AT104" s="123">
        <v>770.49733218232052</v>
      </c>
      <c r="AU104" s="127">
        <v>1118.5304817427582</v>
      </c>
      <c r="AV104" s="128">
        <v>1576.05447951735</v>
      </c>
      <c r="AW104" s="123">
        <v>722.18056198716181</v>
      </c>
      <c r="AX104" s="127">
        <v>1048.389057515403</v>
      </c>
      <c r="AY104" s="128">
        <v>1477.2223889685006</v>
      </c>
      <c r="AZ104" s="123">
        <v>969.26560649009332</v>
      </c>
      <c r="BA104" s="127">
        <v>1281.5922298514677</v>
      </c>
      <c r="BB104" s="128">
        <v>1633.1420123555361</v>
      </c>
      <c r="BC104" s="123">
        <v>1035.7132759101012</v>
      </c>
      <c r="BD104" s="127">
        <v>1370.60034219298</v>
      </c>
      <c r="BE104" s="128">
        <v>1747.5437934048027</v>
      </c>
    </row>
    <row r="105" spans="1:57" x14ac:dyDescent="0.3">
      <c r="A105" s="41">
        <v>2035</v>
      </c>
      <c r="B105" s="123">
        <v>1391.7158617255548</v>
      </c>
      <c r="C105" s="127">
        <v>2431.5402272424144</v>
      </c>
      <c r="D105" s="128">
        <v>4087.148651784471</v>
      </c>
      <c r="E105" s="123">
        <v>1427.2934146645086</v>
      </c>
      <c r="F105" s="127">
        <v>2313.3252305152487</v>
      </c>
      <c r="G105" s="128">
        <v>3752.6822768812376</v>
      </c>
      <c r="H105" s="123">
        <v>1086.0341418818032</v>
      </c>
      <c r="I105" s="127">
        <v>2122.0362370625426</v>
      </c>
      <c r="J105" s="128">
        <v>3571.7285278957156</v>
      </c>
      <c r="K105" s="123">
        <v>868.23722168352708</v>
      </c>
      <c r="L105" s="127">
        <v>1894.3603555835914</v>
      </c>
      <c r="M105" s="128">
        <v>3246.9506991552144</v>
      </c>
      <c r="N105" s="123">
        <v>960.55613183268918</v>
      </c>
      <c r="O105" s="127">
        <v>1595.3863342846062</v>
      </c>
      <c r="P105" s="128">
        <v>2545.5738701211458</v>
      </c>
      <c r="Q105" s="123">
        <v>837.54742874905298</v>
      </c>
      <c r="R105" s="127">
        <v>1397.6888456338813</v>
      </c>
      <c r="S105" s="128">
        <v>2255.3453449376243</v>
      </c>
      <c r="T105" s="123">
        <v>782.06785385452861</v>
      </c>
      <c r="U105" s="127">
        <v>1305.1052135565869</v>
      </c>
      <c r="V105" s="128">
        <v>2105.9501027310193</v>
      </c>
      <c r="W105" s="123">
        <v>1152.1149658795459</v>
      </c>
      <c r="X105" s="127">
        <v>1690.3861356990699</v>
      </c>
      <c r="Y105" s="128">
        <v>2295.0366079901964</v>
      </c>
      <c r="Z105" s="123">
        <v>1208.0734238823359</v>
      </c>
      <c r="AA105" s="127">
        <v>1772.4885337968174</v>
      </c>
      <c r="AB105" s="128">
        <v>2406.5070023922358</v>
      </c>
      <c r="AD105" s="41">
        <v>2035</v>
      </c>
      <c r="AE105" s="123">
        <v>1201.3640144573644</v>
      </c>
      <c r="AF105" s="127">
        <v>1899.7843343701634</v>
      </c>
      <c r="AG105" s="128">
        <v>2968.8312641833513</v>
      </c>
      <c r="AH105" s="123">
        <v>1166.3418229932788</v>
      </c>
      <c r="AI105" s="127">
        <v>1777.5436859174781</v>
      </c>
      <c r="AJ105" s="128">
        <v>2790.6537720250299</v>
      </c>
      <c r="AK105" s="123">
        <v>796.9771046067026</v>
      </c>
      <c r="AL105" s="127">
        <v>1513.6359404774012</v>
      </c>
      <c r="AM105" s="128">
        <v>2420.4502715638778</v>
      </c>
      <c r="AN105" s="123">
        <v>841.8584603791295</v>
      </c>
      <c r="AO105" s="127">
        <v>1517.8102529298671</v>
      </c>
      <c r="AP105" s="128">
        <v>2226.3169409873326</v>
      </c>
      <c r="AQ105" s="123">
        <v>899.60316604304683</v>
      </c>
      <c r="AR105" s="127">
        <v>1285.8782715134023</v>
      </c>
      <c r="AS105" s="128">
        <v>1775.8768244375649</v>
      </c>
      <c r="AT105" s="123">
        <v>760.02687734941867</v>
      </c>
      <c r="AU105" s="127">
        <v>1100.1547008088792</v>
      </c>
      <c r="AV105" s="128">
        <v>1543.6888716745325</v>
      </c>
      <c r="AW105" s="123">
        <v>712.36669419080067</v>
      </c>
      <c r="AX105" s="127">
        <v>1031.1655951522121</v>
      </c>
      <c r="AY105" s="128">
        <v>1446.8863814514091</v>
      </c>
      <c r="AZ105" s="123">
        <v>886.41341564675179</v>
      </c>
      <c r="BA105" s="127">
        <v>1224.7672576215743</v>
      </c>
      <c r="BB105" s="128">
        <v>1605.6128553343153</v>
      </c>
      <c r="BC105" s="123">
        <v>957.0886014061075</v>
      </c>
      <c r="BD105" s="127">
        <v>1322.4199464419758</v>
      </c>
      <c r="BE105" s="128">
        <v>1733.6309841276013</v>
      </c>
    </row>
    <row r="106" spans="1:57" x14ac:dyDescent="0.3">
      <c r="A106" s="41">
        <v>2036</v>
      </c>
      <c r="B106" s="123">
        <v>1385.0087973316965</v>
      </c>
      <c r="C106" s="127">
        <v>2419.4796124281274</v>
      </c>
      <c r="D106" s="128">
        <v>4087.148651784471</v>
      </c>
      <c r="E106" s="123">
        <v>1405.5520975974102</v>
      </c>
      <c r="F106" s="127">
        <v>2295.4114581595491</v>
      </c>
      <c r="G106" s="128">
        <v>3752.6822768812376</v>
      </c>
      <c r="H106" s="123">
        <v>1013.2409702581639</v>
      </c>
      <c r="I106" s="127">
        <v>2087.2154437606555</v>
      </c>
      <c r="J106" s="128">
        <v>3571.7285278957156</v>
      </c>
      <c r="K106" s="123">
        <v>844.28962814167312</v>
      </c>
      <c r="L106" s="127">
        <v>1875.4075149525897</v>
      </c>
      <c r="M106" s="128">
        <v>3246.9506991552144</v>
      </c>
      <c r="N106" s="123">
        <v>945.11434402512839</v>
      </c>
      <c r="O106" s="127">
        <v>1558.5267571063637</v>
      </c>
      <c r="P106" s="128">
        <v>2466.5878550626126</v>
      </c>
      <c r="Q106" s="123">
        <v>823.75650703947417</v>
      </c>
      <c r="R106" s="127">
        <v>1364.552181382511</v>
      </c>
      <c r="S106" s="128">
        <v>2182.6377222876254</v>
      </c>
      <c r="T106" s="123">
        <v>769.19044993222758</v>
      </c>
      <c r="U106" s="127">
        <v>1274.163539084881</v>
      </c>
      <c r="V106" s="128">
        <v>2038.0586706127472</v>
      </c>
      <c r="W106" s="123">
        <v>1135.2167402466114</v>
      </c>
      <c r="X106" s="127">
        <v>1659.3551351078547</v>
      </c>
      <c r="Y106" s="128">
        <v>2250.3012896726814</v>
      </c>
      <c r="Z106" s="123">
        <v>1190.3544479966863</v>
      </c>
      <c r="AA106" s="127">
        <v>1739.9503512013807</v>
      </c>
      <c r="AB106" s="128">
        <v>2359.5988805738116</v>
      </c>
      <c r="AD106" s="41">
        <v>2036</v>
      </c>
      <c r="AE106" s="123">
        <v>1194.4990772318938</v>
      </c>
      <c r="AF106" s="127">
        <v>1887.6567481054199</v>
      </c>
      <c r="AG106" s="128">
        <v>2968.8312641833513</v>
      </c>
      <c r="AH106" s="123">
        <v>1159.6770125761743</v>
      </c>
      <c r="AI106" s="127">
        <v>1770.9549857380175</v>
      </c>
      <c r="AJ106" s="128">
        <v>2790.6537720250299</v>
      </c>
      <c r="AK106" s="123">
        <v>773.34509416485287</v>
      </c>
      <c r="AL106" s="127">
        <v>1501.3961700757375</v>
      </c>
      <c r="AM106" s="128">
        <v>2420.4502715638778</v>
      </c>
      <c r="AN106" s="123">
        <v>818.38828142154807</v>
      </c>
      <c r="AO106" s="127">
        <v>1505.097307292403</v>
      </c>
      <c r="AP106" s="128">
        <v>2226.3169409873326</v>
      </c>
      <c r="AQ106" s="123">
        <v>886.92985796141193</v>
      </c>
      <c r="AR106" s="127">
        <v>1265.2128263280376</v>
      </c>
      <c r="AS106" s="128">
        <v>1741.1661381369977</v>
      </c>
      <c r="AT106" s="123">
        <v>749.55642251651659</v>
      </c>
      <c r="AU106" s="127">
        <v>1081.7789198750004</v>
      </c>
      <c r="AV106" s="128">
        <v>1511.3232638317152</v>
      </c>
      <c r="AW106" s="123">
        <v>702.55282639443942</v>
      </c>
      <c r="AX106" s="127">
        <v>1013.942132789021</v>
      </c>
      <c r="AY106" s="128">
        <v>1416.5503739343173</v>
      </c>
      <c r="AZ106" s="123">
        <v>876.53593341710587</v>
      </c>
      <c r="BA106" s="127">
        <v>1205.4925537741904</v>
      </c>
      <c r="BB106" s="128">
        <v>1577.3903651042713</v>
      </c>
      <c r="BC106" s="123">
        <v>946.42357142606386</v>
      </c>
      <c r="BD106" s="127">
        <v>1301.6084390548174</v>
      </c>
      <c r="BE106" s="128">
        <v>1703.158268771909</v>
      </c>
    </row>
    <row r="107" spans="1:57" x14ac:dyDescent="0.3">
      <c r="A107" s="41">
        <v>2037</v>
      </c>
      <c r="B107" s="123">
        <v>1378.3017329378386</v>
      </c>
      <c r="C107" s="127">
        <v>2407.4189976138405</v>
      </c>
      <c r="D107" s="128">
        <v>4087.148651784471</v>
      </c>
      <c r="E107" s="123">
        <v>1383.8107805303118</v>
      </c>
      <c r="F107" s="127">
        <v>2277.4976858038499</v>
      </c>
      <c r="G107" s="128">
        <v>3752.6822768812376</v>
      </c>
      <c r="H107" s="123">
        <v>940.44779863452447</v>
      </c>
      <c r="I107" s="127">
        <v>2052.3946504587684</v>
      </c>
      <c r="J107" s="128">
        <v>3571.7285278957156</v>
      </c>
      <c r="K107" s="123">
        <v>820.34203459981927</v>
      </c>
      <c r="L107" s="127">
        <v>1856.4546743215883</v>
      </c>
      <c r="M107" s="128">
        <v>3246.9506991552144</v>
      </c>
      <c r="N107" s="123">
        <v>929.67255621756783</v>
      </c>
      <c r="O107" s="127">
        <v>1521.6671799281214</v>
      </c>
      <c r="P107" s="128">
        <v>2387.6018400040793</v>
      </c>
      <c r="Q107" s="123">
        <v>809.96558532989525</v>
      </c>
      <c r="R107" s="127">
        <v>1331.4155171311404</v>
      </c>
      <c r="S107" s="128">
        <v>2109.9300996376264</v>
      </c>
      <c r="T107" s="123">
        <v>756.31304600992644</v>
      </c>
      <c r="U107" s="127">
        <v>1243.2218646131746</v>
      </c>
      <c r="V107" s="128">
        <v>1970.167238494475</v>
      </c>
      <c r="W107" s="123">
        <v>1118.3185146136766</v>
      </c>
      <c r="X107" s="127">
        <v>1628.3241345166393</v>
      </c>
      <c r="Y107" s="128">
        <v>2205.5659713551663</v>
      </c>
      <c r="Z107" s="123">
        <v>1172.6354721110367</v>
      </c>
      <c r="AA107" s="127">
        <v>1707.4121686059436</v>
      </c>
      <c r="AB107" s="128">
        <v>2312.6907587553878</v>
      </c>
      <c r="AD107" s="41">
        <v>2037</v>
      </c>
      <c r="AE107" s="123">
        <v>1187.634140006423</v>
      </c>
      <c r="AF107" s="127">
        <v>1875.5291618406757</v>
      </c>
      <c r="AG107" s="128">
        <v>2968.8312641833513</v>
      </c>
      <c r="AH107" s="123">
        <v>1153.0122021590698</v>
      </c>
      <c r="AI107" s="127">
        <v>1764.3662855585569</v>
      </c>
      <c r="AJ107" s="128">
        <v>2790.6537720250299</v>
      </c>
      <c r="AK107" s="123">
        <v>749.71308372300325</v>
      </c>
      <c r="AL107" s="127">
        <v>1489.1563996740742</v>
      </c>
      <c r="AM107" s="128">
        <v>2420.4502715638778</v>
      </c>
      <c r="AN107" s="123">
        <v>794.91810246396665</v>
      </c>
      <c r="AO107" s="127">
        <v>1492.3843616549389</v>
      </c>
      <c r="AP107" s="128">
        <v>2226.3169409873326</v>
      </c>
      <c r="AQ107" s="123">
        <v>874.2565498797768</v>
      </c>
      <c r="AR107" s="127">
        <v>1244.5473811426732</v>
      </c>
      <c r="AS107" s="128">
        <v>1706.4554518364303</v>
      </c>
      <c r="AT107" s="123">
        <v>739.08596768361474</v>
      </c>
      <c r="AU107" s="127">
        <v>1063.4031389411218</v>
      </c>
      <c r="AV107" s="128">
        <v>1478.9576559888976</v>
      </c>
      <c r="AW107" s="123">
        <v>692.73895859807828</v>
      </c>
      <c r="AX107" s="127">
        <v>996.7186704258296</v>
      </c>
      <c r="AY107" s="128">
        <v>1386.2143664172258</v>
      </c>
      <c r="AZ107" s="123">
        <v>866.65845118745983</v>
      </c>
      <c r="BA107" s="127">
        <v>1186.2178499268075</v>
      </c>
      <c r="BB107" s="128">
        <v>1549.1678748742274</v>
      </c>
      <c r="BC107" s="123">
        <v>935.7585414460201</v>
      </c>
      <c r="BD107" s="127">
        <v>1280.7969316676574</v>
      </c>
      <c r="BE107" s="128">
        <v>1672.6855534162169</v>
      </c>
    </row>
    <row r="108" spans="1:57" x14ac:dyDescent="0.3">
      <c r="A108" s="41">
        <v>2038</v>
      </c>
      <c r="B108" s="123">
        <v>1371.5946685439803</v>
      </c>
      <c r="C108" s="127">
        <v>2395.3583827995531</v>
      </c>
      <c r="D108" s="128">
        <v>4087.148651784471</v>
      </c>
      <c r="E108" s="123">
        <v>1362.0694634632134</v>
      </c>
      <c r="F108" s="127">
        <v>2259.5839134481507</v>
      </c>
      <c r="G108" s="128">
        <v>3752.6822768812376</v>
      </c>
      <c r="H108" s="123">
        <v>867.65462701088506</v>
      </c>
      <c r="I108" s="127">
        <v>2017.5738571568818</v>
      </c>
      <c r="J108" s="128">
        <v>3571.7285278957156</v>
      </c>
      <c r="K108" s="123">
        <v>796.39444105796531</v>
      </c>
      <c r="L108" s="127">
        <v>1837.5018336905866</v>
      </c>
      <c r="M108" s="128">
        <v>3246.9506991552144</v>
      </c>
      <c r="N108" s="123">
        <v>914.23076841000716</v>
      </c>
      <c r="O108" s="127">
        <v>1484.8076027498794</v>
      </c>
      <c r="P108" s="128">
        <v>2308.6158249455457</v>
      </c>
      <c r="Q108" s="123">
        <v>796.17466362031644</v>
      </c>
      <c r="R108" s="127">
        <v>1298.2788528797701</v>
      </c>
      <c r="S108" s="128">
        <v>2037.2224769876279</v>
      </c>
      <c r="T108" s="123">
        <v>743.43564208762541</v>
      </c>
      <c r="U108" s="127">
        <v>1212.2801901414684</v>
      </c>
      <c r="V108" s="128">
        <v>1902.275806376203</v>
      </c>
      <c r="W108" s="123">
        <v>1101.420288980742</v>
      </c>
      <c r="X108" s="127">
        <v>1597.293133925426</v>
      </c>
      <c r="Y108" s="128">
        <v>2160.8306530376512</v>
      </c>
      <c r="Z108" s="123">
        <v>1154.9164962253874</v>
      </c>
      <c r="AA108" s="127">
        <v>1674.8739860105075</v>
      </c>
      <c r="AB108" s="128">
        <v>2265.7826369369636</v>
      </c>
      <c r="AD108" s="41">
        <v>2038</v>
      </c>
      <c r="AE108" s="123">
        <v>1180.7692027809524</v>
      </c>
      <c r="AF108" s="127">
        <v>1863.4015755759315</v>
      </c>
      <c r="AG108" s="128">
        <v>2968.8312641833513</v>
      </c>
      <c r="AH108" s="123">
        <v>1146.3473917419653</v>
      </c>
      <c r="AI108" s="127">
        <v>1757.7775853790961</v>
      </c>
      <c r="AJ108" s="128">
        <v>2790.6537720250299</v>
      </c>
      <c r="AK108" s="123">
        <v>726.08107328115352</v>
      </c>
      <c r="AL108" s="127">
        <v>1476.9166292724099</v>
      </c>
      <c r="AM108" s="128">
        <v>2420.4502715638778</v>
      </c>
      <c r="AN108" s="123">
        <v>771.44792350638534</v>
      </c>
      <c r="AO108" s="127">
        <v>1479.6714160174749</v>
      </c>
      <c r="AP108" s="128">
        <v>2226.3169409873326</v>
      </c>
      <c r="AQ108" s="123">
        <v>861.58324179814178</v>
      </c>
      <c r="AR108" s="127">
        <v>1223.8819359573085</v>
      </c>
      <c r="AS108" s="128">
        <v>1671.7447655358628</v>
      </c>
      <c r="AT108" s="123">
        <v>728.61551285071278</v>
      </c>
      <c r="AU108" s="127">
        <v>1045.0273580072426</v>
      </c>
      <c r="AV108" s="128">
        <v>1446.5920481460807</v>
      </c>
      <c r="AW108" s="123">
        <v>682.92509080171692</v>
      </c>
      <c r="AX108" s="127">
        <v>979.49520806263843</v>
      </c>
      <c r="AY108" s="128">
        <v>1355.8783589001343</v>
      </c>
      <c r="AZ108" s="123">
        <v>856.78096895781368</v>
      </c>
      <c r="BA108" s="127">
        <v>1166.9431460794235</v>
      </c>
      <c r="BB108" s="128">
        <v>1520.9453846441829</v>
      </c>
      <c r="BC108" s="123">
        <v>925.09351146597646</v>
      </c>
      <c r="BD108" s="127">
        <v>1259.9854242804993</v>
      </c>
      <c r="BE108" s="128">
        <v>1642.2128380605247</v>
      </c>
    </row>
    <row r="109" spans="1:57" x14ac:dyDescent="0.3">
      <c r="A109" s="41">
        <v>2039</v>
      </c>
      <c r="B109" s="123">
        <v>1364.8876041501223</v>
      </c>
      <c r="C109" s="127">
        <v>2383.2977679852661</v>
      </c>
      <c r="D109" s="128">
        <v>4087.148651784471</v>
      </c>
      <c r="E109" s="123">
        <v>1340.3281463961152</v>
      </c>
      <c r="F109" s="127">
        <v>2241.6701410924511</v>
      </c>
      <c r="G109" s="128">
        <v>3752.6822768812376</v>
      </c>
      <c r="H109" s="123">
        <v>794.86145538724577</v>
      </c>
      <c r="I109" s="127">
        <v>1982.7530638549945</v>
      </c>
      <c r="J109" s="128">
        <v>3571.7285278957156</v>
      </c>
      <c r="K109" s="123">
        <v>772.44684751611146</v>
      </c>
      <c r="L109" s="127">
        <v>1818.548993059585</v>
      </c>
      <c r="M109" s="128">
        <v>3246.9506991552144</v>
      </c>
      <c r="N109" s="123">
        <v>898.78898060244637</v>
      </c>
      <c r="O109" s="127">
        <v>1447.9480255716369</v>
      </c>
      <c r="P109" s="128">
        <v>2229.6298098870125</v>
      </c>
      <c r="Q109" s="123">
        <v>782.3837419107374</v>
      </c>
      <c r="R109" s="127">
        <v>1265.1421886283979</v>
      </c>
      <c r="S109" s="128">
        <v>1964.514854337629</v>
      </c>
      <c r="T109" s="123">
        <v>730.55823816532438</v>
      </c>
      <c r="U109" s="127">
        <v>1181.338515669762</v>
      </c>
      <c r="V109" s="128">
        <v>1834.3843742579309</v>
      </c>
      <c r="W109" s="123">
        <v>1084.5220633478073</v>
      </c>
      <c r="X109" s="127">
        <v>1566.2621333342106</v>
      </c>
      <c r="Y109" s="128">
        <v>2116.0953347201357</v>
      </c>
      <c r="Z109" s="123">
        <v>1137.1975203397378</v>
      </c>
      <c r="AA109" s="127">
        <v>1642.3358034150708</v>
      </c>
      <c r="AB109" s="128">
        <v>2218.8745151185399</v>
      </c>
      <c r="AD109" s="41">
        <v>2039</v>
      </c>
      <c r="AE109" s="123">
        <v>1173.9042655554817</v>
      </c>
      <c r="AF109" s="127">
        <v>1851.2739893111877</v>
      </c>
      <c r="AG109" s="128">
        <v>2968.8312641833513</v>
      </c>
      <c r="AH109" s="123">
        <v>1139.6825813248611</v>
      </c>
      <c r="AI109" s="127">
        <v>1751.1888851996357</v>
      </c>
      <c r="AJ109" s="128">
        <v>2790.6537720250299</v>
      </c>
      <c r="AK109" s="123">
        <v>702.44906283930379</v>
      </c>
      <c r="AL109" s="127">
        <v>1464.6768588707464</v>
      </c>
      <c r="AM109" s="128">
        <v>2420.4502715638778</v>
      </c>
      <c r="AN109" s="123">
        <v>747.97774454880391</v>
      </c>
      <c r="AO109" s="127">
        <v>1466.9584703800103</v>
      </c>
      <c r="AP109" s="128">
        <v>2226.3169409873326</v>
      </c>
      <c r="AQ109" s="123">
        <v>848.90993371650688</v>
      </c>
      <c r="AR109" s="127">
        <v>1203.2164907719441</v>
      </c>
      <c r="AS109" s="128">
        <v>1637.0340792352958</v>
      </c>
      <c r="AT109" s="123">
        <v>718.1450580178107</v>
      </c>
      <c r="AU109" s="127">
        <v>1026.651577073364</v>
      </c>
      <c r="AV109" s="128">
        <v>1414.2264403032632</v>
      </c>
      <c r="AW109" s="123">
        <v>673.11122300535567</v>
      </c>
      <c r="AX109" s="127">
        <v>962.27174569944702</v>
      </c>
      <c r="AY109" s="128">
        <v>1325.5423513830426</v>
      </c>
      <c r="AZ109" s="123">
        <v>846.90348672816776</v>
      </c>
      <c r="BA109" s="127">
        <v>1147.66844223204</v>
      </c>
      <c r="BB109" s="128">
        <v>1492.7228944141391</v>
      </c>
      <c r="BC109" s="123">
        <v>914.42848148593259</v>
      </c>
      <c r="BD109" s="127">
        <v>1239.17391689334</v>
      </c>
      <c r="BE109" s="128">
        <v>1611.7401227048322</v>
      </c>
    </row>
    <row r="110" spans="1:57" x14ac:dyDescent="0.3">
      <c r="A110" s="41">
        <v>2040</v>
      </c>
      <c r="B110" s="123">
        <v>1358.1805397562639</v>
      </c>
      <c r="C110" s="127">
        <v>2371.2371531709787</v>
      </c>
      <c r="D110" s="128">
        <v>4087.148651784471</v>
      </c>
      <c r="E110" s="123">
        <v>1318.5868293290175</v>
      </c>
      <c r="F110" s="127">
        <v>2223.7563687367515</v>
      </c>
      <c r="G110" s="128">
        <v>3752.6822768812376</v>
      </c>
      <c r="H110" s="123">
        <v>722.06828376360647</v>
      </c>
      <c r="I110" s="127">
        <v>1947.9322705531072</v>
      </c>
      <c r="J110" s="128">
        <v>3571.7285278957156</v>
      </c>
      <c r="K110" s="123">
        <v>748.49925397425807</v>
      </c>
      <c r="L110" s="127">
        <v>1799.5961524285831</v>
      </c>
      <c r="M110" s="128">
        <v>3246.9506991552144</v>
      </c>
      <c r="N110" s="123">
        <v>883.34719279488581</v>
      </c>
      <c r="O110" s="127">
        <v>1411.0884483933949</v>
      </c>
      <c r="P110" s="128">
        <v>2150.6437948284788</v>
      </c>
      <c r="Q110" s="123">
        <v>768.59282020115847</v>
      </c>
      <c r="R110" s="127">
        <v>1232.0055243770275</v>
      </c>
      <c r="S110" s="128">
        <v>1891.8072316876303</v>
      </c>
      <c r="T110" s="123">
        <v>717.68083424302336</v>
      </c>
      <c r="U110" s="127">
        <v>1150.3968411980566</v>
      </c>
      <c r="V110" s="128">
        <v>1766.4929421396589</v>
      </c>
      <c r="W110" s="123">
        <v>1067.6238377148725</v>
      </c>
      <c r="X110" s="127">
        <v>1535.2311327429957</v>
      </c>
      <c r="Y110" s="128">
        <v>2071.3600164026207</v>
      </c>
      <c r="Z110" s="123">
        <v>1119.4785444540883</v>
      </c>
      <c r="AA110" s="127">
        <v>1609.7976208196342</v>
      </c>
      <c r="AB110" s="128">
        <v>2171.9663933001157</v>
      </c>
      <c r="AD110" s="41">
        <v>2040</v>
      </c>
      <c r="AE110" s="123">
        <v>1167.0393283300109</v>
      </c>
      <c r="AF110" s="127">
        <v>1839.1464030464438</v>
      </c>
      <c r="AG110" s="128">
        <v>2968.8312641833513</v>
      </c>
      <c r="AH110" s="123">
        <v>1133.0177709077564</v>
      </c>
      <c r="AI110" s="127">
        <v>1744.6001850201749</v>
      </c>
      <c r="AJ110" s="128">
        <v>2790.6537720250299</v>
      </c>
      <c r="AK110" s="123">
        <v>678.81705239745418</v>
      </c>
      <c r="AL110" s="127">
        <v>1452.4370884690829</v>
      </c>
      <c r="AM110" s="128">
        <v>2420.4502715638778</v>
      </c>
      <c r="AN110" s="123">
        <v>724.50756559122306</v>
      </c>
      <c r="AO110" s="127">
        <v>1454.2455247425471</v>
      </c>
      <c r="AP110" s="128">
        <v>2226.3169409873326</v>
      </c>
      <c r="AQ110" s="123">
        <v>836.23662563487176</v>
      </c>
      <c r="AR110" s="127">
        <v>1182.5510455865792</v>
      </c>
      <c r="AS110" s="128">
        <v>1602.3233929347284</v>
      </c>
      <c r="AT110" s="123">
        <v>707.67460318490873</v>
      </c>
      <c r="AU110" s="127">
        <v>1008.2757961394854</v>
      </c>
      <c r="AV110" s="128">
        <v>1381.8608324604456</v>
      </c>
      <c r="AW110" s="123">
        <v>663.29735520899453</v>
      </c>
      <c r="AX110" s="127">
        <v>945.04828333625539</v>
      </c>
      <c r="AY110" s="128">
        <v>1295.2063438659511</v>
      </c>
      <c r="AZ110" s="123">
        <v>837.02600449852173</v>
      </c>
      <c r="BA110" s="127">
        <v>1128.3937383846562</v>
      </c>
      <c r="BB110" s="128">
        <v>1464.5004041840946</v>
      </c>
      <c r="BC110" s="123">
        <v>903.76345150588895</v>
      </c>
      <c r="BD110" s="127">
        <v>1218.3624095061814</v>
      </c>
      <c r="BE110" s="128">
        <v>1581.2674073491401</v>
      </c>
    </row>
    <row r="111" spans="1:57" x14ac:dyDescent="0.3">
      <c r="A111" s="41">
        <v>2041</v>
      </c>
      <c r="B111" s="123">
        <v>1349.7967092639415</v>
      </c>
      <c r="C111" s="127">
        <v>2365.368471826353</v>
      </c>
      <c r="D111" s="128">
        <v>4087.148651784471</v>
      </c>
      <c r="E111" s="123">
        <v>1310.4474044566164</v>
      </c>
      <c r="F111" s="127">
        <v>2216.7765604459514</v>
      </c>
      <c r="G111" s="128">
        <v>3752.6822768812376</v>
      </c>
      <c r="H111" s="123">
        <v>719.86145538724577</v>
      </c>
      <c r="I111" s="127">
        <v>1943.0299944276535</v>
      </c>
      <c r="J111" s="128">
        <v>3571.7285278957156</v>
      </c>
      <c r="K111" s="123">
        <v>737.04495335661113</v>
      </c>
      <c r="L111" s="127">
        <v>1791.0704909581132</v>
      </c>
      <c r="M111" s="128">
        <v>3246.9506991552144</v>
      </c>
      <c r="N111" s="123">
        <v>867.90540498732514</v>
      </c>
      <c r="O111" s="127">
        <v>1374.2288712151528</v>
      </c>
      <c r="P111" s="128">
        <v>2071.6577797699456</v>
      </c>
      <c r="Q111" s="123">
        <v>754.80189849157966</v>
      </c>
      <c r="R111" s="127">
        <v>1198.868860125657</v>
      </c>
      <c r="S111" s="128">
        <v>1819.0996090376314</v>
      </c>
      <c r="T111" s="123">
        <v>704.80343032072233</v>
      </c>
      <c r="U111" s="127">
        <v>1119.4551667263497</v>
      </c>
      <c r="V111" s="128">
        <v>1698.6015100213867</v>
      </c>
      <c r="W111" s="123">
        <v>1050.7256120819379</v>
      </c>
      <c r="X111" s="127">
        <v>1504.2001321517807</v>
      </c>
      <c r="Y111" s="128">
        <v>2026.6246980851054</v>
      </c>
      <c r="Z111" s="123">
        <v>1101.7595685684387</v>
      </c>
      <c r="AA111" s="127">
        <v>1577.2594382241975</v>
      </c>
      <c r="AB111" s="128">
        <v>2125.0582714816919</v>
      </c>
      <c r="AD111" s="41">
        <v>2041</v>
      </c>
      <c r="AE111" s="123">
        <v>1160.1743911045403</v>
      </c>
      <c r="AF111" s="127">
        <v>1834.2837391784021</v>
      </c>
      <c r="AG111" s="128">
        <v>2968.8312641833513</v>
      </c>
      <c r="AH111" s="123">
        <v>1126.3529604906521</v>
      </c>
      <c r="AI111" s="127">
        <v>1740.1950331942608</v>
      </c>
      <c r="AJ111" s="128">
        <v>2790.6537720250299</v>
      </c>
      <c r="AK111" s="123">
        <v>675.56016911466543</v>
      </c>
      <c r="AL111" s="127">
        <v>1449.1702439142964</v>
      </c>
      <c r="AM111" s="128">
        <v>2420.4502715638778</v>
      </c>
      <c r="AN111" s="123">
        <v>718.14139167326175</v>
      </c>
      <c r="AO111" s="127">
        <v>1446.6223617735154</v>
      </c>
      <c r="AP111" s="128">
        <v>2226.3169409873326</v>
      </c>
      <c r="AQ111" s="123">
        <v>823.56331755323663</v>
      </c>
      <c r="AR111" s="127">
        <v>1161.8856004012146</v>
      </c>
      <c r="AS111" s="128">
        <v>1567.612706634161</v>
      </c>
      <c r="AT111" s="123">
        <v>697.20414835200688</v>
      </c>
      <c r="AU111" s="127">
        <v>989.90001520560611</v>
      </c>
      <c r="AV111" s="128">
        <v>1349.4952246176283</v>
      </c>
      <c r="AW111" s="123">
        <v>653.48348741263317</v>
      </c>
      <c r="AX111" s="127">
        <v>927.82482097306433</v>
      </c>
      <c r="AY111" s="128">
        <v>1264.8703363488594</v>
      </c>
      <c r="AZ111" s="123">
        <v>827.14852226887581</v>
      </c>
      <c r="BA111" s="127">
        <v>1109.1190345372734</v>
      </c>
      <c r="BB111" s="128">
        <v>1436.2779139540507</v>
      </c>
      <c r="BC111" s="123">
        <v>893.0984215258452</v>
      </c>
      <c r="BD111" s="127">
        <v>1197.5509021190221</v>
      </c>
      <c r="BE111" s="128">
        <v>1550.7946919934479</v>
      </c>
    </row>
    <row r="112" spans="1:57" x14ac:dyDescent="0.3">
      <c r="A112" s="41">
        <v>2042</v>
      </c>
      <c r="B112" s="123">
        <v>1341.4128787716188</v>
      </c>
      <c r="C112" s="127">
        <v>2359.4997904817269</v>
      </c>
      <c r="D112" s="128">
        <v>4087.148651784471</v>
      </c>
      <c r="E112" s="123">
        <v>1302.307979584215</v>
      </c>
      <c r="F112" s="127">
        <v>2209.7967521551509</v>
      </c>
      <c r="G112" s="128">
        <v>3752.6822768812376</v>
      </c>
      <c r="H112" s="123">
        <v>717.65462701088495</v>
      </c>
      <c r="I112" s="127">
        <v>1938.1277183021998</v>
      </c>
      <c r="J112" s="128">
        <v>3571.7285278957156</v>
      </c>
      <c r="K112" s="123">
        <v>725.5906527389642</v>
      </c>
      <c r="L112" s="127">
        <v>1782.5448294876433</v>
      </c>
      <c r="M112" s="128">
        <v>3246.9506991552144</v>
      </c>
      <c r="N112" s="123">
        <v>852.46361717976436</v>
      </c>
      <c r="O112" s="127">
        <v>1337.3692940369103</v>
      </c>
      <c r="P112" s="128">
        <v>1992.6717647114122</v>
      </c>
      <c r="Q112" s="123">
        <v>741.01097678200074</v>
      </c>
      <c r="R112" s="127">
        <v>1165.7321958742859</v>
      </c>
      <c r="S112" s="128">
        <v>1746.3919863876326</v>
      </c>
      <c r="T112" s="123">
        <v>691.9260263984213</v>
      </c>
      <c r="U112" s="127">
        <v>1088.513492254644</v>
      </c>
      <c r="V112" s="128">
        <v>1630.7100779031148</v>
      </c>
      <c r="W112" s="123">
        <v>1033.8273864490034</v>
      </c>
      <c r="X112" s="127">
        <v>1473.1691315605658</v>
      </c>
      <c r="Y112" s="128">
        <v>1981.8893797675901</v>
      </c>
      <c r="Z112" s="123">
        <v>1084.0405926827891</v>
      </c>
      <c r="AA112" s="127">
        <v>1544.7212556287607</v>
      </c>
      <c r="AB112" s="128">
        <v>2078.1501496632682</v>
      </c>
      <c r="AD112" s="41">
        <v>2042</v>
      </c>
      <c r="AE112" s="123">
        <v>1153.3094538790697</v>
      </c>
      <c r="AF112" s="127">
        <v>1829.4210753103603</v>
      </c>
      <c r="AG112" s="128">
        <v>2968.8312641833513</v>
      </c>
      <c r="AH112" s="123">
        <v>1119.6881500735474</v>
      </c>
      <c r="AI112" s="127">
        <v>1735.7898813683462</v>
      </c>
      <c r="AJ112" s="128">
        <v>2790.6537720250299</v>
      </c>
      <c r="AK112" s="123">
        <v>672.30328583187702</v>
      </c>
      <c r="AL112" s="127">
        <v>1445.9033993595103</v>
      </c>
      <c r="AM112" s="128">
        <v>2420.4502715638778</v>
      </c>
      <c r="AN112" s="123">
        <v>711.77521775530056</v>
      </c>
      <c r="AO112" s="127">
        <v>1438.9991988044844</v>
      </c>
      <c r="AP112" s="128">
        <v>2226.3169409873326</v>
      </c>
      <c r="AQ112" s="123">
        <v>810.89000947160184</v>
      </c>
      <c r="AR112" s="127">
        <v>1141.2201552158499</v>
      </c>
      <c r="AS112" s="128">
        <v>1532.9020203335938</v>
      </c>
      <c r="AT112" s="123">
        <v>686.73369351910492</v>
      </c>
      <c r="AU112" s="127">
        <v>971.52423427172732</v>
      </c>
      <c r="AV112" s="128">
        <v>1317.1296167748108</v>
      </c>
      <c r="AW112" s="123">
        <v>643.66961961627203</v>
      </c>
      <c r="AX112" s="127">
        <v>910.60135860987282</v>
      </c>
      <c r="AY112" s="128">
        <v>1234.5343288317679</v>
      </c>
      <c r="AZ112" s="123">
        <v>817.27104003922977</v>
      </c>
      <c r="BA112" s="127">
        <v>1089.8443306898896</v>
      </c>
      <c r="BB112" s="128">
        <v>1408.0554237240062</v>
      </c>
      <c r="BC112" s="123">
        <v>882.43339154580144</v>
      </c>
      <c r="BD112" s="127">
        <v>1176.7393947318637</v>
      </c>
      <c r="BE112" s="128">
        <v>1520.3219766377556</v>
      </c>
    </row>
    <row r="113" spans="1:57" x14ac:dyDescent="0.3">
      <c r="A113" s="41">
        <v>2043</v>
      </c>
      <c r="B113" s="123">
        <v>1333.0290482792961</v>
      </c>
      <c r="C113" s="127">
        <v>2353.6311091371017</v>
      </c>
      <c r="D113" s="128">
        <v>4087.148651784471</v>
      </c>
      <c r="E113" s="123">
        <v>1294.1685547118138</v>
      </c>
      <c r="F113" s="127">
        <v>2202.8169438643508</v>
      </c>
      <c r="G113" s="128">
        <v>3752.6822768812376</v>
      </c>
      <c r="H113" s="123">
        <v>715.44779863452436</v>
      </c>
      <c r="I113" s="127">
        <v>1933.2254421767466</v>
      </c>
      <c r="J113" s="128">
        <v>3571.7285278957156</v>
      </c>
      <c r="K113" s="123">
        <v>714.13635212131715</v>
      </c>
      <c r="L113" s="127">
        <v>1774.0191680171729</v>
      </c>
      <c r="M113" s="128">
        <v>3246.9506991552144</v>
      </c>
      <c r="N113" s="123">
        <v>837.0218293722038</v>
      </c>
      <c r="O113" s="127">
        <v>1300.5097168586681</v>
      </c>
      <c r="P113" s="128">
        <v>1913.6857496528789</v>
      </c>
      <c r="Q113" s="123">
        <v>727.22005507242181</v>
      </c>
      <c r="R113" s="127">
        <v>1132.5955316229151</v>
      </c>
      <c r="S113" s="128">
        <v>1673.6843637376339</v>
      </c>
      <c r="T113" s="123">
        <v>679.04862247612027</v>
      </c>
      <c r="U113" s="127">
        <v>1057.5718177829378</v>
      </c>
      <c r="V113" s="128">
        <v>1562.8186457848426</v>
      </c>
      <c r="W113" s="123">
        <v>1016.9291608160686</v>
      </c>
      <c r="X113" s="127">
        <v>1442.1381309693504</v>
      </c>
      <c r="Y113" s="128">
        <v>1937.1540614500748</v>
      </c>
      <c r="Z113" s="123">
        <v>1066.3216167971398</v>
      </c>
      <c r="AA113" s="127">
        <v>1512.183073033324</v>
      </c>
      <c r="AB113" s="128">
        <v>2031.242027844844</v>
      </c>
      <c r="AD113" s="41">
        <v>2043</v>
      </c>
      <c r="AE113" s="123">
        <v>1146.4445166535991</v>
      </c>
      <c r="AF113" s="127">
        <v>1824.5584114423186</v>
      </c>
      <c r="AG113" s="128">
        <v>2968.8312641833513</v>
      </c>
      <c r="AH113" s="123">
        <v>1113.0233396564431</v>
      </c>
      <c r="AI113" s="127">
        <v>1731.3847295424316</v>
      </c>
      <c r="AJ113" s="128">
        <v>2790.6537720250299</v>
      </c>
      <c r="AK113" s="123">
        <v>669.0464025490885</v>
      </c>
      <c r="AL113" s="127">
        <v>1442.636554804724</v>
      </c>
      <c r="AM113" s="128">
        <v>2420.4502715638778</v>
      </c>
      <c r="AN113" s="123">
        <v>705.40904383733903</v>
      </c>
      <c r="AO113" s="127">
        <v>1431.3760358354523</v>
      </c>
      <c r="AP113" s="128">
        <v>2226.3169409873326</v>
      </c>
      <c r="AQ113" s="123">
        <v>798.21670138996672</v>
      </c>
      <c r="AR113" s="127">
        <v>1120.554710030485</v>
      </c>
      <c r="AS113" s="128">
        <v>1498.1913340330264</v>
      </c>
      <c r="AT113" s="123">
        <v>676.26323868620295</v>
      </c>
      <c r="AU113" s="127">
        <v>953.14845333784865</v>
      </c>
      <c r="AV113" s="128">
        <v>1284.7640089319937</v>
      </c>
      <c r="AW113" s="123">
        <v>633.85575181991067</v>
      </c>
      <c r="AX113" s="127">
        <v>893.37789624668085</v>
      </c>
      <c r="AY113" s="128">
        <v>1204.1983213146761</v>
      </c>
      <c r="AZ113" s="123">
        <v>807.39355780958385</v>
      </c>
      <c r="BA113" s="127">
        <v>1070.5696268425065</v>
      </c>
      <c r="BB113" s="128">
        <v>1379.8329334939624</v>
      </c>
      <c r="BC113" s="123">
        <v>871.76836156575769</v>
      </c>
      <c r="BD113" s="127">
        <v>1155.9278873447047</v>
      </c>
      <c r="BE113" s="128">
        <v>1489.8492612820635</v>
      </c>
    </row>
    <row r="114" spans="1:57" x14ac:dyDescent="0.3">
      <c r="A114" s="41">
        <v>2044</v>
      </c>
      <c r="B114" s="123">
        <v>1324.6452177869737</v>
      </c>
      <c r="C114" s="127">
        <v>2347.7624277924756</v>
      </c>
      <c r="D114" s="128">
        <v>4087.148651784471</v>
      </c>
      <c r="E114" s="123">
        <v>1286.0291298394125</v>
      </c>
      <c r="F114" s="127">
        <v>2195.8371355735499</v>
      </c>
      <c r="G114" s="128">
        <v>3752.6822768812376</v>
      </c>
      <c r="H114" s="123">
        <v>713.24097025816354</v>
      </c>
      <c r="I114" s="127">
        <v>1928.3231660512929</v>
      </c>
      <c r="J114" s="128">
        <v>3571.7285278957156</v>
      </c>
      <c r="K114" s="123">
        <v>702.68205150367021</v>
      </c>
      <c r="L114" s="127">
        <v>1765.493506546703</v>
      </c>
      <c r="M114" s="128">
        <v>3246.9506991552144</v>
      </c>
      <c r="N114" s="123">
        <v>821.58004156464312</v>
      </c>
      <c r="O114" s="127">
        <v>1263.650139680426</v>
      </c>
      <c r="P114" s="128">
        <v>1834.6997345943455</v>
      </c>
      <c r="Q114" s="123">
        <v>713.42913336284289</v>
      </c>
      <c r="R114" s="127">
        <v>1099.4588673715443</v>
      </c>
      <c r="S114" s="128">
        <v>1600.976741087635</v>
      </c>
      <c r="T114" s="123">
        <v>666.17121855381924</v>
      </c>
      <c r="U114" s="127">
        <v>1026.6301433112319</v>
      </c>
      <c r="V114" s="128">
        <v>1494.9272136665707</v>
      </c>
      <c r="W114" s="123">
        <v>1000.030935183134</v>
      </c>
      <c r="X114" s="127">
        <v>1411.1071303781357</v>
      </c>
      <c r="Y114" s="128">
        <v>1892.4187431325597</v>
      </c>
      <c r="Z114" s="123">
        <v>1048.6026409114902</v>
      </c>
      <c r="AA114" s="127">
        <v>1479.6448904378876</v>
      </c>
      <c r="AB114" s="128">
        <v>1984.3339060264202</v>
      </c>
      <c r="AD114" s="41">
        <v>2044</v>
      </c>
      <c r="AE114" s="123">
        <v>1139.5795794281285</v>
      </c>
      <c r="AF114" s="127">
        <v>1819.6957475742763</v>
      </c>
      <c r="AG114" s="128">
        <v>2968.8312641833513</v>
      </c>
      <c r="AH114" s="123">
        <v>1106.3585292393386</v>
      </c>
      <c r="AI114" s="127">
        <v>1726.9795777165175</v>
      </c>
      <c r="AJ114" s="128">
        <v>2790.6537720250299</v>
      </c>
      <c r="AK114" s="123">
        <v>665.78951926629998</v>
      </c>
      <c r="AL114" s="127">
        <v>1439.3697102499377</v>
      </c>
      <c r="AM114" s="128">
        <v>2420.4502715638778</v>
      </c>
      <c r="AN114" s="123">
        <v>699.04286991937784</v>
      </c>
      <c r="AO114" s="127">
        <v>1423.7528728664213</v>
      </c>
      <c r="AP114" s="128">
        <v>2226.3169409873326</v>
      </c>
      <c r="AQ114" s="123">
        <v>785.5433933083317</v>
      </c>
      <c r="AR114" s="127">
        <v>1099.8892648451204</v>
      </c>
      <c r="AS114" s="128">
        <v>1463.4806477324589</v>
      </c>
      <c r="AT114" s="123">
        <v>665.7927838533011</v>
      </c>
      <c r="AU114" s="127">
        <v>934.77267240396986</v>
      </c>
      <c r="AV114" s="128">
        <v>1252.3984010891763</v>
      </c>
      <c r="AW114" s="123">
        <v>624.04188402354941</v>
      </c>
      <c r="AX114" s="127">
        <v>876.15443388349001</v>
      </c>
      <c r="AY114" s="128">
        <v>1173.8623137975846</v>
      </c>
      <c r="AZ114" s="123">
        <v>797.51607557993759</v>
      </c>
      <c r="BA114" s="127">
        <v>1051.2949229951228</v>
      </c>
      <c r="BB114" s="128">
        <v>1351.6104432639181</v>
      </c>
      <c r="BC114" s="123">
        <v>861.10333158571405</v>
      </c>
      <c r="BD114" s="127">
        <v>1135.1163799575456</v>
      </c>
      <c r="BE114" s="128">
        <v>1459.3765459263711</v>
      </c>
    </row>
    <row r="115" spans="1:57" x14ac:dyDescent="0.3">
      <c r="A115" s="41">
        <v>2045</v>
      </c>
      <c r="B115" s="123">
        <v>1316.2613872946508</v>
      </c>
      <c r="C115" s="127">
        <v>2341.8937464478499</v>
      </c>
      <c r="D115" s="128">
        <v>4087.148651784471</v>
      </c>
      <c r="E115" s="123">
        <v>1277.8897049670113</v>
      </c>
      <c r="F115" s="127">
        <v>2188.8573272827493</v>
      </c>
      <c r="G115" s="128">
        <v>3752.6822768812376</v>
      </c>
      <c r="H115" s="123">
        <v>711.03414188180284</v>
      </c>
      <c r="I115" s="127">
        <v>1923.4208899258394</v>
      </c>
      <c r="J115" s="128">
        <v>3571.7285278957156</v>
      </c>
      <c r="K115" s="123">
        <v>691.22775088602339</v>
      </c>
      <c r="L115" s="127">
        <v>1756.9678450762328</v>
      </c>
      <c r="M115" s="128">
        <v>3246.9506991552144</v>
      </c>
      <c r="N115" s="123">
        <v>806.13825375708234</v>
      </c>
      <c r="O115" s="127">
        <v>1226.7905625021835</v>
      </c>
      <c r="P115" s="128">
        <v>1755.7137195358121</v>
      </c>
      <c r="Q115" s="123">
        <v>699.63821165326408</v>
      </c>
      <c r="R115" s="127">
        <v>1066.322203120174</v>
      </c>
      <c r="S115" s="128">
        <v>1528.2691184376363</v>
      </c>
      <c r="T115" s="123">
        <v>653.29381463151822</v>
      </c>
      <c r="U115" s="127">
        <v>995.68846883952506</v>
      </c>
      <c r="V115" s="128">
        <v>1427.0357815482985</v>
      </c>
      <c r="W115" s="123">
        <v>983.13270955019948</v>
      </c>
      <c r="X115" s="127">
        <v>1380.0761297869217</v>
      </c>
      <c r="Y115" s="128">
        <v>1847.6834248150444</v>
      </c>
      <c r="Z115" s="123">
        <v>1030.8836650258406</v>
      </c>
      <c r="AA115" s="127">
        <v>1447.1067078424514</v>
      </c>
      <c r="AB115" s="128">
        <v>1937.4257842079965</v>
      </c>
      <c r="AD115" s="41">
        <v>2045</v>
      </c>
      <c r="AE115" s="123">
        <v>1132.7146422026578</v>
      </c>
      <c r="AF115" s="127">
        <v>1814.8330837062354</v>
      </c>
      <c r="AG115" s="128">
        <v>2968.8312641833513</v>
      </c>
      <c r="AH115" s="123">
        <v>1099.6937188222344</v>
      </c>
      <c r="AI115" s="127">
        <v>1722.5744258906032</v>
      </c>
      <c r="AJ115" s="128">
        <v>2790.6537720250299</v>
      </c>
      <c r="AK115" s="123">
        <v>662.53263598351145</v>
      </c>
      <c r="AL115" s="127">
        <v>1436.1028656951512</v>
      </c>
      <c r="AM115" s="128">
        <v>2420.4502715638778</v>
      </c>
      <c r="AN115" s="123">
        <v>667.99674712128331</v>
      </c>
      <c r="AO115" s="127">
        <v>1407.9030602706787</v>
      </c>
      <c r="AP115" s="128">
        <v>2226.3169409873326</v>
      </c>
      <c r="AQ115" s="123">
        <v>772.87008522669669</v>
      </c>
      <c r="AR115" s="127">
        <v>1079.2238196597559</v>
      </c>
      <c r="AS115" s="128">
        <v>1428.7699614318915</v>
      </c>
      <c r="AT115" s="123">
        <v>655.32232902039902</v>
      </c>
      <c r="AU115" s="127">
        <v>916.39689147009096</v>
      </c>
      <c r="AV115" s="128">
        <v>1220.0327932463588</v>
      </c>
      <c r="AW115" s="123">
        <v>614.22801622718828</v>
      </c>
      <c r="AX115" s="127">
        <v>858.93097152029861</v>
      </c>
      <c r="AY115" s="128">
        <v>1143.5263062804929</v>
      </c>
      <c r="AZ115" s="123">
        <v>787.63859335029167</v>
      </c>
      <c r="BA115" s="127">
        <v>1032.0202191477397</v>
      </c>
      <c r="BB115" s="128">
        <v>1323.3879530338741</v>
      </c>
      <c r="BC115" s="123">
        <v>850.4383016056704</v>
      </c>
      <c r="BD115" s="127">
        <v>1114.3048725703866</v>
      </c>
      <c r="BE115" s="128">
        <v>1428.9038305706788</v>
      </c>
    </row>
    <row r="116" spans="1:57" x14ac:dyDescent="0.3">
      <c r="A116" s="41">
        <v>2046</v>
      </c>
      <c r="B116" s="123">
        <v>1307.8775568023284</v>
      </c>
      <c r="C116" s="127">
        <v>2336.0250651032238</v>
      </c>
      <c r="D116" s="128">
        <v>4087.148651784471</v>
      </c>
      <c r="E116" s="123">
        <v>1269.7502800946102</v>
      </c>
      <c r="F116" s="127">
        <v>2181.8775189919493</v>
      </c>
      <c r="G116" s="128">
        <v>3752.6822768812376</v>
      </c>
      <c r="H116" s="123">
        <v>708.82731350544213</v>
      </c>
      <c r="I116" s="127">
        <v>1918.5186138003862</v>
      </c>
      <c r="J116" s="128">
        <v>3571.7285278957156</v>
      </c>
      <c r="K116" s="123">
        <v>688.28220070881878</v>
      </c>
      <c r="L116" s="127">
        <v>1754.8776560046672</v>
      </c>
      <c r="M116" s="128">
        <v>3246.9506991552144</v>
      </c>
      <c r="N116" s="123">
        <v>790.69646594952178</v>
      </c>
      <c r="O116" s="127">
        <v>1189.9309853239415</v>
      </c>
      <c r="P116" s="128">
        <v>1676.7277044772786</v>
      </c>
      <c r="Q116" s="123">
        <v>685.84728994368504</v>
      </c>
      <c r="R116" s="127">
        <v>1033.185538868803</v>
      </c>
      <c r="S116" s="128">
        <v>1455.5614957876373</v>
      </c>
      <c r="T116" s="123">
        <v>640.41641070921719</v>
      </c>
      <c r="U116" s="127">
        <v>964.74679436781946</v>
      </c>
      <c r="V116" s="128">
        <v>1359.1443494300265</v>
      </c>
      <c r="W116" s="123">
        <v>966.23448391726492</v>
      </c>
      <c r="X116" s="127">
        <v>1349.045129195707</v>
      </c>
      <c r="Y116" s="128">
        <v>1802.9481064975294</v>
      </c>
      <c r="Z116" s="123">
        <v>1013.1646891401911</v>
      </c>
      <c r="AA116" s="127">
        <v>1414.5685252470146</v>
      </c>
      <c r="AB116" s="128">
        <v>1890.5176623895727</v>
      </c>
      <c r="AD116" s="41">
        <v>2046</v>
      </c>
      <c r="AE116" s="123">
        <v>1125.849704977187</v>
      </c>
      <c r="AF116" s="127">
        <v>1809.9704198381937</v>
      </c>
      <c r="AG116" s="128">
        <v>2968.8312641833513</v>
      </c>
      <c r="AH116" s="123">
        <v>1093.0289084051299</v>
      </c>
      <c r="AI116" s="127">
        <v>1718.1692740646884</v>
      </c>
      <c r="AJ116" s="128">
        <v>2790.6537720250299</v>
      </c>
      <c r="AK116" s="123">
        <v>659.27575270072282</v>
      </c>
      <c r="AL116" s="127">
        <v>1432.8360211403651</v>
      </c>
      <c r="AM116" s="128">
        <v>2420.4502715638778</v>
      </c>
      <c r="AN116" s="123">
        <v>666.56656297934876</v>
      </c>
      <c r="AO116" s="127">
        <v>1401.9252272269898</v>
      </c>
      <c r="AP116" s="128">
        <v>2226.3169409873326</v>
      </c>
      <c r="AQ116" s="123">
        <v>760.19677714506156</v>
      </c>
      <c r="AR116" s="127">
        <v>1058.5583744743913</v>
      </c>
      <c r="AS116" s="128">
        <v>1394.0592751313243</v>
      </c>
      <c r="AT116" s="123">
        <v>644.85187418749717</v>
      </c>
      <c r="AU116" s="127">
        <v>898.02111053621229</v>
      </c>
      <c r="AV116" s="128">
        <v>1187.6671854035415</v>
      </c>
      <c r="AW116" s="123">
        <v>604.41414843082691</v>
      </c>
      <c r="AX116" s="127">
        <v>841.70750915710687</v>
      </c>
      <c r="AY116" s="128">
        <v>1113.1902987634012</v>
      </c>
      <c r="AZ116" s="123">
        <v>777.76111112064564</v>
      </c>
      <c r="BA116" s="127">
        <v>1012.745515300356</v>
      </c>
      <c r="BB116" s="128">
        <v>1295.1654628038298</v>
      </c>
      <c r="BC116" s="123">
        <v>839.77327162562653</v>
      </c>
      <c r="BD116" s="127">
        <v>1093.4933651832278</v>
      </c>
      <c r="BE116" s="128">
        <v>1398.4311152149867</v>
      </c>
    </row>
    <row r="117" spans="1:57" x14ac:dyDescent="0.3">
      <c r="A117" s="41">
        <v>2047</v>
      </c>
      <c r="B117" s="123">
        <v>1299.4937263100057</v>
      </c>
      <c r="C117" s="127">
        <v>2330.1563837585982</v>
      </c>
      <c r="D117" s="128">
        <v>4087.148651784471</v>
      </c>
      <c r="E117" s="123">
        <v>1261.6108552222088</v>
      </c>
      <c r="F117" s="127">
        <v>2174.8977107011488</v>
      </c>
      <c r="G117" s="128">
        <v>3752.6822768812376</v>
      </c>
      <c r="H117" s="123">
        <v>706.62048512908143</v>
      </c>
      <c r="I117" s="127">
        <v>1913.6163376749325</v>
      </c>
      <c r="J117" s="128">
        <v>3571.7285278957156</v>
      </c>
      <c r="K117" s="123">
        <v>685.33665053161417</v>
      </c>
      <c r="L117" s="127">
        <v>1752.7874669331015</v>
      </c>
      <c r="M117" s="128">
        <v>3246.9506991552144</v>
      </c>
      <c r="N117" s="123">
        <v>775.25467814196111</v>
      </c>
      <c r="O117" s="127">
        <v>1153.0714081456993</v>
      </c>
      <c r="P117" s="128">
        <v>1597.7416894187452</v>
      </c>
      <c r="Q117" s="123">
        <v>672.05636823410623</v>
      </c>
      <c r="R117" s="127">
        <v>1000.0488746174319</v>
      </c>
      <c r="S117" s="128">
        <v>1382.8538731376386</v>
      </c>
      <c r="T117" s="123">
        <v>627.53900678691616</v>
      </c>
      <c r="U117" s="127">
        <v>933.80511989611318</v>
      </c>
      <c r="V117" s="128">
        <v>1291.2529173117543</v>
      </c>
      <c r="W117" s="123">
        <v>949.33625828433026</v>
      </c>
      <c r="X117" s="127">
        <v>1318.0141286044918</v>
      </c>
      <c r="Y117" s="128">
        <v>1758.2127881800141</v>
      </c>
      <c r="Z117" s="123">
        <v>995.44571325454172</v>
      </c>
      <c r="AA117" s="127">
        <v>1382.0303426515782</v>
      </c>
      <c r="AB117" s="128">
        <v>1843.609540571149</v>
      </c>
      <c r="AD117" s="41">
        <v>2047</v>
      </c>
      <c r="AE117" s="123">
        <v>1118.9847677517164</v>
      </c>
      <c r="AF117" s="127">
        <v>1805.1077559701521</v>
      </c>
      <c r="AG117" s="128">
        <v>2968.8312641833513</v>
      </c>
      <c r="AH117" s="123">
        <v>1086.3640979880254</v>
      </c>
      <c r="AI117" s="127">
        <v>1713.7641222387745</v>
      </c>
      <c r="AJ117" s="128">
        <v>2790.6537720250299</v>
      </c>
      <c r="AK117" s="123">
        <v>656.01886941793441</v>
      </c>
      <c r="AL117" s="127">
        <v>1429.5691765855784</v>
      </c>
      <c r="AM117" s="128">
        <v>2420.4502715638778</v>
      </c>
      <c r="AN117" s="123">
        <v>665.13637883741421</v>
      </c>
      <c r="AO117" s="127">
        <v>1395.9473941833</v>
      </c>
      <c r="AP117" s="128">
        <v>2226.3169409873326</v>
      </c>
      <c r="AQ117" s="123">
        <v>747.52346906342666</v>
      </c>
      <c r="AR117" s="127">
        <v>1037.8929292890266</v>
      </c>
      <c r="AS117" s="128">
        <v>1359.3485888307569</v>
      </c>
      <c r="AT117" s="123">
        <v>634.3814193545951</v>
      </c>
      <c r="AU117" s="127">
        <v>879.6453296023335</v>
      </c>
      <c r="AV117" s="128">
        <v>1155.3015775607241</v>
      </c>
      <c r="AW117" s="123">
        <v>594.60028063446578</v>
      </c>
      <c r="AX117" s="127">
        <v>824.4840467939157</v>
      </c>
      <c r="AY117" s="128">
        <v>1082.8542912463097</v>
      </c>
      <c r="AZ117" s="123">
        <v>767.88362889099972</v>
      </c>
      <c r="BA117" s="127">
        <v>993.47081145297261</v>
      </c>
      <c r="BB117" s="128">
        <v>1266.9429725737857</v>
      </c>
      <c r="BC117" s="123">
        <v>829.10824164558289</v>
      </c>
      <c r="BD117" s="127">
        <v>1072.6818577960687</v>
      </c>
      <c r="BE117" s="128">
        <v>1367.9583998592946</v>
      </c>
    </row>
    <row r="118" spans="1:57" x14ac:dyDescent="0.3">
      <c r="A118" s="41">
        <v>2048</v>
      </c>
      <c r="B118" s="123">
        <v>1291.1098958176833</v>
      </c>
      <c r="C118" s="127">
        <v>2324.2877024139721</v>
      </c>
      <c r="D118" s="128">
        <v>4087.148651784471</v>
      </c>
      <c r="E118" s="123">
        <v>1253.4714303498074</v>
      </c>
      <c r="F118" s="127">
        <v>2167.9179024103482</v>
      </c>
      <c r="G118" s="128">
        <v>3752.6822768812376</v>
      </c>
      <c r="H118" s="123">
        <v>704.41365675272073</v>
      </c>
      <c r="I118" s="127">
        <v>1908.7140615494789</v>
      </c>
      <c r="J118" s="128">
        <v>3571.7285278957156</v>
      </c>
      <c r="K118" s="123">
        <v>682.39110035440956</v>
      </c>
      <c r="L118" s="127">
        <v>1750.6972778615361</v>
      </c>
      <c r="M118" s="128">
        <v>3246.9506991552144</v>
      </c>
      <c r="N118" s="123">
        <v>759.81289033440032</v>
      </c>
      <c r="O118" s="127">
        <v>1116.2118309674568</v>
      </c>
      <c r="P118" s="128">
        <v>1518.755674360212</v>
      </c>
      <c r="Q118" s="123">
        <v>658.26544652452731</v>
      </c>
      <c r="R118" s="127">
        <v>966.91221036606169</v>
      </c>
      <c r="S118" s="128">
        <v>1310.1462504876397</v>
      </c>
      <c r="T118" s="123">
        <v>614.66160286461502</v>
      </c>
      <c r="U118" s="127">
        <v>902.86344542440713</v>
      </c>
      <c r="V118" s="128">
        <v>1223.3614851934824</v>
      </c>
      <c r="W118" s="123">
        <v>932.4380326513957</v>
      </c>
      <c r="X118" s="127">
        <v>1286.9831280132773</v>
      </c>
      <c r="Y118" s="128">
        <v>1713.4774698624985</v>
      </c>
      <c r="Z118" s="123">
        <v>977.72673736889226</v>
      </c>
      <c r="AA118" s="127">
        <v>1349.492160056142</v>
      </c>
      <c r="AB118" s="128">
        <v>1796.7014187527252</v>
      </c>
      <c r="AD118" s="41">
        <v>2048</v>
      </c>
      <c r="AE118" s="123">
        <v>1112.1198305262458</v>
      </c>
      <c r="AF118" s="127">
        <v>1800.2450921021098</v>
      </c>
      <c r="AG118" s="128">
        <v>2968.8312641833513</v>
      </c>
      <c r="AH118" s="123">
        <v>1079.6992875709209</v>
      </c>
      <c r="AI118" s="127">
        <v>1709.3589704128599</v>
      </c>
      <c r="AJ118" s="128">
        <v>2790.6537720250299</v>
      </c>
      <c r="AK118" s="123">
        <v>652.76198613514589</v>
      </c>
      <c r="AL118" s="127">
        <v>1426.3023320307921</v>
      </c>
      <c r="AM118" s="128">
        <v>2420.4502715638778</v>
      </c>
      <c r="AN118" s="123">
        <v>663.70619469547978</v>
      </c>
      <c r="AO118" s="127">
        <v>1389.9695611396114</v>
      </c>
      <c r="AP118" s="128">
        <v>2226.3169409873326</v>
      </c>
      <c r="AQ118" s="123">
        <v>734.85016098179153</v>
      </c>
      <c r="AR118" s="127">
        <v>1017.2274841036617</v>
      </c>
      <c r="AS118" s="128">
        <v>1324.6379025301894</v>
      </c>
      <c r="AT118" s="123">
        <v>623.91096452169313</v>
      </c>
      <c r="AU118" s="127">
        <v>861.26954866845415</v>
      </c>
      <c r="AV118" s="128">
        <v>1122.9359697179066</v>
      </c>
      <c r="AW118" s="123">
        <v>584.78641283810452</v>
      </c>
      <c r="AX118" s="127">
        <v>807.26058443072452</v>
      </c>
      <c r="AY118" s="128">
        <v>1052.518283729218</v>
      </c>
      <c r="AZ118" s="123">
        <v>758.00614666135368</v>
      </c>
      <c r="BA118" s="127">
        <v>974.19610760558885</v>
      </c>
      <c r="BB118" s="128">
        <v>1238.7204823437414</v>
      </c>
      <c r="BC118" s="123">
        <v>818.44321166553914</v>
      </c>
      <c r="BD118" s="127">
        <v>1051.8703504089106</v>
      </c>
      <c r="BE118" s="128">
        <v>1337.4856845036024</v>
      </c>
    </row>
    <row r="119" spans="1:57" x14ac:dyDescent="0.3">
      <c r="A119" s="41">
        <v>2049</v>
      </c>
      <c r="B119" s="123">
        <v>1282.7260653253607</v>
      </c>
      <c r="C119" s="127">
        <v>2318.4190210693464</v>
      </c>
      <c r="D119" s="128">
        <v>4087.148651784471</v>
      </c>
      <c r="E119" s="123">
        <v>1245.3320054774063</v>
      </c>
      <c r="F119" s="127">
        <v>2160.9380941195477</v>
      </c>
      <c r="G119" s="128">
        <v>3752.6822768812376</v>
      </c>
      <c r="H119" s="123">
        <v>702.20682837636002</v>
      </c>
      <c r="I119" s="127">
        <v>1903.8117854240254</v>
      </c>
      <c r="J119" s="128">
        <v>3571.7285278957156</v>
      </c>
      <c r="K119" s="123">
        <v>679.44555017720495</v>
      </c>
      <c r="L119" s="127">
        <v>1748.6070887899702</v>
      </c>
      <c r="M119" s="128">
        <v>3246.9506991552144</v>
      </c>
      <c r="N119" s="123">
        <v>744.37110252683976</v>
      </c>
      <c r="O119" s="127">
        <v>1079.3522537892147</v>
      </c>
      <c r="P119" s="128">
        <v>1439.7696593016785</v>
      </c>
      <c r="Q119" s="123">
        <v>644.4745248149485</v>
      </c>
      <c r="R119" s="127">
        <v>933.77554611469111</v>
      </c>
      <c r="S119" s="128">
        <v>1237.438627837641</v>
      </c>
      <c r="T119" s="123">
        <v>601.78419894231399</v>
      </c>
      <c r="U119" s="127">
        <v>871.92177095270085</v>
      </c>
      <c r="V119" s="128">
        <v>1155.4700530752102</v>
      </c>
      <c r="W119" s="123">
        <v>915.53980701846115</v>
      </c>
      <c r="X119" s="127">
        <v>1255.9521274220617</v>
      </c>
      <c r="Y119" s="128">
        <v>1668.7421515449835</v>
      </c>
      <c r="Z119" s="123">
        <v>960.0077614832428</v>
      </c>
      <c r="AA119" s="127">
        <v>1316.9539774607053</v>
      </c>
      <c r="AB119" s="128">
        <v>1749.7932969343015</v>
      </c>
      <c r="AD119" s="41">
        <v>2049</v>
      </c>
      <c r="AE119" s="123">
        <v>1105.2548933007752</v>
      </c>
      <c r="AF119" s="127">
        <v>1795.3824282340681</v>
      </c>
      <c r="AG119" s="128">
        <v>2968.8312641833513</v>
      </c>
      <c r="AH119" s="123">
        <v>1073.0344771538166</v>
      </c>
      <c r="AI119" s="127">
        <v>1704.9538185869455</v>
      </c>
      <c r="AJ119" s="128">
        <v>2790.6537720250299</v>
      </c>
      <c r="AK119" s="123">
        <v>649.50510285235737</v>
      </c>
      <c r="AL119" s="127">
        <v>1423.0354874760055</v>
      </c>
      <c r="AM119" s="128">
        <v>2420.4502715638778</v>
      </c>
      <c r="AN119" s="123">
        <v>662.27601055354523</v>
      </c>
      <c r="AO119" s="127">
        <v>1383.9917280959219</v>
      </c>
      <c r="AP119" s="128">
        <v>2226.3169409873326</v>
      </c>
      <c r="AQ119" s="123">
        <v>722.17685290015663</v>
      </c>
      <c r="AR119" s="127">
        <v>996.56203891829728</v>
      </c>
      <c r="AS119" s="128">
        <v>1289.9272162296222</v>
      </c>
      <c r="AT119" s="123">
        <v>613.44050968879128</v>
      </c>
      <c r="AU119" s="127">
        <v>842.8937677345757</v>
      </c>
      <c r="AV119" s="128">
        <v>1090.5703618750892</v>
      </c>
      <c r="AW119" s="123">
        <v>574.97254504174316</v>
      </c>
      <c r="AX119" s="127">
        <v>790.03712206753289</v>
      </c>
      <c r="AY119" s="128">
        <v>1022.1822762121262</v>
      </c>
      <c r="AZ119" s="123">
        <v>748.12866443170765</v>
      </c>
      <c r="BA119" s="127">
        <v>954.92140375820577</v>
      </c>
      <c r="BB119" s="128">
        <v>1210.4979921136976</v>
      </c>
      <c r="BC119" s="123">
        <v>807.7781816854955</v>
      </c>
      <c r="BD119" s="127">
        <v>1031.0588430217515</v>
      </c>
      <c r="BE119" s="128">
        <v>1307.0129691479101</v>
      </c>
    </row>
    <row r="120" spans="1:57" ht="15" thickBot="1" x14ac:dyDescent="0.35">
      <c r="A120" s="42">
        <v>2050</v>
      </c>
      <c r="B120" s="124">
        <v>1274.3422348330378</v>
      </c>
      <c r="C120" s="129">
        <v>2312.5503397247203</v>
      </c>
      <c r="D120" s="130">
        <v>4087.148651784471</v>
      </c>
      <c r="E120" s="124">
        <v>1237.1925806050044</v>
      </c>
      <c r="F120" s="129">
        <v>2153.9582858287472</v>
      </c>
      <c r="G120" s="130">
        <v>3752.6822768812376</v>
      </c>
      <c r="H120" s="124">
        <v>700</v>
      </c>
      <c r="I120" s="129">
        <v>1898.9095092985722</v>
      </c>
      <c r="J120" s="130">
        <v>3571.7285278957156</v>
      </c>
      <c r="K120" s="124">
        <v>676.5</v>
      </c>
      <c r="L120" s="129">
        <v>1746.5168997184048</v>
      </c>
      <c r="M120" s="130">
        <v>3246.9506991552144</v>
      </c>
      <c r="N120" s="124">
        <v>728.92931471927898</v>
      </c>
      <c r="O120" s="129">
        <v>1042.4926766109722</v>
      </c>
      <c r="P120" s="130">
        <v>1360.783644243146</v>
      </c>
      <c r="Q120" s="124">
        <v>630.68360310537048</v>
      </c>
      <c r="R120" s="129">
        <v>900.63888186331974</v>
      </c>
      <c r="S120" s="130">
        <v>1164.7310051876411</v>
      </c>
      <c r="T120" s="124">
        <v>588.9067950200141</v>
      </c>
      <c r="U120" s="129">
        <v>840.98009648099628</v>
      </c>
      <c r="V120" s="130">
        <v>1087.5786209569403</v>
      </c>
      <c r="W120" s="124">
        <v>898.64158138552727</v>
      </c>
      <c r="X120" s="129">
        <v>1224.9211268308463</v>
      </c>
      <c r="Y120" s="130">
        <v>1624.006833227467</v>
      </c>
      <c r="Z120" s="124">
        <v>942.28878559759391</v>
      </c>
      <c r="AA120" s="129">
        <v>1284.4157948652694</v>
      </c>
      <c r="AB120" s="130">
        <v>1702.8851751158791</v>
      </c>
      <c r="AD120" s="42">
        <v>2050</v>
      </c>
      <c r="AE120" s="124">
        <v>1098.3899560753046</v>
      </c>
      <c r="AF120" s="129">
        <v>1790.5197643660265</v>
      </c>
      <c r="AG120" s="130">
        <v>2968.8312641833513</v>
      </c>
      <c r="AH120" s="124">
        <v>1066.3696667367119</v>
      </c>
      <c r="AI120" s="129">
        <v>1700.5486667610312</v>
      </c>
      <c r="AJ120" s="130">
        <v>2790.6537720250299</v>
      </c>
      <c r="AK120" s="124">
        <v>646.24821956956839</v>
      </c>
      <c r="AL120" s="129">
        <v>1419.768642921219</v>
      </c>
      <c r="AM120" s="130">
        <v>2420.4502715638778</v>
      </c>
      <c r="AN120" s="124">
        <v>660.84582641161035</v>
      </c>
      <c r="AO120" s="129">
        <v>1378.013895052233</v>
      </c>
      <c r="AP120" s="130">
        <v>2226.3169409873326</v>
      </c>
      <c r="AQ120" s="124">
        <v>709.50354481852105</v>
      </c>
      <c r="AR120" s="129">
        <v>975.89659373293193</v>
      </c>
      <c r="AS120" s="130">
        <v>1255.216529929053</v>
      </c>
      <c r="AT120" s="124">
        <v>602.97005485588863</v>
      </c>
      <c r="AU120" s="129">
        <v>824.51798680069612</v>
      </c>
      <c r="AV120" s="130">
        <v>1058.2047540322717</v>
      </c>
      <c r="AW120" s="124">
        <v>565.15867724538157</v>
      </c>
      <c r="AX120" s="129">
        <v>772.81365970434047</v>
      </c>
      <c r="AY120" s="130">
        <v>991.84626869503347</v>
      </c>
      <c r="AZ120" s="124">
        <v>738.2511822020623</v>
      </c>
      <c r="BA120" s="129">
        <v>935.6466999108236</v>
      </c>
      <c r="BB120" s="130">
        <v>1182.2755018836547</v>
      </c>
      <c r="BC120" s="124">
        <v>797.11315170545197</v>
      </c>
      <c r="BD120" s="129">
        <v>1010.2473356345924</v>
      </c>
      <c r="BE120" s="130">
        <v>1276.5402537922175</v>
      </c>
    </row>
    <row r="121" spans="1:57" ht="15" thickBot="1" x14ac:dyDescent="0.35">
      <c r="A121" s="121"/>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D121" s="121"/>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row>
    <row r="122" spans="1:57" ht="18.600000000000001" thickBot="1" x14ac:dyDescent="0.4">
      <c r="A122" s="289" t="s">
        <v>0</v>
      </c>
      <c r="B122" s="350" t="s">
        <v>419</v>
      </c>
      <c r="C122" s="351"/>
      <c r="D122" s="351"/>
      <c r="E122" s="351"/>
      <c r="F122" s="351"/>
      <c r="G122" s="351"/>
      <c r="H122" s="351"/>
      <c r="I122" s="351"/>
      <c r="J122" s="351"/>
      <c r="K122" s="351"/>
      <c r="L122" s="351"/>
      <c r="M122" s="351"/>
      <c r="N122" s="351"/>
      <c r="O122" s="351"/>
      <c r="P122" s="351"/>
      <c r="Q122" s="351"/>
      <c r="R122" s="351"/>
      <c r="S122" s="351"/>
      <c r="T122" s="351"/>
      <c r="U122" s="351"/>
      <c r="V122" s="351"/>
      <c r="W122" s="351"/>
      <c r="X122" s="351"/>
      <c r="Y122" s="351"/>
      <c r="Z122" s="351"/>
      <c r="AA122" s="351"/>
      <c r="AB122" s="352"/>
      <c r="AD122" s="289" t="s">
        <v>0</v>
      </c>
      <c r="AE122" s="350" t="s">
        <v>420</v>
      </c>
      <c r="AF122" s="351"/>
      <c r="AG122" s="351"/>
      <c r="AH122" s="351"/>
      <c r="AI122" s="351"/>
      <c r="AJ122" s="351"/>
      <c r="AK122" s="351"/>
      <c r="AL122" s="351"/>
      <c r="AM122" s="351"/>
      <c r="AN122" s="351"/>
      <c r="AO122" s="351"/>
      <c r="AP122" s="351"/>
      <c r="AQ122" s="351"/>
      <c r="AR122" s="351"/>
      <c r="AS122" s="351"/>
      <c r="AT122" s="351"/>
      <c r="AU122" s="351"/>
      <c r="AV122" s="351"/>
      <c r="AW122" s="351"/>
      <c r="AX122" s="351"/>
      <c r="AY122" s="351"/>
      <c r="AZ122" s="351"/>
      <c r="BA122" s="351"/>
      <c r="BB122" s="351"/>
      <c r="BC122" s="351"/>
      <c r="BD122" s="351"/>
      <c r="BE122" s="352"/>
    </row>
    <row r="123" spans="1:57" ht="18.600000000000001" thickBot="1" x14ac:dyDescent="0.35">
      <c r="A123" s="344"/>
      <c r="B123" s="338" t="s">
        <v>413</v>
      </c>
      <c r="C123" s="339"/>
      <c r="D123" s="340"/>
      <c r="E123" s="338" t="s">
        <v>414</v>
      </c>
      <c r="F123" s="339"/>
      <c r="G123" s="340"/>
      <c r="H123" s="338" t="s">
        <v>415</v>
      </c>
      <c r="I123" s="339"/>
      <c r="J123" s="340"/>
      <c r="K123" s="338" t="s">
        <v>416</v>
      </c>
      <c r="L123" s="339"/>
      <c r="M123" s="340"/>
      <c r="N123" s="338" t="s">
        <v>406</v>
      </c>
      <c r="O123" s="339"/>
      <c r="P123" s="340"/>
      <c r="Q123" s="338" t="s">
        <v>407</v>
      </c>
      <c r="R123" s="339"/>
      <c r="S123" s="340"/>
      <c r="T123" s="338" t="s">
        <v>408</v>
      </c>
      <c r="U123" s="339"/>
      <c r="V123" s="340"/>
      <c r="W123" s="338" t="s">
        <v>312</v>
      </c>
      <c r="X123" s="339"/>
      <c r="Y123" s="340"/>
      <c r="Z123" s="338" t="s">
        <v>409</v>
      </c>
      <c r="AA123" s="339"/>
      <c r="AB123" s="340"/>
      <c r="AD123" s="344"/>
      <c r="AE123" s="338" t="s">
        <v>413</v>
      </c>
      <c r="AF123" s="339"/>
      <c r="AG123" s="340"/>
      <c r="AH123" s="338" t="s">
        <v>414</v>
      </c>
      <c r="AI123" s="339"/>
      <c r="AJ123" s="340"/>
      <c r="AK123" s="338" t="s">
        <v>415</v>
      </c>
      <c r="AL123" s="339"/>
      <c r="AM123" s="340"/>
      <c r="AN123" s="338" t="s">
        <v>416</v>
      </c>
      <c r="AO123" s="339"/>
      <c r="AP123" s="340"/>
      <c r="AQ123" s="338" t="s">
        <v>406</v>
      </c>
      <c r="AR123" s="339"/>
      <c r="AS123" s="340"/>
      <c r="AT123" s="338" t="s">
        <v>407</v>
      </c>
      <c r="AU123" s="339"/>
      <c r="AV123" s="340"/>
      <c r="AW123" s="338" t="s">
        <v>408</v>
      </c>
      <c r="AX123" s="339"/>
      <c r="AY123" s="340"/>
      <c r="AZ123" s="338" t="s">
        <v>312</v>
      </c>
      <c r="BA123" s="339"/>
      <c r="BB123" s="340"/>
      <c r="BC123" s="338" t="s">
        <v>409</v>
      </c>
      <c r="BD123" s="339"/>
      <c r="BE123" s="340"/>
    </row>
    <row r="124" spans="1:57" ht="15" thickBot="1" x14ac:dyDescent="0.35">
      <c r="A124" s="290"/>
      <c r="B124" s="78" t="s">
        <v>69</v>
      </c>
      <c r="C124" s="79" t="s">
        <v>70</v>
      </c>
      <c r="D124" s="80" t="s">
        <v>71</v>
      </c>
      <c r="E124" s="78" t="s">
        <v>69</v>
      </c>
      <c r="F124" s="79" t="s">
        <v>70</v>
      </c>
      <c r="G124" s="80" t="s">
        <v>71</v>
      </c>
      <c r="H124" s="78" t="s">
        <v>69</v>
      </c>
      <c r="I124" s="79" t="s">
        <v>70</v>
      </c>
      <c r="J124" s="80" t="s">
        <v>71</v>
      </c>
      <c r="K124" s="78" t="s">
        <v>69</v>
      </c>
      <c r="L124" s="79" t="s">
        <v>70</v>
      </c>
      <c r="M124" s="80" t="s">
        <v>71</v>
      </c>
      <c r="N124" s="78" t="s">
        <v>69</v>
      </c>
      <c r="O124" s="79" t="s">
        <v>70</v>
      </c>
      <c r="P124" s="80" t="s">
        <v>71</v>
      </c>
      <c r="Q124" s="78" t="s">
        <v>69</v>
      </c>
      <c r="R124" s="79" t="s">
        <v>70</v>
      </c>
      <c r="S124" s="80" t="s">
        <v>71</v>
      </c>
      <c r="T124" s="78" t="s">
        <v>69</v>
      </c>
      <c r="U124" s="79" t="s">
        <v>70</v>
      </c>
      <c r="V124" s="80" t="s">
        <v>71</v>
      </c>
      <c r="W124" s="78" t="s">
        <v>69</v>
      </c>
      <c r="X124" s="79" t="s">
        <v>70</v>
      </c>
      <c r="Y124" s="80" t="s">
        <v>71</v>
      </c>
      <c r="Z124" s="78" t="s">
        <v>69</v>
      </c>
      <c r="AA124" s="79" t="s">
        <v>70</v>
      </c>
      <c r="AB124" s="80" t="s">
        <v>71</v>
      </c>
      <c r="AD124" s="290"/>
      <c r="AE124" s="78" t="s">
        <v>69</v>
      </c>
      <c r="AF124" s="79" t="s">
        <v>70</v>
      </c>
      <c r="AG124" s="80" t="s">
        <v>71</v>
      </c>
      <c r="AH124" s="78" t="s">
        <v>69</v>
      </c>
      <c r="AI124" s="79" t="s">
        <v>70</v>
      </c>
      <c r="AJ124" s="80" t="s">
        <v>71</v>
      </c>
      <c r="AK124" s="78" t="s">
        <v>69</v>
      </c>
      <c r="AL124" s="79" t="s">
        <v>70</v>
      </c>
      <c r="AM124" s="80" t="s">
        <v>71</v>
      </c>
      <c r="AN124" s="78" t="s">
        <v>69</v>
      </c>
      <c r="AO124" s="79" t="s">
        <v>70</v>
      </c>
      <c r="AP124" s="80" t="s">
        <v>71</v>
      </c>
      <c r="AQ124" s="78" t="s">
        <v>69</v>
      </c>
      <c r="AR124" s="79" t="s">
        <v>70</v>
      </c>
      <c r="AS124" s="80" t="s">
        <v>71</v>
      </c>
      <c r="AT124" s="78" t="s">
        <v>69</v>
      </c>
      <c r="AU124" s="79" t="s">
        <v>70</v>
      </c>
      <c r="AV124" s="80" t="s">
        <v>71</v>
      </c>
      <c r="AW124" s="78" t="s">
        <v>69</v>
      </c>
      <c r="AX124" s="79" t="s">
        <v>70</v>
      </c>
      <c r="AY124" s="80" t="s">
        <v>71</v>
      </c>
      <c r="AZ124" s="78" t="s">
        <v>69</v>
      </c>
      <c r="BA124" s="79" t="s">
        <v>70</v>
      </c>
      <c r="BB124" s="80" t="s">
        <v>71</v>
      </c>
      <c r="BC124" s="78" t="s">
        <v>69</v>
      </c>
      <c r="BD124" s="79" t="s">
        <v>70</v>
      </c>
      <c r="BE124" s="80" t="s">
        <v>71</v>
      </c>
    </row>
    <row r="125" spans="1:57" x14ac:dyDescent="0.3">
      <c r="A125" s="41">
        <v>2015</v>
      </c>
      <c r="B125" s="122">
        <v>224.64755380972193</v>
      </c>
      <c r="C125" s="125">
        <v>295.80312564144293</v>
      </c>
      <c r="D125" s="126">
        <v>374.42730801300917</v>
      </c>
      <c r="E125" s="122">
        <v>230.19885514870521</v>
      </c>
      <c r="F125" s="125">
        <v>302.4593719649082</v>
      </c>
      <c r="G125" s="126">
        <v>381.20930412625569</v>
      </c>
      <c r="H125" s="15"/>
      <c r="I125" s="16"/>
      <c r="J125" s="18"/>
      <c r="K125" s="122"/>
      <c r="L125" s="125"/>
      <c r="M125" s="126"/>
      <c r="N125" s="122"/>
      <c r="O125" s="125"/>
      <c r="P125" s="126"/>
      <c r="Q125" s="122"/>
      <c r="R125" s="125"/>
      <c r="S125" s="126"/>
      <c r="T125" s="122"/>
      <c r="U125" s="125"/>
      <c r="V125" s="126"/>
      <c r="W125" s="122"/>
      <c r="X125" s="125"/>
      <c r="Y125" s="126"/>
      <c r="Z125" s="122"/>
      <c r="AA125" s="125"/>
      <c r="AB125" s="126"/>
      <c r="AD125" s="41">
        <v>2015</v>
      </c>
      <c r="AE125" s="122">
        <v>216.21298302594255</v>
      </c>
      <c r="AF125" s="125">
        <v>283.23944376516039</v>
      </c>
      <c r="AG125" s="126">
        <v>354.66515636711631</v>
      </c>
      <c r="AH125" s="122">
        <v>158.87630788564601</v>
      </c>
      <c r="AI125" s="125">
        <v>208.12828370992582</v>
      </c>
      <c r="AJ125" s="126">
        <v>260.61289100540182</v>
      </c>
      <c r="AK125" s="15"/>
      <c r="AL125" s="16"/>
      <c r="AM125" s="18"/>
      <c r="AN125" s="15"/>
      <c r="AO125" s="16"/>
      <c r="AP125" s="18"/>
      <c r="AQ125" s="15"/>
      <c r="AR125" s="16"/>
      <c r="AS125" s="18"/>
      <c r="AT125" s="15"/>
      <c r="AU125" s="16"/>
      <c r="AV125" s="18"/>
      <c r="AW125" s="15"/>
      <c r="AX125" s="16"/>
      <c r="AY125" s="18"/>
      <c r="AZ125" s="15"/>
      <c r="BA125" s="16"/>
      <c r="BB125" s="18"/>
      <c r="BC125" s="15"/>
      <c r="BD125" s="16"/>
      <c r="BE125" s="18"/>
    </row>
    <row r="126" spans="1:57" x14ac:dyDescent="0.3">
      <c r="A126" s="41">
        <v>2016</v>
      </c>
      <c r="B126" s="123">
        <v>203.60960996613758</v>
      </c>
      <c r="C126" s="127">
        <v>281.29205434999938</v>
      </c>
      <c r="D126" s="128">
        <v>374.42730801300917</v>
      </c>
      <c r="E126" s="123">
        <v>170.42606148289448</v>
      </c>
      <c r="F126" s="127">
        <v>225.30215843092989</v>
      </c>
      <c r="G126" s="128">
        <v>285.7004976782394</v>
      </c>
      <c r="H126" s="123">
        <v>148.71566396769052</v>
      </c>
      <c r="I126" s="127">
        <v>192.95017891223426</v>
      </c>
      <c r="J126" s="128">
        <v>245.9005004495626</v>
      </c>
      <c r="K126" s="123"/>
      <c r="L126" s="127"/>
      <c r="M126" s="128"/>
      <c r="N126" s="123"/>
      <c r="O126" s="127"/>
      <c r="P126" s="128"/>
      <c r="Q126" s="123"/>
      <c r="R126" s="127"/>
      <c r="S126" s="128"/>
      <c r="T126" s="123"/>
      <c r="U126" s="127"/>
      <c r="V126" s="128"/>
      <c r="W126" s="123"/>
      <c r="X126" s="127"/>
      <c r="Y126" s="128"/>
      <c r="Z126" s="123"/>
      <c r="AA126" s="127"/>
      <c r="AB126" s="128"/>
      <c r="AD126" s="41">
        <v>2016</v>
      </c>
      <c r="AE126" s="123">
        <v>180.97490803436273</v>
      </c>
      <c r="AF126" s="127">
        <v>237.60529544098273</v>
      </c>
      <c r="AG126" s="128">
        <v>298.84504561128153</v>
      </c>
      <c r="AH126" s="123">
        <v>140.4953323206453</v>
      </c>
      <c r="AI126" s="127">
        <v>185.20464640822243</v>
      </c>
      <c r="AJ126" s="128">
        <v>233.35536074386269</v>
      </c>
      <c r="AK126" s="123">
        <v>110.3989933341994</v>
      </c>
      <c r="AL126" s="127">
        <v>142.65312757903385</v>
      </c>
      <c r="AM126" s="128">
        <v>181.59359570198399</v>
      </c>
      <c r="AN126" s="17"/>
      <c r="AO126" s="20"/>
      <c r="AP126" s="19"/>
      <c r="AQ126" s="17"/>
      <c r="AR126" s="20"/>
      <c r="AS126" s="19"/>
      <c r="AT126" s="17"/>
      <c r="AU126" s="20"/>
      <c r="AV126" s="19"/>
      <c r="AW126" s="17"/>
      <c r="AX126" s="20"/>
      <c r="AY126" s="19"/>
      <c r="AZ126" s="17"/>
      <c r="BA126" s="20"/>
      <c r="BB126" s="19"/>
      <c r="BC126" s="17"/>
      <c r="BD126" s="20"/>
      <c r="BE126" s="19"/>
    </row>
    <row r="127" spans="1:57" x14ac:dyDescent="0.3">
      <c r="A127" s="41">
        <v>2017</v>
      </c>
      <c r="B127" s="123">
        <v>182.57166612255321</v>
      </c>
      <c r="C127" s="127">
        <v>266.78098305855588</v>
      </c>
      <c r="D127" s="128">
        <v>374.42730801300917</v>
      </c>
      <c r="E127" s="123">
        <v>144.36188009759505</v>
      </c>
      <c r="F127" s="127">
        <v>210.38179070057325</v>
      </c>
      <c r="G127" s="128">
        <v>285.7004976782394</v>
      </c>
      <c r="H127" s="123">
        <v>113.18570657982272</v>
      </c>
      <c r="I127" s="127">
        <v>147.3316656159526</v>
      </c>
      <c r="J127" s="128">
        <v>188.38169345986014</v>
      </c>
      <c r="K127" s="123">
        <v>111.7625026992263</v>
      </c>
      <c r="L127" s="127">
        <v>145.00553819387744</v>
      </c>
      <c r="M127" s="128">
        <v>184.79865948220552</v>
      </c>
      <c r="N127" s="123"/>
      <c r="O127" s="127"/>
      <c r="P127" s="128"/>
      <c r="Q127" s="123"/>
      <c r="R127" s="127"/>
      <c r="S127" s="128"/>
      <c r="T127" s="123"/>
      <c r="U127" s="127"/>
      <c r="V127" s="128"/>
      <c r="W127" s="123"/>
      <c r="X127" s="127"/>
      <c r="Y127" s="128"/>
      <c r="Z127" s="123"/>
      <c r="AA127" s="127"/>
      <c r="AB127" s="128"/>
      <c r="AD127" s="41">
        <v>2017</v>
      </c>
      <c r="AE127" s="123">
        <v>163.50982826250981</v>
      </c>
      <c r="AF127" s="127">
        <v>227.1263434907984</v>
      </c>
      <c r="AG127" s="128">
        <v>298.84504561128153</v>
      </c>
      <c r="AH127" s="123">
        <v>107.0410894350795</v>
      </c>
      <c r="AI127" s="127">
        <v>167.59888104147763</v>
      </c>
      <c r="AJ127" s="128">
        <v>233.35536074386269</v>
      </c>
      <c r="AK127" s="123">
        <v>83.483268946153331</v>
      </c>
      <c r="AL127" s="127">
        <v>108.22312162034741</v>
      </c>
      <c r="AM127" s="128">
        <v>138.21544672037885</v>
      </c>
      <c r="AN127" s="123">
        <v>81.338954568277131</v>
      </c>
      <c r="AO127" s="127">
        <v>105.10291727070684</v>
      </c>
      <c r="AP127" s="128">
        <v>133.79318764239235</v>
      </c>
      <c r="AQ127" s="17"/>
      <c r="AR127" s="20"/>
      <c r="AS127" s="19"/>
      <c r="AT127" s="17"/>
      <c r="AU127" s="20"/>
      <c r="AV127" s="19"/>
      <c r="AW127" s="17"/>
      <c r="AX127" s="20"/>
      <c r="AY127" s="19"/>
      <c r="AZ127" s="17"/>
      <c r="BA127" s="20"/>
      <c r="BB127" s="19"/>
      <c r="BC127" s="17"/>
      <c r="BD127" s="20"/>
      <c r="BE127" s="19"/>
    </row>
    <row r="128" spans="1:57" x14ac:dyDescent="0.3">
      <c r="A128" s="41">
        <v>2018</v>
      </c>
      <c r="B128" s="123">
        <v>161.53372227896884</v>
      </c>
      <c r="C128" s="127">
        <v>252.26991176711238</v>
      </c>
      <c r="D128" s="128">
        <v>374.42730801300917</v>
      </c>
      <c r="E128" s="123">
        <v>136.50299418920457</v>
      </c>
      <c r="F128" s="127">
        <v>203.25029409432639</v>
      </c>
      <c r="G128" s="128">
        <v>285.7004976782394</v>
      </c>
      <c r="H128" s="123">
        <v>99.341678791169485</v>
      </c>
      <c r="I128" s="127">
        <v>138.27884303555319</v>
      </c>
      <c r="J128" s="128">
        <v>188.38169345986014</v>
      </c>
      <c r="K128" s="123">
        <v>105.19470185309673</v>
      </c>
      <c r="L128" s="127">
        <v>136.97326968435513</v>
      </c>
      <c r="M128" s="128">
        <v>175.17709924005467</v>
      </c>
      <c r="N128" s="123">
        <v>106.61653187286031</v>
      </c>
      <c r="O128" s="127">
        <v>133.16488308981866</v>
      </c>
      <c r="P128" s="128">
        <v>165.48533469001984</v>
      </c>
      <c r="Q128" s="123"/>
      <c r="R128" s="127"/>
      <c r="S128" s="128"/>
      <c r="T128" s="123"/>
      <c r="U128" s="127"/>
      <c r="V128" s="128"/>
      <c r="W128" s="123"/>
      <c r="X128" s="127"/>
      <c r="Y128" s="128"/>
      <c r="Z128" s="123"/>
      <c r="AA128" s="127"/>
      <c r="AB128" s="128"/>
      <c r="AD128" s="41">
        <v>2018</v>
      </c>
      <c r="AE128" s="123">
        <v>146.04474849065696</v>
      </c>
      <c r="AF128" s="127">
        <v>216.64739154061414</v>
      </c>
      <c r="AG128" s="128">
        <v>298.84504561128153</v>
      </c>
      <c r="AH128" s="123">
        <v>97.694252288426185</v>
      </c>
      <c r="AI128" s="127">
        <v>160.02043895066325</v>
      </c>
      <c r="AJ128" s="128">
        <v>233.35536074386269</v>
      </c>
      <c r="AK128" s="123">
        <v>60.967763642153031</v>
      </c>
      <c r="AL128" s="127">
        <v>94.1900789268322</v>
      </c>
      <c r="AM128" s="128">
        <v>131.96826526973925</v>
      </c>
      <c r="AN128" s="123">
        <v>78.459649506490493</v>
      </c>
      <c r="AO128" s="127">
        <v>101.7394467542521</v>
      </c>
      <c r="AP128" s="128">
        <v>129.95990328645851</v>
      </c>
      <c r="AQ128" s="123">
        <v>78.638664080096859</v>
      </c>
      <c r="AR128" s="127">
        <v>98.491678064358396</v>
      </c>
      <c r="AS128" s="128">
        <v>123.05050994763127</v>
      </c>
      <c r="AT128" s="17"/>
      <c r="AU128" s="20"/>
      <c r="AV128" s="19"/>
      <c r="AW128" s="17"/>
      <c r="AX128" s="20"/>
      <c r="AY128" s="19"/>
      <c r="AZ128" s="17"/>
      <c r="BA128" s="20"/>
      <c r="BB128" s="19"/>
      <c r="BC128" s="17"/>
      <c r="BD128" s="20"/>
      <c r="BE128" s="19"/>
    </row>
    <row r="129" spans="1:57" x14ac:dyDescent="0.3">
      <c r="A129" s="41">
        <v>2019</v>
      </c>
      <c r="B129" s="123">
        <v>140.49577843538444</v>
      </c>
      <c r="C129" s="127">
        <v>237.75884047566879</v>
      </c>
      <c r="D129" s="128">
        <v>374.42730801300917</v>
      </c>
      <c r="E129" s="123">
        <v>126.53465407792238</v>
      </c>
      <c r="F129" s="127">
        <v>195.67537160026637</v>
      </c>
      <c r="G129" s="128">
        <v>285.7004976782394</v>
      </c>
      <c r="H129" s="123">
        <v>93.089703945687489</v>
      </c>
      <c r="I129" s="127">
        <v>133.08480695576179</v>
      </c>
      <c r="J129" s="128">
        <v>188.38169345986014</v>
      </c>
      <c r="K129" s="123">
        <v>92.614422686541886</v>
      </c>
      <c r="L129" s="127">
        <v>130.161395659363</v>
      </c>
      <c r="M129" s="128">
        <v>175.17709924005467</v>
      </c>
      <c r="N129" s="123">
        <v>97.826880634868459</v>
      </c>
      <c r="O129" s="127">
        <v>122.42245735598688</v>
      </c>
      <c r="P129" s="128">
        <v>152.3901129395708</v>
      </c>
      <c r="Q129" s="123">
        <v>109.80888718714293</v>
      </c>
      <c r="R129" s="127">
        <v>135.03899061611057</v>
      </c>
      <c r="S129" s="128">
        <v>169.43658477105279</v>
      </c>
      <c r="T129" s="123"/>
      <c r="U129" s="127"/>
      <c r="V129" s="128"/>
      <c r="W129" s="123"/>
      <c r="X129" s="127"/>
      <c r="Y129" s="128"/>
      <c r="Z129" s="123"/>
      <c r="AA129" s="127"/>
      <c r="AB129" s="128"/>
      <c r="AD129" s="41">
        <v>2019</v>
      </c>
      <c r="AE129" s="123">
        <v>128.5796687188041</v>
      </c>
      <c r="AF129" s="127">
        <v>206.16843959042978</v>
      </c>
      <c r="AG129" s="128">
        <v>298.84504561128153</v>
      </c>
      <c r="AH129" s="123">
        <v>89.166120396661526</v>
      </c>
      <c r="AI129" s="127">
        <v>153.83820029311229</v>
      </c>
      <c r="AJ129" s="128">
        <v>233.35536074386269</v>
      </c>
      <c r="AK129" s="123">
        <v>56.008711308896821</v>
      </c>
      <c r="AL129" s="127">
        <v>90.265482437162291</v>
      </c>
      <c r="AM129" s="128">
        <v>132.5929834148032</v>
      </c>
      <c r="AN129" s="123">
        <v>57.764160216618862</v>
      </c>
      <c r="AO129" s="127">
        <v>91.297402970501182</v>
      </c>
      <c r="AP129" s="128">
        <v>129.95990328645851</v>
      </c>
      <c r="AQ129" s="123">
        <v>66.411435677338645</v>
      </c>
      <c r="AR129" s="127">
        <v>83.805796841652295</v>
      </c>
      <c r="AS129" s="128">
        <v>105.46441679484089</v>
      </c>
      <c r="AT129" s="123">
        <v>71.865164102493551</v>
      </c>
      <c r="AU129" s="127">
        <v>88.819728719123091</v>
      </c>
      <c r="AV129" s="128">
        <v>111.91308708903162</v>
      </c>
      <c r="AW129" s="17"/>
      <c r="AX129" s="20"/>
      <c r="AY129" s="19"/>
      <c r="AZ129" s="17"/>
      <c r="BA129" s="20"/>
      <c r="BB129" s="19"/>
      <c r="BC129" s="17"/>
      <c r="BD129" s="20"/>
      <c r="BE129" s="19"/>
    </row>
    <row r="130" spans="1:57" x14ac:dyDescent="0.3">
      <c r="A130" s="41">
        <v>2020</v>
      </c>
      <c r="B130" s="123">
        <v>120.91372764983731</v>
      </c>
      <c r="C130" s="127">
        <v>223.88540412481839</v>
      </c>
      <c r="D130" s="128">
        <v>374.42730801300917</v>
      </c>
      <c r="E130" s="123">
        <v>112.61556564188258</v>
      </c>
      <c r="F130" s="127">
        <v>185.85839018900398</v>
      </c>
      <c r="G130" s="128">
        <v>285.7004976782394</v>
      </c>
      <c r="H130" s="123">
        <v>86.433433991700895</v>
      </c>
      <c r="I130" s="127">
        <v>125.34629771188207</v>
      </c>
      <c r="J130" s="128">
        <v>188.38169345986014</v>
      </c>
      <c r="K130" s="123">
        <v>86.899256556348234</v>
      </c>
      <c r="L130" s="127">
        <v>126.43084204359371</v>
      </c>
      <c r="M130" s="128">
        <v>175.17709924005467</v>
      </c>
      <c r="N130" s="123">
        <v>91.315593359818408</v>
      </c>
      <c r="O130" s="127">
        <v>116.93711741833411</v>
      </c>
      <c r="P130" s="128">
        <v>150.54768234685665</v>
      </c>
      <c r="Q130" s="123">
        <v>108.43406323632311</v>
      </c>
      <c r="R130" s="127">
        <v>133.62914307469899</v>
      </c>
      <c r="S130" s="128">
        <v>167.973558749142</v>
      </c>
      <c r="T130" s="123">
        <v>83.642365103427778</v>
      </c>
      <c r="U130" s="127">
        <v>103.07699665512568</v>
      </c>
      <c r="V130" s="128">
        <v>129.56911609959349</v>
      </c>
      <c r="W130" s="123"/>
      <c r="X130" s="127"/>
      <c r="Y130" s="128"/>
      <c r="Z130" s="123"/>
      <c r="AA130" s="127"/>
      <c r="AB130" s="128"/>
      <c r="AD130" s="41">
        <v>2020</v>
      </c>
      <c r="AE130" s="123">
        <v>111.11458894695122</v>
      </c>
      <c r="AF130" s="127">
        <v>195.68948764024549</v>
      </c>
      <c r="AG130" s="128">
        <v>298.84504561128153</v>
      </c>
      <c r="AH130" s="123">
        <v>80.823750587213411</v>
      </c>
      <c r="AI130" s="127">
        <v>147.34836735452851</v>
      </c>
      <c r="AJ130" s="128">
        <v>233.35536074386269</v>
      </c>
      <c r="AK130" s="123">
        <v>51.983122402627231</v>
      </c>
      <c r="AL130" s="127">
        <v>86.857111424916397</v>
      </c>
      <c r="AM130" s="128">
        <v>134.46713784999511</v>
      </c>
      <c r="AN130" s="123">
        <v>53.714508474747468</v>
      </c>
      <c r="AO130" s="127">
        <v>87.576221649162861</v>
      </c>
      <c r="AP130" s="128">
        <v>129.95990328645851</v>
      </c>
      <c r="AQ130" s="123">
        <v>62.111328854662226</v>
      </c>
      <c r="AR130" s="127">
        <v>80.451131910891064</v>
      </c>
      <c r="AS130" s="128">
        <v>104.39433289534126</v>
      </c>
      <c r="AT130" s="123">
        <v>68.689124971148573</v>
      </c>
      <c r="AU130" s="127">
        <v>85.614614064652741</v>
      </c>
      <c r="AV130" s="128">
        <v>108.9098202873994</v>
      </c>
      <c r="AW130" s="123">
        <v>52.821964141813126</v>
      </c>
      <c r="AX130" s="127">
        <v>65.795983717414501</v>
      </c>
      <c r="AY130" s="128">
        <v>83.656087715220252</v>
      </c>
      <c r="AZ130" s="17"/>
      <c r="BA130" s="20"/>
      <c r="BB130" s="19"/>
      <c r="BC130" s="17"/>
      <c r="BD130" s="20"/>
      <c r="BE130" s="19"/>
    </row>
    <row r="131" spans="1:57" x14ac:dyDescent="0.3">
      <c r="A131" s="41">
        <v>2021</v>
      </c>
      <c r="B131" s="123">
        <v>113.80850448980928</v>
      </c>
      <c r="C131" s="127">
        <v>217.41690582260389</v>
      </c>
      <c r="D131" s="128">
        <v>374.42730801300917</v>
      </c>
      <c r="E131" s="123">
        <v>106.69700448620574</v>
      </c>
      <c r="F131" s="127">
        <v>180.72679035376009</v>
      </c>
      <c r="G131" s="128">
        <v>285.7004976782394</v>
      </c>
      <c r="H131" s="123">
        <v>76.545602431383713</v>
      </c>
      <c r="I131" s="127">
        <v>117.76295583769041</v>
      </c>
      <c r="J131" s="128">
        <v>188.38169345986014</v>
      </c>
      <c r="K131" s="123">
        <v>80.779336795580235</v>
      </c>
      <c r="L131" s="127">
        <v>121.75189680689201</v>
      </c>
      <c r="M131" s="128">
        <v>175.17709924005467</v>
      </c>
      <c r="N131" s="123">
        <v>84.869319186118972</v>
      </c>
      <c r="O131" s="127">
        <v>111.50086139672825</v>
      </c>
      <c r="P131" s="128">
        <v>148.73434828161729</v>
      </c>
      <c r="Q131" s="123">
        <v>100.54189660405531</v>
      </c>
      <c r="R131" s="127">
        <v>126.88017255950126</v>
      </c>
      <c r="S131" s="128">
        <v>165.24854577087453</v>
      </c>
      <c r="T131" s="123">
        <v>80.923955731617895</v>
      </c>
      <c r="U131" s="127">
        <v>99.93631592750296</v>
      </c>
      <c r="V131" s="128">
        <v>125.84939057247449</v>
      </c>
      <c r="W131" s="123">
        <v>126.63845086602973</v>
      </c>
      <c r="X131" s="127">
        <v>156.18629804972718</v>
      </c>
      <c r="Y131" s="128">
        <v>196.46202575475672</v>
      </c>
      <c r="Z131" s="123"/>
      <c r="AA131" s="127"/>
      <c r="AB131" s="128"/>
      <c r="AD131" s="41">
        <v>2021</v>
      </c>
      <c r="AE131" s="123">
        <v>94.858211834244202</v>
      </c>
      <c r="AF131" s="127">
        <v>185.73833666368546</v>
      </c>
      <c r="AG131" s="128">
        <v>298.84504561128153</v>
      </c>
      <c r="AH131" s="123">
        <v>72.522655142029649</v>
      </c>
      <c r="AI131" s="127">
        <v>141.67515771668218</v>
      </c>
      <c r="AJ131" s="128">
        <v>233.35536074386269</v>
      </c>
      <c r="AK131" s="123">
        <v>46.397925609254209</v>
      </c>
      <c r="AL131" s="127">
        <v>83.372334940791987</v>
      </c>
      <c r="AM131" s="128">
        <v>135.71657414012302</v>
      </c>
      <c r="AN131" s="123">
        <v>47.994834024494168</v>
      </c>
      <c r="AO131" s="127">
        <v>84.580240418858025</v>
      </c>
      <c r="AP131" s="128">
        <v>129.95990328645851</v>
      </c>
      <c r="AQ131" s="123">
        <v>57.936595791608752</v>
      </c>
      <c r="AR131" s="127">
        <v>77.169150961125908</v>
      </c>
      <c r="AS131" s="128">
        <v>103.32890899154549</v>
      </c>
      <c r="AT131" s="123">
        <v>63.58919608994804</v>
      </c>
      <c r="AU131" s="127">
        <v>81.451482219314826</v>
      </c>
      <c r="AV131" s="128">
        <v>107.18022783825332</v>
      </c>
      <c r="AW131" s="123">
        <v>47.190079646486183</v>
      </c>
      <c r="AX131" s="127">
        <v>59.272300733845633</v>
      </c>
      <c r="AY131" s="128">
        <v>76.069772146008901</v>
      </c>
      <c r="AZ131" s="123">
        <v>75.705035042715991</v>
      </c>
      <c r="BA131" s="127">
        <v>94.241729354839038</v>
      </c>
      <c r="BB131" s="128">
        <v>119.75367319574188</v>
      </c>
      <c r="BC131" s="17"/>
      <c r="BD131" s="20"/>
      <c r="BE131" s="19"/>
    </row>
    <row r="132" spans="1:57" x14ac:dyDescent="0.3">
      <c r="A132" s="41">
        <v>2022</v>
      </c>
      <c r="B132" s="123">
        <v>106.70328132978128</v>
      </c>
      <c r="C132" s="127">
        <v>210.94840752038945</v>
      </c>
      <c r="D132" s="128">
        <v>374.42730801300917</v>
      </c>
      <c r="E132" s="123">
        <v>100.77844333052883</v>
      </c>
      <c r="F132" s="127">
        <v>175.59519051851618</v>
      </c>
      <c r="G132" s="128">
        <v>285.7004976782394</v>
      </c>
      <c r="H132" s="123">
        <v>71.284592278075593</v>
      </c>
      <c r="I132" s="127">
        <v>113.0860452576228</v>
      </c>
      <c r="J132" s="128">
        <v>186.05311603655917</v>
      </c>
      <c r="K132" s="123">
        <v>74.741353354251856</v>
      </c>
      <c r="L132" s="127">
        <v>117.12190383120669</v>
      </c>
      <c r="M132" s="128">
        <v>175.17709924005467</v>
      </c>
      <c r="N132" s="123">
        <v>78.468885351577569</v>
      </c>
      <c r="O132" s="127">
        <v>106.09008169891621</v>
      </c>
      <c r="P132" s="128">
        <v>146.92101421637787</v>
      </c>
      <c r="Q132" s="123">
        <v>92.711113004136166</v>
      </c>
      <c r="R132" s="127">
        <v>120.16495717969087</v>
      </c>
      <c r="S132" s="128">
        <v>162.52353279260709</v>
      </c>
      <c r="T132" s="123">
        <v>74.503958026721932</v>
      </c>
      <c r="U132" s="127">
        <v>94.541689782603541</v>
      </c>
      <c r="V132" s="128">
        <v>123.98001672815452</v>
      </c>
      <c r="W132" s="123">
        <v>130.11330645062361</v>
      </c>
      <c r="X132" s="127">
        <v>160.70329086532081</v>
      </c>
      <c r="Y132" s="128">
        <v>202.39588682253674</v>
      </c>
      <c r="Z132" s="123">
        <v>134.39120363152773</v>
      </c>
      <c r="AA132" s="127">
        <v>165.98693305156908</v>
      </c>
      <c r="AB132" s="128">
        <v>209.05030839772965</v>
      </c>
      <c r="AD132" s="41">
        <v>2022</v>
      </c>
      <c r="AE132" s="123">
        <v>92.041453364986637</v>
      </c>
      <c r="AF132" s="127">
        <v>181.51495563312514</v>
      </c>
      <c r="AG132" s="128">
        <v>298.84504561128153</v>
      </c>
      <c r="AH132" s="123">
        <v>71.224185522446916</v>
      </c>
      <c r="AI132" s="127">
        <v>139.05976606302971</v>
      </c>
      <c r="AJ132" s="128">
        <v>233.35536074386269</v>
      </c>
      <c r="AK132" s="123">
        <v>44.322054780754158</v>
      </c>
      <c r="AL132" s="127">
        <v>81.527613448134957</v>
      </c>
      <c r="AM132" s="128">
        <v>135.71657414012302</v>
      </c>
      <c r="AN132" s="123">
        <v>46.04410649099907</v>
      </c>
      <c r="AO132" s="127">
        <v>82.95063813537962</v>
      </c>
      <c r="AP132" s="128">
        <v>129.95990328645851</v>
      </c>
      <c r="AQ132" s="123">
        <v>53.879142575487762</v>
      </c>
      <c r="AR132" s="127">
        <v>73.953588556249144</v>
      </c>
      <c r="AS132" s="128">
        <v>102.26348508774971</v>
      </c>
      <c r="AT132" s="123">
        <v>58.664939002021349</v>
      </c>
      <c r="AU132" s="127">
        <v>77.394271082019088</v>
      </c>
      <c r="AV132" s="128">
        <v>105.45063538910723</v>
      </c>
      <c r="AW132" s="123">
        <v>43.625110264095596</v>
      </c>
      <c r="AX132" s="127">
        <v>56.57293952883429</v>
      </c>
      <c r="AY132" s="128">
        <v>75.51274789354801</v>
      </c>
      <c r="AZ132" s="123">
        <v>81.362298202240027</v>
      </c>
      <c r="BA132" s="127">
        <v>101.67772665748249</v>
      </c>
      <c r="BB132" s="128">
        <v>129.77488388494305</v>
      </c>
      <c r="BC132" s="123">
        <v>84.008042588397686</v>
      </c>
      <c r="BD132" s="127">
        <v>104.98408943785317</v>
      </c>
      <c r="BE132" s="128">
        <v>133.9949118105234</v>
      </c>
    </row>
    <row r="133" spans="1:57" x14ac:dyDescent="0.3">
      <c r="A133" s="41">
        <v>2023</v>
      </c>
      <c r="B133" s="123">
        <v>99.598058169753259</v>
      </c>
      <c r="C133" s="127">
        <v>204.47990921817504</v>
      </c>
      <c r="D133" s="128">
        <v>374.42730801300917</v>
      </c>
      <c r="E133" s="123">
        <v>94.859882174851975</v>
      </c>
      <c r="F133" s="127">
        <v>170.46359068327223</v>
      </c>
      <c r="G133" s="128">
        <v>285.7004976782394</v>
      </c>
      <c r="H133" s="123">
        <v>67.429371459557814</v>
      </c>
      <c r="I133" s="127">
        <v>110.23169530773868</v>
      </c>
      <c r="J133" s="128">
        <v>186.05311603655917</v>
      </c>
      <c r="K133" s="123">
        <v>68.784606106597479</v>
      </c>
      <c r="L133" s="127">
        <v>112.54050483698698</v>
      </c>
      <c r="M133" s="128">
        <v>175.17709924005467</v>
      </c>
      <c r="N133" s="123">
        <v>72.113804623182745</v>
      </c>
      <c r="O133" s="127">
        <v>100.70454847037981</v>
      </c>
      <c r="P133" s="128">
        <v>145.10768015113851</v>
      </c>
      <c r="Q133" s="123">
        <v>84.940999080995724</v>
      </c>
      <c r="R133" s="127">
        <v>113.48316487678953</v>
      </c>
      <c r="S133" s="128">
        <v>159.79851981433956</v>
      </c>
      <c r="T133" s="123">
        <v>68.133699812223796</v>
      </c>
      <c r="U133" s="127">
        <v>89.174422516800121</v>
      </c>
      <c r="V133" s="128">
        <v>122.11064288383457</v>
      </c>
      <c r="W133" s="123">
        <v>123.66349605391686</v>
      </c>
      <c r="X133" s="127">
        <v>155.12179883273137</v>
      </c>
      <c r="Y133" s="128">
        <v>198.6541536375847</v>
      </c>
      <c r="Z133" s="123">
        <v>114.19031530039915</v>
      </c>
      <c r="AA133" s="127">
        <v>141.23965431526878</v>
      </c>
      <c r="AB133" s="128">
        <v>178.10374620311751</v>
      </c>
      <c r="AD133" s="41">
        <v>2023</v>
      </c>
      <c r="AE133" s="123">
        <v>89.224694895729044</v>
      </c>
      <c r="AF133" s="127">
        <v>177.29157460256476</v>
      </c>
      <c r="AG133" s="128">
        <v>298.84504561128153</v>
      </c>
      <c r="AH133" s="123">
        <v>69.925715902864184</v>
      </c>
      <c r="AI133" s="127">
        <v>136.44437440937725</v>
      </c>
      <c r="AJ133" s="128">
        <v>233.35536074386269</v>
      </c>
      <c r="AK133" s="123">
        <v>42.270910779383648</v>
      </c>
      <c r="AL133" s="127">
        <v>79.6994722101972</v>
      </c>
      <c r="AM133" s="128">
        <v>135.71657414012302</v>
      </c>
      <c r="AN133" s="123">
        <v>44.117803482739085</v>
      </c>
      <c r="AO133" s="127">
        <v>81.336508273985018</v>
      </c>
      <c r="AP133" s="128">
        <v>129.95990328645851</v>
      </c>
      <c r="AQ133" s="123">
        <v>49.93409558807322</v>
      </c>
      <c r="AR133" s="127">
        <v>70.802016223452085</v>
      </c>
      <c r="AS133" s="128">
        <v>101.19806118395394</v>
      </c>
      <c r="AT133" s="123">
        <v>53.907430621914443</v>
      </c>
      <c r="AU133" s="127">
        <v>73.438263281157333</v>
      </c>
      <c r="AV133" s="128">
        <v>103.72104293996117</v>
      </c>
      <c r="AW133" s="123">
        <v>40.180860419153255</v>
      </c>
      <c r="AX133" s="127">
        <v>53.945714320133042</v>
      </c>
      <c r="AY133" s="128">
        <v>74.955723641087104</v>
      </c>
      <c r="AZ133" s="123">
        <v>77.369835077841472</v>
      </c>
      <c r="BA133" s="127">
        <v>98.387888386531216</v>
      </c>
      <c r="BB133" s="128">
        <v>127.99777965501893</v>
      </c>
      <c r="BC133" s="123">
        <v>74.90663054303262</v>
      </c>
      <c r="BD133" s="127">
        <v>93.971430160803493</v>
      </c>
      <c r="BE133" s="128">
        <v>120.46514707514062</v>
      </c>
    </row>
    <row r="134" spans="1:57" x14ac:dyDescent="0.3">
      <c r="A134" s="41">
        <v>2024</v>
      </c>
      <c r="B134" s="123">
        <v>92.492835009725241</v>
      </c>
      <c r="C134" s="127">
        <v>198.0114109159606</v>
      </c>
      <c r="D134" s="128">
        <v>374.42730801300917</v>
      </c>
      <c r="E134" s="123">
        <v>88.941321019175092</v>
      </c>
      <c r="F134" s="127">
        <v>165.33199084802837</v>
      </c>
      <c r="G134" s="128">
        <v>285.7004976782394</v>
      </c>
      <c r="H134" s="123">
        <v>63.621228594743933</v>
      </c>
      <c r="I134" s="127">
        <v>107.40517956105259</v>
      </c>
      <c r="J134" s="128">
        <v>186.05311603655917</v>
      </c>
      <c r="K134" s="123">
        <v>62.908398026090943</v>
      </c>
      <c r="L134" s="127">
        <v>108.00734298834799</v>
      </c>
      <c r="M134" s="128">
        <v>175.17709924005467</v>
      </c>
      <c r="N134" s="123">
        <v>65.80359664855547</v>
      </c>
      <c r="O134" s="127">
        <v>95.34403487314367</v>
      </c>
      <c r="P134" s="128">
        <v>143.29434608589915</v>
      </c>
      <c r="Q134" s="123">
        <v>77.230852489978574</v>
      </c>
      <c r="R134" s="127">
        <v>106.83446834935626</v>
      </c>
      <c r="S134" s="128">
        <v>157.07350683607211</v>
      </c>
      <c r="T134" s="123">
        <v>63.917777339251799</v>
      </c>
      <c r="U134" s="127">
        <v>86.69849259241667</v>
      </c>
      <c r="V134" s="128">
        <v>124.36608296660917</v>
      </c>
      <c r="W134" s="123">
        <v>117.24811537580941</v>
      </c>
      <c r="X134" s="127">
        <v>149.55853300682296</v>
      </c>
      <c r="Y134" s="128">
        <v>194.9124204526326</v>
      </c>
      <c r="Z134" s="123">
        <v>108.75549457695965</v>
      </c>
      <c r="AA134" s="127">
        <v>137.15492674062267</v>
      </c>
      <c r="AB134" s="128">
        <v>176.60338229397851</v>
      </c>
      <c r="AD134" s="41">
        <v>2024</v>
      </c>
      <c r="AE134" s="123">
        <v>86.40793642647148</v>
      </c>
      <c r="AF134" s="127">
        <v>173.06819357200445</v>
      </c>
      <c r="AG134" s="128">
        <v>298.84504561128153</v>
      </c>
      <c r="AH134" s="123">
        <v>68.627246283281451</v>
      </c>
      <c r="AI134" s="127">
        <v>133.82898275572478</v>
      </c>
      <c r="AJ134" s="128">
        <v>233.35536074386269</v>
      </c>
      <c r="AK134" s="123">
        <v>40.244310349799719</v>
      </c>
      <c r="AL134" s="127">
        <v>77.887809371724956</v>
      </c>
      <c r="AM134" s="128">
        <v>135.71657414012302</v>
      </c>
      <c r="AN134" s="123">
        <v>42.215721155130986</v>
      </c>
      <c r="AO134" s="127">
        <v>79.737743097674382</v>
      </c>
      <c r="AP134" s="128">
        <v>129.95990328645851</v>
      </c>
      <c r="AQ134" s="123">
        <v>46.096847555724487</v>
      </c>
      <c r="AR134" s="127">
        <v>67.712130496734517</v>
      </c>
      <c r="AS134" s="128">
        <v>100.13263728015816</v>
      </c>
      <c r="AT134" s="123">
        <v>49.308342122351654</v>
      </c>
      <c r="AU134" s="127">
        <v>69.579028916182423</v>
      </c>
      <c r="AV134" s="128">
        <v>101.99145049081508</v>
      </c>
      <c r="AW134" s="123">
        <v>38.107266252779652</v>
      </c>
      <c r="AX134" s="127">
        <v>53.145757482539643</v>
      </c>
      <c r="AY134" s="128">
        <v>76.95507750711117</v>
      </c>
      <c r="AZ134" s="123">
        <v>73.442276619985776</v>
      </c>
      <c r="BA134" s="127">
        <v>95.136496220062611</v>
      </c>
      <c r="BB134" s="128">
        <v>126.22067542509481</v>
      </c>
      <c r="BC134" s="123">
        <v>71.305075408482821</v>
      </c>
      <c r="BD134" s="127">
        <v>91.277271225295848</v>
      </c>
      <c r="BE134" s="128">
        <v>119.6065240064858</v>
      </c>
    </row>
    <row r="135" spans="1:57" x14ac:dyDescent="0.3">
      <c r="A135" s="41">
        <v>2025</v>
      </c>
      <c r="B135" s="123">
        <v>85.387611849697251</v>
      </c>
      <c r="C135" s="127">
        <v>191.54291261374618</v>
      </c>
      <c r="D135" s="128">
        <v>374.42730801300917</v>
      </c>
      <c r="E135" s="123">
        <v>83.022759863498209</v>
      </c>
      <c r="F135" s="127">
        <v>160.20039101278445</v>
      </c>
      <c r="G135" s="128">
        <v>285.7004976782394</v>
      </c>
      <c r="H135" s="123">
        <v>59.85981392567772</v>
      </c>
      <c r="I135" s="127">
        <v>104.60631806640323</v>
      </c>
      <c r="J135" s="128">
        <v>186.05311603655917</v>
      </c>
      <c r="K135" s="123">
        <v>57.112035180043762</v>
      </c>
      <c r="L135" s="127">
        <v>103.52206289074962</v>
      </c>
      <c r="M135" s="128">
        <v>175.17709924005467</v>
      </c>
      <c r="N135" s="123">
        <v>59.537787834917189</v>
      </c>
      <c r="O135" s="127">
        <v>90.008317034318793</v>
      </c>
      <c r="P135" s="128">
        <v>141.4810120206597</v>
      </c>
      <c r="Q135" s="123">
        <v>69.579981685713534</v>
      </c>
      <c r="R135" s="127">
        <v>100.21854496436964</v>
      </c>
      <c r="S135" s="128">
        <v>154.34849385780467</v>
      </c>
      <c r="T135" s="123">
        <v>57.423853112227164</v>
      </c>
      <c r="U135" s="127">
        <v>81.197491624851352</v>
      </c>
      <c r="V135" s="128">
        <v>122.43062651944523</v>
      </c>
      <c r="W135" s="123">
        <v>110.86688946634916</v>
      </c>
      <c r="X135" s="127">
        <v>144.01336763909447</v>
      </c>
      <c r="Y135" s="128">
        <v>191.17068726768048</v>
      </c>
      <c r="Z135" s="123">
        <v>103.34960823072427</v>
      </c>
      <c r="AA135" s="127">
        <v>133.08514261298521</v>
      </c>
      <c r="AB135" s="128">
        <v>175.10301838483957</v>
      </c>
      <c r="AD135" s="41">
        <v>2025</v>
      </c>
      <c r="AE135" s="123">
        <v>83.591177957213915</v>
      </c>
      <c r="AF135" s="127">
        <v>168.8448125414441</v>
      </c>
      <c r="AG135" s="128">
        <v>298.84504561128153</v>
      </c>
      <c r="AH135" s="123">
        <v>67.328776663698704</v>
      </c>
      <c r="AI135" s="127">
        <v>131.21359110207231</v>
      </c>
      <c r="AJ135" s="128">
        <v>233.35536074386269</v>
      </c>
      <c r="AK135" s="123">
        <v>38.242070820927204</v>
      </c>
      <c r="AL135" s="127">
        <v>76.09252337150599</v>
      </c>
      <c r="AM135" s="128">
        <v>135.71657414012302</v>
      </c>
      <c r="AN135" s="123">
        <v>40.337656558744868</v>
      </c>
      <c r="AO135" s="127">
        <v>78.15423529183397</v>
      </c>
      <c r="AP135" s="128">
        <v>129.95990328645851</v>
      </c>
      <c r="AQ135" s="123">
        <v>42.363039599866241</v>
      </c>
      <c r="AR135" s="127">
        <v>64.681744681769416</v>
      </c>
      <c r="AS135" s="128">
        <v>99.067213376362389</v>
      </c>
      <c r="AT135" s="123">
        <v>44.859890274016358</v>
      </c>
      <c r="AU135" s="127">
        <v>65.812403349168406</v>
      </c>
      <c r="AV135" s="128">
        <v>100.26185804166902</v>
      </c>
      <c r="AW135" s="123">
        <v>34.772432089707678</v>
      </c>
      <c r="AX135" s="127">
        <v>50.564899193174952</v>
      </c>
      <c r="AY135" s="128">
        <v>76.378096483440785</v>
      </c>
      <c r="AZ135" s="123">
        <v>69.578052876788192</v>
      </c>
      <c r="BA135" s="127">
        <v>91.922729294413642</v>
      </c>
      <c r="BB135" s="128">
        <v>124.44357119517072</v>
      </c>
      <c r="BC135" s="123">
        <v>67.761597949725726</v>
      </c>
      <c r="BD135" s="127">
        <v>88.616788056605699</v>
      </c>
      <c r="BE135" s="128">
        <v>118.74790093783101</v>
      </c>
    </row>
    <row r="136" spans="1:57" x14ac:dyDescent="0.3">
      <c r="A136" s="41">
        <v>2026</v>
      </c>
      <c r="B136" s="123">
        <v>84.519743554591585</v>
      </c>
      <c r="C136" s="127">
        <v>189.67677240913849</v>
      </c>
      <c r="D136" s="128">
        <v>374.42730801300917</v>
      </c>
      <c r="E136" s="123">
        <v>80.549809669044933</v>
      </c>
      <c r="F136" s="127">
        <v>157.03737429270853</v>
      </c>
      <c r="G136" s="128">
        <v>285.7004976782394</v>
      </c>
      <c r="H136" s="123">
        <v>56.144778767714271</v>
      </c>
      <c r="I136" s="127">
        <v>101.83493138758601</v>
      </c>
      <c r="J136" s="128">
        <v>186.05311603655917</v>
      </c>
      <c r="K136" s="123">
        <v>51.394826724447753</v>
      </c>
      <c r="L136" s="127">
        <v>99.084310588784192</v>
      </c>
      <c r="M136" s="128">
        <v>175.17709924005467</v>
      </c>
      <c r="N136" s="123">
        <v>53.315911230603938</v>
      </c>
      <c r="O136" s="127">
        <v>84.697173995715247</v>
      </c>
      <c r="P136" s="128">
        <v>139.66767795542034</v>
      </c>
      <c r="Q136" s="123">
        <v>61.987705715345399</v>
      </c>
      <c r="R136" s="127">
        <v>93.63507667062062</v>
      </c>
      <c r="S136" s="128">
        <v>151.6234808795372</v>
      </c>
      <c r="T136" s="123">
        <v>57.283101621106553</v>
      </c>
      <c r="U136" s="127">
        <v>85.155894399676214</v>
      </c>
      <c r="V136" s="128">
        <v>135.61968208679977</v>
      </c>
      <c r="W136" s="123">
        <v>104.51954629541726</v>
      </c>
      <c r="X136" s="127">
        <v>138.48617823302104</v>
      </c>
      <c r="Y136" s="128">
        <v>187.42895408272841</v>
      </c>
      <c r="Z136" s="123">
        <v>97.97242581006401</v>
      </c>
      <c r="AA136" s="127">
        <v>129.0301977012368</v>
      </c>
      <c r="AB136" s="128">
        <v>173.60265447570066</v>
      </c>
      <c r="AD136" s="41">
        <v>2026</v>
      </c>
      <c r="AE136" s="123">
        <v>80.774419487956351</v>
      </c>
      <c r="AF136" s="127">
        <v>164.62143151088375</v>
      </c>
      <c r="AG136" s="128">
        <v>298.84504561128153</v>
      </c>
      <c r="AH136" s="123">
        <v>66.030307044115986</v>
      </c>
      <c r="AI136" s="127">
        <v>128.98335869986622</v>
      </c>
      <c r="AJ136" s="128">
        <v>233.35536074386269</v>
      </c>
      <c r="AK136" s="123">
        <v>36.264010106786891</v>
      </c>
      <c r="AL136" s="127">
        <v>74.313512942714652</v>
      </c>
      <c r="AM136" s="128">
        <v>135.71657414012302</v>
      </c>
      <c r="AN136" s="123">
        <v>38.48340763762895</v>
      </c>
      <c r="AO136" s="127">
        <v>76.585877963518385</v>
      </c>
      <c r="AP136" s="128">
        <v>129.95990328645851</v>
      </c>
      <c r="AQ136" s="123">
        <v>38.728544719750438</v>
      </c>
      <c r="AR136" s="127">
        <v>61.708781275288544</v>
      </c>
      <c r="AS136" s="128">
        <v>98.001789472566657</v>
      </c>
      <c r="AT136" s="123">
        <v>40.554793489679938</v>
      </c>
      <c r="AU136" s="127">
        <v>62.134467064591654</v>
      </c>
      <c r="AV136" s="128">
        <v>98.532265592522947</v>
      </c>
      <c r="AW136" s="123">
        <v>35.482016094263287</v>
      </c>
      <c r="AX136" s="127">
        <v>54.095791732982178</v>
      </c>
      <c r="AY136" s="128">
        <v>85.41049818157434</v>
      </c>
      <c r="AZ136" s="123">
        <v>65.775644124595175</v>
      </c>
      <c r="BA136" s="127">
        <v>88.745790871215178</v>
      </c>
      <c r="BB136" s="128">
        <v>122.6664669652466</v>
      </c>
      <c r="BC136" s="123">
        <v>64.274804586350911</v>
      </c>
      <c r="BD136" s="127">
        <v>85.989262288257791</v>
      </c>
      <c r="BE136" s="128">
        <v>117.8892778691762</v>
      </c>
    </row>
    <row r="137" spans="1:57" x14ac:dyDescent="0.3">
      <c r="A137" s="41">
        <v>2027</v>
      </c>
      <c r="B137" s="123">
        <v>83.651875259485905</v>
      </c>
      <c r="C137" s="127">
        <v>187.81063220453078</v>
      </c>
      <c r="D137" s="128">
        <v>374.42730801300917</v>
      </c>
      <c r="E137" s="123">
        <v>78.076859474591643</v>
      </c>
      <c r="F137" s="127">
        <v>153.8743575726327</v>
      </c>
      <c r="G137" s="128">
        <v>285.7004976782394</v>
      </c>
      <c r="H137" s="123">
        <v>52.47577551183479</v>
      </c>
      <c r="I137" s="127">
        <v>99.09084060435535</v>
      </c>
      <c r="J137" s="128">
        <v>186.05311603655917</v>
      </c>
      <c r="K137" s="123">
        <v>45.756084899063879</v>
      </c>
      <c r="L137" s="127">
        <v>94.693733564071195</v>
      </c>
      <c r="M137" s="128">
        <v>175.17709924005467</v>
      </c>
      <c r="N137" s="123">
        <v>47.137506409063889</v>
      </c>
      <c r="O137" s="127">
        <v>79.410387664497321</v>
      </c>
      <c r="P137" s="128">
        <v>137.85434389018096</v>
      </c>
      <c r="Q137" s="123">
        <v>54.453354016499709</v>
      </c>
      <c r="R137" s="127">
        <v>87.083749914062054</v>
      </c>
      <c r="S137" s="128">
        <v>148.8984679012697</v>
      </c>
      <c r="T137" s="123">
        <v>50.730016680485726</v>
      </c>
      <c r="U137" s="127">
        <v>80.070226923727006</v>
      </c>
      <c r="V137" s="128">
        <v>135.24774123679066</v>
      </c>
      <c r="W137" s="123">
        <v>98.205816714071346</v>
      </c>
      <c r="X137" s="127">
        <v>132.976841527917</v>
      </c>
      <c r="Y137" s="128">
        <v>183.68722089777631</v>
      </c>
      <c r="Z137" s="123">
        <v>92.62371930415263</v>
      </c>
      <c r="AA137" s="127">
        <v>124.98998881598799</v>
      </c>
      <c r="AB137" s="128">
        <v>172.10229056656169</v>
      </c>
      <c r="AD137" s="41">
        <v>2027</v>
      </c>
      <c r="AE137" s="123">
        <v>79.987778370143417</v>
      </c>
      <c r="AF137" s="127">
        <v>163.23641118568128</v>
      </c>
      <c r="AG137" s="128">
        <v>298.84504561128153</v>
      </c>
      <c r="AH137" s="123">
        <v>64.731837424533254</v>
      </c>
      <c r="AI137" s="127">
        <v>126.75312629766005</v>
      </c>
      <c r="AJ137" s="128">
        <v>233.35536074386269</v>
      </c>
      <c r="AK137" s="123">
        <v>34.309946707363416</v>
      </c>
      <c r="AL137" s="127">
        <v>72.550677113275029</v>
      </c>
      <c r="AM137" s="128">
        <v>135.71657414012302</v>
      </c>
      <c r="AN137" s="123">
        <v>36.652773227708963</v>
      </c>
      <c r="AO137" s="127">
        <v>75.032564640764335</v>
      </c>
      <c r="AP137" s="128">
        <v>129.95990328645851</v>
      </c>
      <c r="AQ137" s="123">
        <v>35.189452575913137</v>
      </c>
      <c r="AR137" s="127">
        <v>58.791264978545236</v>
      </c>
      <c r="AS137" s="128">
        <v>96.936365568770881</v>
      </c>
      <c r="AT137" s="123">
        <v>36.386232050487578</v>
      </c>
      <c r="AU137" s="127">
        <v>58.541527373151524</v>
      </c>
      <c r="AV137" s="128">
        <v>96.80267314337685</v>
      </c>
      <c r="AW137" s="123">
        <v>32.391315511376924</v>
      </c>
      <c r="AX137" s="127">
        <v>52.041131848042468</v>
      </c>
      <c r="AY137" s="128">
        <v>85.95554847074682</v>
      </c>
      <c r="AZ137" s="123">
        <v>62.033578875203027</v>
      </c>
      <c r="BA137" s="127">
        <v>85.604907432304842</v>
      </c>
      <c r="BB137" s="128">
        <v>120.88936273532249</v>
      </c>
      <c r="BC137" s="123">
        <v>60.843345969659396</v>
      </c>
      <c r="BD137" s="127">
        <v>83.393996606112793</v>
      </c>
      <c r="BE137" s="128">
        <v>117.0306548005214</v>
      </c>
    </row>
    <row r="138" spans="1:57" x14ac:dyDescent="0.3">
      <c r="A138" s="41">
        <v>2028</v>
      </c>
      <c r="B138" s="123">
        <v>82.784006964380225</v>
      </c>
      <c r="C138" s="127">
        <v>185.94449199992306</v>
      </c>
      <c r="D138" s="128">
        <v>374.42730801300917</v>
      </c>
      <c r="E138" s="123">
        <v>75.603909280138367</v>
      </c>
      <c r="F138" s="127">
        <v>150.71134085255679</v>
      </c>
      <c r="G138" s="128">
        <v>285.7004976782394</v>
      </c>
      <c r="H138" s="123">
        <v>48.852457627036038</v>
      </c>
      <c r="I138" s="127">
        <v>96.373867313460153</v>
      </c>
      <c r="J138" s="128">
        <v>186.05311603655917</v>
      </c>
      <c r="K138" s="123">
        <v>40.195125022750524</v>
      </c>
      <c r="L138" s="127">
        <v>90.349980733259017</v>
      </c>
      <c r="M138" s="128">
        <v>175.17709924005467</v>
      </c>
      <c r="N138" s="123">
        <v>41.002119355278005</v>
      </c>
      <c r="O138" s="127">
        <v>74.147742764856758</v>
      </c>
      <c r="P138" s="128">
        <v>136.0410098249416</v>
      </c>
      <c r="Q138" s="123">
        <v>46.976266219853649</v>
      </c>
      <c r="R138" s="127">
        <v>80.564255555063539</v>
      </c>
      <c r="S138" s="128">
        <v>146.17345492300223</v>
      </c>
      <c r="T138" s="123">
        <v>44.032222697751401</v>
      </c>
      <c r="U138" s="127">
        <v>74.844802639324257</v>
      </c>
      <c r="V138" s="128">
        <v>134.81579541803978</v>
      </c>
      <c r="W138" s="123">
        <v>91.925434416502156</v>
      </c>
      <c r="X138" s="127">
        <v>127.48523548305288</v>
      </c>
      <c r="Y138" s="128">
        <v>179.94548771282427</v>
      </c>
      <c r="Z138" s="123">
        <v>87.303263110737689</v>
      </c>
      <c r="AA138" s="127">
        <v>120.96441379615069</v>
      </c>
      <c r="AB138" s="128">
        <v>170.60192665742278</v>
      </c>
      <c r="AD138" s="41">
        <v>2028</v>
      </c>
      <c r="AE138" s="123">
        <v>79.201137252330497</v>
      </c>
      <c r="AF138" s="127">
        <v>161.85139086047872</v>
      </c>
      <c r="AG138" s="128">
        <v>298.84504561128153</v>
      </c>
      <c r="AH138" s="123">
        <v>63.433367804950514</v>
      </c>
      <c r="AI138" s="127">
        <v>124.5228938954539</v>
      </c>
      <c r="AJ138" s="128">
        <v>233.35536074386269</v>
      </c>
      <c r="AK138" s="123">
        <v>32.379699709513673</v>
      </c>
      <c r="AL138" s="127">
        <v>70.803915206242266</v>
      </c>
      <c r="AM138" s="128">
        <v>135.71657414012302</v>
      </c>
      <c r="AN138" s="123">
        <v>34.845553055258549</v>
      </c>
      <c r="AO138" s="127">
        <v>73.49418927193696</v>
      </c>
      <c r="AP138" s="128">
        <v>129.95990328645851</v>
      </c>
      <c r="AQ138" s="123">
        <v>31.74205545637659</v>
      </c>
      <c r="AR138" s="127">
        <v>55.927316250734968</v>
      </c>
      <c r="AS138" s="128">
        <v>95.870941664975106</v>
      </c>
      <c r="AT138" s="123">
        <v>32.347812057420391</v>
      </c>
      <c r="AU138" s="127">
        <v>55.030101763028313</v>
      </c>
      <c r="AV138" s="128">
        <v>95.073080694230782</v>
      </c>
      <c r="AW138" s="123">
        <v>29.312091461458397</v>
      </c>
      <c r="AX138" s="127">
        <v>49.976954853923068</v>
      </c>
      <c r="AY138" s="128">
        <v>86.483780324878154</v>
      </c>
      <c r="AZ138" s="123">
        <v>58.350431977205254</v>
      </c>
      <c r="BA138" s="127">
        <v>82.4993278158761</v>
      </c>
      <c r="BB138" s="128">
        <v>119.1122585053984</v>
      </c>
      <c r="BC138" s="123">
        <v>57.465915241606737</v>
      </c>
      <c r="BD138" s="127">
        <v>80.830313962097492</v>
      </c>
      <c r="BE138" s="128">
        <v>116.17203173186661</v>
      </c>
    </row>
    <row r="139" spans="1:57" x14ac:dyDescent="0.3">
      <c r="A139" s="41">
        <v>2029</v>
      </c>
      <c r="B139" s="123">
        <v>81.916138669274559</v>
      </c>
      <c r="C139" s="127">
        <v>184.07835179531534</v>
      </c>
      <c r="D139" s="128">
        <v>374.42730801300917</v>
      </c>
      <c r="E139" s="123">
        <v>73.130959085685078</v>
      </c>
      <c r="F139" s="127">
        <v>147.54832413248093</v>
      </c>
      <c r="G139" s="128">
        <v>285.7004976782394</v>
      </c>
      <c r="H139" s="123">
        <v>45.274479662793638</v>
      </c>
      <c r="I139" s="127">
        <v>93.683833629711984</v>
      </c>
      <c r="J139" s="128">
        <v>186.05311603655917</v>
      </c>
      <c r="K139" s="123">
        <v>34.711265489027873</v>
      </c>
      <c r="L139" s="127">
        <v>86.0527024461297</v>
      </c>
      <c r="M139" s="128">
        <v>175.17709924005467</v>
      </c>
      <c r="N139" s="123">
        <v>34.909302354544792</v>
      </c>
      <c r="O139" s="127">
        <v>68.909026790678638</v>
      </c>
      <c r="P139" s="128">
        <v>134.22767575970218</v>
      </c>
      <c r="Q139" s="123">
        <v>39.555791956191797</v>
      </c>
      <c r="R139" s="127">
        <v>74.07628878752098</v>
      </c>
      <c r="S139" s="128">
        <v>143.44844194473475</v>
      </c>
      <c r="T139" s="123">
        <v>37.191052434074109</v>
      </c>
      <c r="U139" s="127">
        <v>69.480176145212567</v>
      </c>
      <c r="V139" s="128">
        <v>134.32326842551953</v>
      </c>
      <c r="W139" s="123">
        <v>85.678135902590654</v>
      </c>
      <c r="X139" s="127">
        <v>122.01123926201956</v>
      </c>
      <c r="Y139" s="128">
        <v>176.20375452787215</v>
      </c>
      <c r="Z139" s="123">
        <v>82.010834004420815</v>
      </c>
      <c r="AA139" s="127">
        <v>116.95337149572022</v>
      </c>
      <c r="AB139" s="128">
        <v>169.10156274828384</v>
      </c>
      <c r="AD139" s="41">
        <v>2029</v>
      </c>
      <c r="AE139" s="123">
        <v>78.414496134517591</v>
      </c>
      <c r="AF139" s="127">
        <v>160.46637053527627</v>
      </c>
      <c r="AG139" s="128">
        <v>298.84504561128153</v>
      </c>
      <c r="AH139" s="123">
        <v>62.134898185367781</v>
      </c>
      <c r="AI139" s="127">
        <v>122.29266149324775</v>
      </c>
      <c r="AJ139" s="128">
        <v>233.35536074386269</v>
      </c>
      <c r="AK139" s="123">
        <v>30.473088787915348</v>
      </c>
      <c r="AL139" s="127">
        <v>69.073126840201709</v>
      </c>
      <c r="AM139" s="128">
        <v>135.71657414012302</v>
      </c>
      <c r="AN139" s="123">
        <v>33.061547735441046</v>
      </c>
      <c r="AO139" s="127">
        <v>71.970646225106591</v>
      </c>
      <c r="AP139" s="128">
        <v>129.95990328645851</v>
      </c>
      <c r="AQ139" s="123">
        <v>28.382835319714008</v>
      </c>
      <c r="AR139" s="127">
        <v>53.115145353841619</v>
      </c>
      <c r="AS139" s="128">
        <v>94.805517761179331</v>
      </c>
      <c r="AT139" s="123">
        <v>28.433532707143144</v>
      </c>
      <c r="AU139" s="127">
        <v>51.59690272577307</v>
      </c>
      <c r="AV139" s="128">
        <v>93.343488245084728</v>
      </c>
      <c r="AW139" s="123">
        <v>26.243466489612622</v>
      </c>
      <c r="AX139" s="127">
        <v>47.902944420380869</v>
      </c>
      <c r="AY139" s="128">
        <v>86.994799242683641</v>
      </c>
      <c r="AZ139" s="123">
        <v>54.724822806321143</v>
      </c>
      <c r="BA139" s="127">
        <v>79.428322391660387</v>
      </c>
      <c r="BB139" s="128">
        <v>117.33515427547428</v>
      </c>
      <c r="BC139" s="123">
        <v>54.141246375341765</v>
      </c>
      <c r="BD139" s="127">
        <v>78.297556823556818</v>
      </c>
      <c r="BE139" s="128">
        <v>115.31340866321182</v>
      </c>
    </row>
    <row r="140" spans="1:57" x14ac:dyDescent="0.3">
      <c r="A140" s="41">
        <v>2030</v>
      </c>
      <c r="B140" s="123">
        <v>81.048270374168851</v>
      </c>
      <c r="C140" s="127">
        <v>182.21221159070765</v>
      </c>
      <c r="D140" s="128">
        <v>374.42730801300917</v>
      </c>
      <c r="E140" s="123">
        <v>70.658008891231816</v>
      </c>
      <c r="F140" s="127">
        <v>144.3853074124051</v>
      </c>
      <c r="G140" s="128">
        <v>285.7004976782394</v>
      </c>
      <c r="H140" s="123">
        <v>41.741497251595206</v>
      </c>
      <c r="I140" s="127">
        <v>91.020562187084465</v>
      </c>
      <c r="J140" s="128">
        <v>186.05311603655917</v>
      </c>
      <c r="K140" s="123">
        <v>29.303827761871482</v>
      </c>
      <c r="L140" s="127">
        <v>81.801550483805798</v>
      </c>
      <c r="M140" s="128">
        <v>175.17709924005467</v>
      </c>
      <c r="N140" s="123">
        <v>28.858613883572126</v>
      </c>
      <c r="O140" s="127">
        <v>63.694029959176504</v>
      </c>
      <c r="P140" s="128">
        <v>132.41434169446279</v>
      </c>
      <c r="Q140" s="123">
        <v>32.191290667827921</v>
      </c>
      <c r="R140" s="127">
        <v>67.619549059772424</v>
      </c>
      <c r="S140" s="128">
        <v>140.72342896646722</v>
      </c>
      <c r="T140" s="123">
        <v>30.207934915460513</v>
      </c>
      <c r="U140" s="127">
        <v>63.976994737272044</v>
      </c>
      <c r="V140" s="128">
        <v>133.76962556333777</v>
      </c>
      <c r="W140" s="123">
        <v>79.463660441055595</v>
      </c>
      <c r="X140" s="127">
        <v>116.5547332173371</v>
      </c>
      <c r="Y140" s="128">
        <v>172.46202134292008</v>
      </c>
      <c r="Z140" s="123">
        <v>76.746211105437936</v>
      </c>
      <c r="AA140" s="127">
        <v>112.95676177076335</v>
      </c>
      <c r="AB140" s="128">
        <v>167.6011988391449</v>
      </c>
      <c r="AD140" s="41">
        <v>2030</v>
      </c>
      <c r="AE140" s="123">
        <v>77.627855016704672</v>
      </c>
      <c r="AF140" s="127">
        <v>159.08135021007377</v>
      </c>
      <c r="AG140" s="128">
        <v>298.84504561128153</v>
      </c>
      <c r="AH140" s="123">
        <v>60.836428565785049</v>
      </c>
      <c r="AI140" s="127">
        <v>120.06242909104162</v>
      </c>
      <c r="AJ140" s="128">
        <v>233.35536074386269</v>
      </c>
      <c r="AK140" s="123">
        <v>28.589934206053126</v>
      </c>
      <c r="AL140" s="127">
        <v>67.358211929685339</v>
      </c>
      <c r="AM140" s="128">
        <v>135.71657414012302</v>
      </c>
      <c r="AN140" s="123">
        <v>31.30055877091873</v>
      </c>
      <c r="AO140" s="127">
        <v>70.461830287456337</v>
      </c>
      <c r="AP140" s="128">
        <v>129.95990328645851</v>
      </c>
      <c r="AQ140" s="123">
        <v>25.108451819791195</v>
      </c>
      <c r="AR140" s="127">
        <v>50.353046845323682</v>
      </c>
      <c r="AS140" s="128">
        <v>93.740093857383627</v>
      </c>
      <c r="AT140" s="123">
        <v>24.637756539982551</v>
      </c>
      <c r="AU140" s="127">
        <v>48.238823904614222</v>
      </c>
      <c r="AV140" s="128">
        <v>91.613895795938646</v>
      </c>
      <c r="AW140" s="123">
        <v>23.184664552779854</v>
      </c>
      <c r="AX140" s="127">
        <v>45.81884004419463</v>
      </c>
      <c r="AY140" s="128">
        <v>87.488224023612872</v>
      </c>
      <c r="AZ140" s="123">
        <v>51.155413539878737</v>
      </c>
      <c r="BA140" s="127">
        <v>76.391182273072531</v>
      </c>
      <c r="BB140" s="128">
        <v>115.55805004555016</v>
      </c>
      <c r="BC140" s="123">
        <v>50.868112592914542</v>
      </c>
      <c r="BD140" s="127">
        <v>75.795086456335696</v>
      </c>
      <c r="BE140" s="128">
        <v>114.45478559455702</v>
      </c>
    </row>
    <row r="141" spans="1:57" x14ac:dyDescent="0.3">
      <c r="A141" s="41">
        <v>2031</v>
      </c>
      <c r="B141" s="123">
        <v>80.701123056126576</v>
      </c>
      <c r="C141" s="127">
        <v>181.39202120828477</v>
      </c>
      <c r="D141" s="128">
        <v>374.42730801300917</v>
      </c>
      <c r="E141" s="123">
        <v>69.761732037912466</v>
      </c>
      <c r="F141" s="127">
        <v>143.41500464797886</v>
      </c>
      <c r="G141" s="128">
        <v>285.7004976782394</v>
      </c>
      <c r="H141" s="123">
        <v>39.610894208439341</v>
      </c>
      <c r="I141" s="127">
        <v>89.673560218093883</v>
      </c>
      <c r="J141" s="128">
        <v>186.05311603655917</v>
      </c>
      <c r="K141" s="123">
        <v>28.553038517900429</v>
      </c>
      <c r="L141" s="127">
        <v>81.019411685794381</v>
      </c>
      <c r="M141" s="128">
        <v>175.17709924005467</v>
      </c>
      <c r="N141" s="123">
        <v>28.429202059529285</v>
      </c>
      <c r="O141" s="127">
        <v>62.319398830010194</v>
      </c>
      <c r="P141" s="128">
        <v>128.74795147742373</v>
      </c>
      <c r="Q141" s="123">
        <v>31.746523829426497</v>
      </c>
      <c r="R141" s="127">
        <v>66.206633873139154</v>
      </c>
      <c r="S141" s="128">
        <v>136.83222122779736</v>
      </c>
      <c r="T141" s="123">
        <v>29.781983956582547</v>
      </c>
      <c r="U141" s="127">
        <v>62.624415984411087</v>
      </c>
      <c r="V141" s="128">
        <v>130.04388616896915</v>
      </c>
      <c r="W141" s="123">
        <v>73.281750033180472</v>
      </c>
      <c r="X141" s="127">
        <v>111.11559887530227</v>
      </c>
      <c r="Y141" s="128">
        <v>168.72028815796799</v>
      </c>
      <c r="Z141" s="123">
        <v>71.509175848930425</v>
      </c>
      <c r="AA141" s="127">
        <v>108.97448546660901</v>
      </c>
      <c r="AB141" s="128">
        <v>166.10083493000593</v>
      </c>
      <c r="AD141" s="41">
        <v>2031</v>
      </c>
      <c r="AE141" s="123">
        <v>76.841213898891752</v>
      </c>
      <c r="AF141" s="127">
        <v>157.69632988487123</v>
      </c>
      <c r="AG141" s="128">
        <v>298.84504561128153</v>
      </c>
      <c r="AH141" s="123">
        <v>60.532289035928706</v>
      </c>
      <c r="AI141" s="127">
        <v>119.66855557539812</v>
      </c>
      <c r="AJ141" s="128">
        <v>233.35536074386269</v>
      </c>
      <c r="AK141" s="123">
        <v>27.825593398205104</v>
      </c>
      <c r="AL141" s="127">
        <v>66.834024299525353</v>
      </c>
      <c r="AM141" s="128">
        <v>135.71657414012302</v>
      </c>
      <c r="AN141" s="123">
        <v>30.491447910629294</v>
      </c>
      <c r="AO141" s="127">
        <v>69.882798047541016</v>
      </c>
      <c r="AP141" s="128">
        <v>129.95990328645851</v>
      </c>
      <c r="AQ141" s="123">
        <v>24.668340412475683</v>
      </c>
      <c r="AR141" s="127">
        <v>49.380685899862037</v>
      </c>
      <c r="AS141" s="128">
        <v>91.693597134770229</v>
      </c>
      <c r="AT141" s="123">
        <v>24.298927680006784</v>
      </c>
      <c r="AU141" s="127">
        <v>47.324011302700285</v>
      </c>
      <c r="AV141" s="128">
        <v>89.431240993007293</v>
      </c>
      <c r="AW141" s="123">
        <v>22.857194470535443</v>
      </c>
      <c r="AX141" s="127">
        <v>44.934919151190343</v>
      </c>
      <c r="AY141" s="128">
        <v>85.378955151911555</v>
      </c>
      <c r="AZ141" s="123">
        <v>47.640907510921473</v>
      </c>
      <c r="BA141" s="127">
        <v>73.387218564377363</v>
      </c>
      <c r="BB141" s="128">
        <v>113.78094581562607</v>
      </c>
      <c r="BC141" s="123">
        <v>47.645324855998759</v>
      </c>
      <c r="BD141" s="127">
        <v>73.322282239814342</v>
      </c>
      <c r="BE141" s="128">
        <v>113.59616252590222</v>
      </c>
    </row>
    <row r="142" spans="1:57" x14ac:dyDescent="0.3">
      <c r="A142" s="41">
        <v>2032</v>
      </c>
      <c r="B142" s="123">
        <v>80.353975738084301</v>
      </c>
      <c r="C142" s="127">
        <v>180.57183082586195</v>
      </c>
      <c r="D142" s="128">
        <v>374.42730801300917</v>
      </c>
      <c r="E142" s="123">
        <v>68.865455184593131</v>
      </c>
      <c r="F142" s="127">
        <v>142.44470188355268</v>
      </c>
      <c r="G142" s="128">
        <v>285.7004976782394</v>
      </c>
      <c r="H142" s="123">
        <v>37.484931016974514</v>
      </c>
      <c r="I142" s="127">
        <v>88.329077938898806</v>
      </c>
      <c r="J142" s="128">
        <v>186.05311603655917</v>
      </c>
      <c r="K142" s="123">
        <v>27.804372683625569</v>
      </c>
      <c r="L142" s="127">
        <v>80.238776152805485</v>
      </c>
      <c r="M142" s="128">
        <v>175.17709924005467</v>
      </c>
      <c r="N142" s="123">
        <v>27.999790235486447</v>
      </c>
      <c r="O142" s="127">
        <v>60.946985681775665</v>
      </c>
      <c r="P142" s="128">
        <v>125.08779044545187</v>
      </c>
      <c r="Q142" s="123">
        <v>31.301756991025069</v>
      </c>
      <c r="R142" s="127">
        <v>64.795982050781262</v>
      </c>
      <c r="S142" s="128">
        <v>132.94762463843347</v>
      </c>
      <c r="T142" s="123">
        <v>29.356032997704574</v>
      </c>
      <c r="U142" s="127">
        <v>61.274003592094822</v>
      </c>
      <c r="V142" s="128">
        <v>126.32447679372709</v>
      </c>
      <c r="W142" s="123">
        <v>67.132149377109101</v>
      </c>
      <c r="X142" s="127">
        <v>105.69371892107129</v>
      </c>
      <c r="Y142" s="128">
        <v>164.97855497301592</v>
      </c>
      <c r="Z142" s="123">
        <v>66.299511954697863</v>
      </c>
      <c r="AA142" s="127">
        <v>105.00644440523756</v>
      </c>
      <c r="AB142" s="128">
        <v>164.60047102086699</v>
      </c>
      <c r="AD142" s="41">
        <v>2032</v>
      </c>
      <c r="AE142" s="123">
        <v>76.447893339985285</v>
      </c>
      <c r="AF142" s="127">
        <v>156.78608884202339</v>
      </c>
      <c r="AG142" s="128">
        <v>298.84504561128153</v>
      </c>
      <c r="AH142" s="123">
        <v>60.228149506072384</v>
      </c>
      <c r="AI142" s="127">
        <v>119.27468205975461</v>
      </c>
      <c r="AJ142" s="128">
        <v>233.35536074386269</v>
      </c>
      <c r="AK142" s="123">
        <v>27.062965187649009</v>
      </c>
      <c r="AL142" s="127">
        <v>66.310816216334544</v>
      </c>
      <c r="AM142" s="128">
        <v>135.71657414012302</v>
      </c>
      <c r="AN142" s="123">
        <v>29.684625407371922</v>
      </c>
      <c r="AO142" s="127">
        <v>69.305046233003935</v>
      </c>
      <c r="AP142" s="128">
        <v>129.95990328645851</v>
      </c>
      <c r="AQ142" s="123">
        <v>24.232107717424206</v>
      </c>
      <c r="AR142" s="127">
        <v>48.416696311697983</v>
      </c>
      <c r="AS142" s="128">
        <v>89.663809251652282</v>
      </c>
      <c r="AT142" s="123">
        <v>23.961565611632633</v>
      </c>
      <c r="AU142" s="127">
        <v>46.418000556383923</v>
      </c>
      <c r="AV142" s="128">
        <v>87.274194808639962</v>
      </c>
      <c r="AW142" s="123">
        <v>22.531142007694694</v>
      </c>
      <c r="AX142" s="127">
        <v>44.05950470848817</v>
      </c>
      <c r="AY142" s="128">
        <v>83.294433877453656</v>
      </c>
      <c r="AZ142" s="123">
        <v>44.180047637684488</v>
      </c>
      <c r="BA142" s="127">
        <v>70.415761641049741</v>
      </c>
      <c r="BB142" s="128">
        <v>112.00384158570196</v>
      </c>
      <c r="BC142" s="123">
        <v>44.47173042572792</v>
      </c>
      <c r="BD142" s="127">
        <v>70.878541012227515</v>
      </c>
      <c r="BE142" s="128">
        <v>112.73753945724742</v>
      </c>
    </row>
    <row r="143" spans="1:57" x14ac:dyDescent="0.3">
      <c r="A143" s="41">
        <v>2033</v>
      </c>
      <c r="B143" s="123">
        <v>80.006828420042027</v>
      </c>
      <c r="C143" s="127">
        <v>179.75164044343907</v>
      </c>
      <c r="D143" s="128">
        <v>374.42730801300917</v>
      </c>
      <c r="E143" s="123">
        <v>67.969178331273781</v>
      </c>
      <c r="F143" s="127">
        <v>141.47439911912647</v>
      </c>
      <c r="G143" s="128">
        <v>285.7004976782394</v>
      </c>
      <c r="H143" s="123">
        <v>35.363592537256125</v>
      </c>
      <c r="I143" s="127">
        <v>86.987107874550063</v>
      </c>
      <c r="J143" s="128">
        <v>186.05311603655917</v>
      </c>
      <c r="K143" s="123">
        <v>27.057821263509791</v>
      </c>
      <c r="L143" s="127">
        <v>79.459638873218154</v>
      </c>
      <c r="M143" s="128">
        <v>175.17709924005467</v>
      </c>
      <c r="N143" s="123">
        <v>27.570378411443603</v>
      </c>
      <c r="O143" s="127">
        <v>59.576784148757817</v>
      </c>
      <c r="P143" s="128">
        <v>121.43384273697372</v>
      </c>
      <c r="Q143" s="123">
        <v>30.856990152623641</v>
      </c>
      <c r="R143" s="127">
        <v>63.387587164037107</v>
      </c>
      <c r="S143" s="128">
        <v>129.06962236419432</v>
      </c>
      <c r="T143" s="123">
        <v>28.930082038826605</v>
      </c>
      <c r="U143" s="127">
        <v>59.925751407953641</v>
      </c>
      <c r="V143" s="128">
        <v>122.61138131928122</v>
      </c>
      <c r="W143" s="123">
        <v>61.014605832699665</v>
      </c>
      <c r="X143" s="127">
        <v>100.28897718397295</v>
      </c>
      <c r="Y143" s="128">
        <v>161.23682178806379</v>
      </c>
      <c r="Z143" s="123">
        <v>61.117005397424023</v>
      </c>
      <c r="AA143" s="127">
        <v>101.05254137286572</v>
      </c>
      <c r="AB143" s="128">
        <v>163.10010711172805</v>
      </c>
      <c r="AD143" s="41">
        <v>2033</v>
      </c>
      <c r="AE143" s="123">
        <v>76.054572781078846</v>
      </c>
      <c r="AF143" s="127">
        <v>155.87584779917549</v>
      </c>
      <c r="AG143" s="128">
        <v>298.84504561128153</v>
      </c>
      <c r="AH143" s="123">
        <v>59.924009976216055</v>
      </c>
      <c r="AI143" s="127">
        <v>118.88080854411113</v>
      </c>
      <c r="AJ143" s="128">
        <v>233.35536074386269</v>
      </c>
      <c r="AK143" s="123">
        <v>26.302043824906448</v>
      </c>
      <c r="AL143" s="127">
        <v>65.788584753800137</v>
      </c>
      <c r="AM143" s="128">
        <v>135.71657414012302</v>
      </c>
      <c r="AN143" s="123">
        <v>28.880081566832498</v>
      </c>
      <c r="AO143" s="127">
        <v>68.728570103255123</v>
      </c>
      <c r="AP143" s="128">
        <v>129.95990328645851</v>
      </c>
      <c r="AQ143" s="123">
        <v>23.79970268481377</v>
      </c>
      <c r="AR143" s="127">
        <v>47.460969936598431</v>
      </c>
      <c r="AS143" s="128">
        <v>87.650526408363987</v>
      </c>
      <c r="AT143" s="123">
        <v>23.625660830810858</v>
      </c>
      <c r="AU143" s="127">
        <v>45.520653918749346</v>
      </c>
      <c r="AV143" s="128">
        <v>85.142309180738053</v>
      </c>
      <c r="AW143" s="123">
        <v>22.206497978818692</v>
      </c>
      <c r="AX143" s="127">
        <v>43.192463571006734</v>
      </c>
      <c r="AY143" s="128">
        <v>81.234227203030542</v>
      </c>
      <c r="AZ143" s="123">
        <v>40.771614924444663</v>
      </c>
      <c r="BA143" s="127">
        <v>67.476160461611428</v>
      </c>
      <c r="BB143" s="128">
        <v>110.22673735577784</v>
      </c>
      <c r="BC143" s="123">
        <v>41.346211487980931</v>
      </c>
      <c r="BD143" s="127">
        <v>68.463276444698053</v>
      </c>
      <c r="BE143" s="128">
        <v>111.87891638859263</v>
      </c>
    </row>
    <row r="144" spans="1:57" x14ac:dyDescent="0.3">
      <c r="A144" s="41">
        <v>2034</v>
      </c>
      <c r="B144" s="123">
        <v>79.659681101999752</v>
      </c>
      <c r="C144" s="127">
        <v>178.93145006101616</v>
      </c>
      <c r="D144" s="128">
        <v>374.42730801300917</v>
      </c>
      <c r="E144" s="123">
        <v>67.072901477954446</v>
      </c>
      <c r="F144" s="127">
        <v>140.50409635470032</v>
      </c>
      <c r="G144" s="128">
        <v>285.7004976782394</v>
      </c>
      <c r="H144" s="123">
        <v>33.246863695137336</v>
      </c>
      <c r="I144" s="127">
        <v>85.647642580787789</v>
      </c>
      <c r="J144" s="128">
        <v>186.05311603655917</v>
      </c>
      <c r="K144" s="123">
        <v>26.313375312755518</v>
      </c>
      <c r="L144" s="127">
        <v>78.68199486021912</v>
      </c>
      <c r="M144" s="128">
        <v>175.17709924005467</v>
      </c>
      <c r="N144" s="123">
        <v>27.140966587400765</v>
      </c>
      <c r="O144" s="127">
        <v>58.208787890521656</v>
      </c>
      <c r="P144" s="128">
        <v>117.78609254422189</v>
      </c>
      <c r="Q144" s="123">
        <v>30.412223314222206</v>
      </c>
      <c r="R144" s="127">
        <v>61.981442809468518</v>
      </c>
      <c r="S144" s="128">
        <v>125.19819762800428</v>
      </c>
      <c r="T144" s="123">
        <v>28.504131079948639</v>
      </c>
      <c r="U144" s="127">
        <v>58.579653303753794</v>
      </c>
      <c r="V144" s="128">
        <v>118.90458368197817</v>
      </c>
      <c r="W144" s="123">
        <v>54.928869386926834</v>
      </c>
      <c r="X144" s="127">
        <v>94.901258623048534</v>
      </c>
      <c r="Y144" s="128">
        <v>157.49508860311175</v>
      </c>
      <c r="Z144" s="123">
        <v>55.96144437736713</v>
      </c>
      <c r="AA144" s="127">
        <v>97.112680107722753</v>
      </c>
      <c r="AB144" s="128">
        <v>161.59974320258911</v>
      </c>
      <c r="AD144" s="41">
        <v>2034</v>
      </c>
      <c r="AE144" s="123">
        <v>75.661252222172365</v>
      </c>
      <c r="AF144" s="127">
        <v>154.96560675632762</v>
      </c>
      <c r="AG144" s="128">
        <v>298.84504561128153</v>
      </c>
      <c r="AH144" s="123">
        <v>59.61987044635972</v>
      </c>
      <c r="AI144" s="127">
        <v>118.48693502846761</v>
      </c>
      <c r="AJ144" s="128">
        <v>233.35536074386269</v>
      </c>
      <c r="AK144" s="123">
        <v>25.542823586206239</v>
      </c>
      <c r="AL144" s="127">
        <v>65.267326997796914</v>
      </c>
      <c r="AM144" s="128">
        <v>135.71657414012302</v>
      </c>
      <c r="AN144" s="123">
        <v>28.077806749377874</v>
      </c>
      <c r="AO144" s="127">
        <v>68.153364942700037</v>
      </c>
      <c r="AP144" s="128">
        <v>129.95990328645851</v>
      </c>
      <c r="AQ144" s="123">
        <v>23.371075156767187</v>
      </c>
      <c r="AR144" s="127">
        <v>46.513400493864346</v>
      </c>
      <c r="AS144" s="128">
        <v>85.653548106176828</v>
      </c>
      <c r="AT144" s="123">
        <v>23.291203915423665</v>
      </c>
      <c r="AU144" s="127">
        <v>44.631836644354301</v>
      </c>
      <c r="AV144" s="128">
        <v>83.035146439306899</v>
      </c>
      <c r="AW144" s="123">
        <v>21.883253277653363</v>
      </c>
      <c r="AX144" s="127">
        <v>42.333665495174372</v>
      </c>
      <c r="AY144" s="128">
        <v>79.197912174130678</v>
      </c>
      <c r="AZ144" s="123">
        <v>37.414427029988573</v>
      </c>
      <c r="BA144" s="127">
        <v>64.567781909328644</v>
      </c>
      <c r="BB144" s="128">
        <v>108.44963312585374</v>
      </c>
      <c r="BC144" s="123">
        <v>38.26768384067303</v>
      </c>
      <c r="BD144" s="127">
        <v>66.075918442507842</v>
      </c>
      <c r="BE144" s="128">
        <v>111.02029331993782</v>
      </c>
    </row>
    <row r="145" spans="1:57" x14ac:dyDescent="0.3">
      <c r="A145" s="41">
        <v>2035</v>
      </c>
      <c r="B145" s="123">
        <v>79.312533783957491</v>
      </c>
      <c r="C145" s="127">
        <v>178.11125967859334</v>
      </c>
      <c r="D145" s="128">
        <v>374.42730801300917</v>
      </c>
      <c r="E145" s="123">
        <v>66.176624624635096</v>
      </c>
      <c r="F145" s="127">
        <v>139.53379359027414</v>
      </c>
      <c r="G145" s="128">
        <v>285.7004976782394</v>
      </c>
      <c r="H145" s="123">
        <v>31.134729481912014</v>
      </c>
      <c r="I145" s="127">
        <v>84.310674643880276</v>
      </c>
      <c r="J145" s="128">
        <v>186.05311603655917</v>
      </c>
      <c r="K145" s="123">
        <v>25.571025936947418</v>
      </c>
      <c r="L145" s="127">
        <v>77.905839151639043</v>
      </c>
      <c r="M145" s="128">
        <v>175.17709924005467</v>
      </c>
      <c r="N145" s="123">
        <v>26.711554763357924</v>
      </c>
      <c r="O145" s="127">
        <v>56.842990591781593</v>
      </c>
      <c r="P145" s="128">
        <v>114.14452411300739</v>
      </c>
      <c r="Q145" s="123">
        <v>29.967456475820772</v>
      </c>
      <c r="R145" s="127">
        <v>60.577542608732145</v>
      </c>
      <c r="S145" s="128">
        <v>121.33333370965093</v>
      </c>
      <c r="T145" s="123">
        <v>28.078180121070663</v>
      </c>
      <c r="U145" s="127">
        <v>57.235703175274288</v>
      </c>
      <c r="V145" s="128">
        <v>115.20406787261015</v>
      </c>
      <c r="W145" s="123">
        <v>48.874692619822362</v>
      </c>
      <c r="X145" s="127">
        <v>89.53044931281373</v>
      </c>
      <c r="Y145" s="128">
        <v>153.7533554181596</v>
      </c>
      <c r="Z145" s="123">
        <v>50.832619291506163</v>
      </c>
      <c r="AA145" s="127">
        <v>93.186765288015224</v>
      </c>
      <c r="AB145" s="128">
        <v>160.09937929345014</v>
      </c>
      <c r="AD145" s="41">
        <v>2035</v>
      </c>
      <c r="AE145" s="123">
        <v>75.267931663265912</v>
      </c>
      <c r="AF145" s="127">
        <v>154.05536571347977</v>
      </c>
      <c r="AG145" s="128">
        <v>298.84504561128153</v>
      </c>
      <c r="AH145" s="123">
        <v>59.315730916503391</v>
      </c>
      <c r="AI145" s="127">
        <v>118.09306151282414</v>
      </c>
      <c r="AJ145" s="128">
        <v>233.35536074386269</v>
      </c>
      <c r="AK145" s="123">
        <v>24.785298773340859</v>
      </c>
      <c r="AL145" s="127">
        <v>64.747040046322013</v>
      </c>
      <c r="AM145" s="128">
        <v>135.71657414012302</v>
      </c>
      <c r="AN145" s="123">
        <v>27.277791369670904</v>
      </c>
      <c r="AO145" s="127">
        <v>67.579426060569119</v>
      </c>
      <c r="AP145" s="128">
        <v>129.95990328645851</v>
      </c>
      <c r="AQ145" s="123">
        <v>22.946175847957711</v>
      </c>
      <c r="AR145" s="127">
        <v>45.573883526170675</v>
      </c>
      <c r="AS145" s="128">
        <v>83.672677080737316</v>
      </c>
      <c r="AT145" s="123">
        <v>22.958185524403721</v>
      </c>
      <c r="AU145" s="127">
        <v>43.751416905734338</v>
      </c>
      <c r="AV145" s="128">
        <v>80.952279006906537</v>
      </c>
      <c r="AW145" s="123">
        <v>21.561398876277995</v>
      </c>
      <c r="AX145" s="127">
        <v>41.482983058208859</v>
      </c>
      <c r="AY145" s="128">
        <v>77.185075589462272</v>
      </c>
      <c r="AZ145" s="123">
        <v>34.107336900166651</v>
      </c>
      <c r="BA145" s="127">
        <v>61.690010162249159</v>
      </c>
      <c r="BB145" s="128">
        <v>106.67252889592972</v>
      </c>
      <c r="BC145" s="123">
        <v>35.235095639813487</v>
      </c>
      <c r="BD145" s="127">
        <v>63.715912572216439</v>
      </c>
      <c r="BE145" s="128">
        <v>110.16167025128303</v>
      </c>
    </row>
    <row r="146" spans="1:57" x14ac:dyDescent="0.3">
      <c r="A146" s="41">
        <v>2036</v>
      </c>
      <c r="B146" s="123">
        <v>78.965386465915216</v>
      </c>
      <c r="C146" s="127">
        <v>177.29106929617046</v>
      </c>
      <c r="D146" s="128">
        <v>374.42730801300917</v>
      </c>
      <c r="E146" s="123">
        <v>65.280347771315746</v>
      </c>
      <c r="F146" s="127">
        <v>138.56349082584794</v>
      </c>
      <c r="G146" s="128">
        <v>285.7004976782394</v>
      </c>
      <c r="H146" s="123">
        <v>29.027174953959992</v>
      </c>
      <c r="I146" s="127">
        <v>82.97619668046373</v>
      </c>
      <c r="J146" s="128">
        <v>186.05311603655917</v>
      </c>
      <c r="K146" s="123">
        <v>24.830764291698227</v>
      </c>
      <c r="L146" s="127">
        <v>77.131166809790415</v>
      </c>
      <c r="M146" s="128">
        <v>175.17709924005467</v>
      </c>
      <c r="N146" s="123">
        <v>26.28214293931509</v>
      </c>
      <c r="O146" s="127">
        <v>55.479385962271564</v>
      </c>
      <c r="P146" s="128">
        <v>110.50912174249233</v>
      </c>
      <c r="Q146" s="123">
        <v>29.52268963741934</v>
      </c>
      <c r="R146" s="127">
        <v>59.175880208451488</v>
      </c>
      <c r="S146" s="128">
        <v>117.47501394554486</v>
      </c>
      <c r="T146" s="123">
        <v>27.652229162192697</v>
      </c>
      <c r="U146" s="127">
        <v>55.893894942184467</v>
      </c>
      <c r="V146" s="128">
        <v>111.50981793618422</v>
      </c>
      <c r="W146" s="123">
        <v>48.185170741625328</v>
      </c>
      <c r="X146" s="127">
        <v>87.833628398968003</v>
      </c>
      <c r="Y146" s="128">
        <v>150.64391327264201</v>
      </c>
      <c r="Z146" s="123">
        <v>50.113760852712794</v>
      </c>
      <c r="AA146" s="127">
        <v>91.4178977362062</v>
      </c>
      <c r="AB146" s="128">
        <v>156.85786376615718</v>
      </c>
      <c r="AD146" s="41">
        <v>2036</v>
      </c>
      <c r="AE146" s="123">
        <v>74.874611104359474</v>
      </c>
      <c r="AF146" s="127">
        <v>153.14512467063187</v>
      </c>
      <c r="AG146" s="128">
        <v>298.84504561128153</v>
      </c>
      <c r="AH146" s="123">
        <v>59.011591386647062</v>
      </c>
      <c r="AI146" s="127">
        <v>117.69918799718063</v>
      </c>
      <c r="AJ146" s="128">
        <v>233.35536074386269</v>
      </c>
      <c r="AK146" s="123">
        <v>24.029463713523885</v>
      </c>
      <c r="AL146" s="127">
        <v>64.227721009430013</v>
      </c>
      <c r="AM146" s="128">
        <v>135.71657414012302</v>
      </c>
      <c r="AN146" s="123">
        <v>26.480025896288694</v>
      </c>
      <c r="AO146" s="127">
        <v>67.006748790748873</v>
      </c>
      <c r="AP146" s="128">
        <v>129.95990328645851</v>
      </c>
      <c r="AQ146" s="123">
        <v>22.524956326717469</v>
      </c>
      <c r="AR146" s="127">
        <v>44.642316360445491</v>
      </c>
      <c r="AS146" s="128">
        <v>81.707719237109359</v>
      </c>
      <c r="AT146" s="123">
        <v>22.626596396864542</v>
      </c>
      <c r="AU146" s="127">
        <v>42.87926571271997</v>
      </c>
      <c r="AV146" s="128">
        <v>78.893289109404904</v>
      </c>
      <c r="AW146" s="123">
        <v>21.24092582426475</v>
      </c>
      <c r="AX146" s="127">
        <v>40.640291580116283</v>
      </c>
      <c r="AY146" s="128">
        <v>75.195313721431191</v>
      </c>
      <c r="AZ146" s="123">
        <v>33.681273195496459</v>
      </c>
      <c r="BA146" s="127">
        <v>60.50724120132017</v>
      </c>
      <c r="BB146" s="128">
        <v>104.28188715166279</v>
      </c>
      <c r="BC146" s="123">
        <v>34.795238917265713</v>
      </c>
      <c r="BD146" s="127">
        <v>62.49487032105165</v>
      </c>
      <c r="BE146" s="128">
        <v>107.6936705092948</v>
      </c>
    </row>
    <row r="147" spans="1:57" x14ac:dyDescent="0.3">
      <c r="A147" s="41">
        <v>2037</v>
      </c>
      <c r="B147" s="123">
        <v>78.618239147872941</v>
      </c>
      <c r="C147" s="127">
        <v>176.47087891374764</v>
      </c>
      <c r="D147" s="128">
        <v>374.42730801300917</v>
      </c>
      <c r="E147" s="123">
        <v>64.384070917996382</v>
      </c>
      <c r="F147" s="127">
        <v>137.59318806142176</v>
      </c>
      <c r="G147" s="128">
        <v>285.7004976782394</v>
      </c>
      <c r="H147" s="123">
        <v>26.92418523239466</v>
      </c>
      <c r="I147" s="127">
        <v>81.644201337383336</v>
      </c>
      <c r="J147" s="128">
        <v>186.05311603655917</v>
      </c>
      <c r="K147" s="123">
        <v>24.092581582297445</v>
      </c>
      <c r="L147" s="127">
        <v>76.357972921306413</v>
      </c>
      <c r="M147" s="128">
        <v>175.17709924005467</v>
      </c>
      <c r="N147" s="123">
        <v>25.852731115272249</v>
      </c>
      <c r="O147" s="127">
        <v>54.117967736615881</v>
      </c>
      <c r="P147" s="128">
        <v>106.87986978496458</v>
      </c>
      <c r="Q147" s="123">
        <v>29.077922799017916</v>
      </c>
      <c r="R147" s="127">
        <v>57.776449280089672</v>
      </c>
      <c r="S147" s="128">
        <v>113.62322172847975</v>
      </c>
      <c r="T147" s="123">
        <v>27.226278203314727</v>
      </c>
      <c r="U147" s="127">
        <v>54.554222547922365</v>
      </c>
      <c r="V147" s="128">
        <v>107.82181797169308</v>
      </c>
      <c r="W147" s="123">
        <v>47.495648863428272</v>
      </c>
      <c r="X147" s="127">
        <v>86.140695757528547</v>
      </c>
      <c r="Y147" s="128">
        <v>147.54151104966002</v>
      </c>
      <c r="Z147" s="123">
        <v>49.394902413919411</v>
      </c>
      <c r="AA147" s="127">
        <v>89.653083453503285</v>
      </c>
      <c r="AB147" s="128">
        <v>153.62368718171706</v>
      </c>
      <c r="AD147" s="41">
        <v>2037</v>
      </c>
      <c r="AE147" s="123">
        <v>74.481290545453007</v>
      </c>
      <c r="AF147" s="127">
        <v>152.234883627784</v>
      </c>
      <c r="AG147" s="128">
        <v>298.84504561128153</v>
      </c>
      <c r="AH147" s="123">
        <v>58.707451856790733</v>
      </c>
      <c r="AI147" s="127">
        <v>117.30531448153714</v>
      </c>
      <c r="AJ147" s="128">
        <v>233.35536074386269</v>
      </c>
      <c r="AK147" s="123">
        <v>23.275312759248447</v>
      </c>
      <c r="AL147" s="127">
        <v>63.709367009168538</v>
      </c>
      <c r="AM147" s="128">
        <v>135.71657414012302</v>
      </c>
      <c r="AN147" s="123">
        <v>25.684500851344023</v>
      </c>
      <c r="AO147" s="127">
        <v>66.435328491614044</v>
      </c>
      <c r="AP147" s="128">
        <v>129.95990328645851</v>
      </c>
      <c r="AQ147" s="123">
        <v>22.107368996634619</v>
      </c>
      <c r="AR147" s="127">
        <v>43.718598069756794</v>
      </c>
      <c r="AS147" s="128">
        <v>79.758483586375675</v>
      </c>
      <c r="AT147" s="123">
        <v>22.296427351242034</v>
      </c>
      <c r="AU147" s="127">
        <v>42.015256834455556</v>
      </c>
      <c r="AV147" s="128">
        <v>76.857768496621432</v>
      </c>
      <c r="AW147" s="123">
        <v>20.921825247848993</v>
      </c>
      <c r="AX147" s="127">
        <v>39.805469048302307</v>
      </c>
      <c r="AY147" s="128">
        <v>73.228232046177567</v>
      </c>
      <c r="AZ147" s="123">
        <v>33.256849646096157</v>
      </c>
      <c r="BA147" s="127">
        <v>59.334440757182712</v>
      </c>
      <c r="BB147" s="128">
        <v>101.91704235882176</v>
      </c>
      <c r="BC147" s="123">
        <v>34.357075446955989</v>
      </c>
      <c r="BD147" s="127">
        <v>61.284119150729836</v>
      </c>
      <c r="BE147" s="128">
        <v>105.25230247388318</v>
      </c>
    </row>
    <row r="148" spans="1:57" x14ac:dyDescent="0.3">
      <c r="A148" s="41">
        <v>2038</v>
      </c>
      <c r="B148" s="123">
        <v>78.271091829830667</v>
      </c>
      <c r="C148" s="127">
        <v>175.65068853132476</v>
      </c>
      <c r="D148" s="128">
        <v>374.42730801300917</v>
      </c>
      <c r="E148" s="123">
        <v>63.487794064677047</v>
      </c>
      <c r="F148" s="127">
        <v>136.62288529699555</v>
      </c>
      <c r="G148" s="128">
        <v>285.7004976782394</v>
      </c>
      <c r="H148" s="123">
        <v>24.825745502712774</v>
      </c>
      <c r="I148" s="127">
        <v>80.314681291535067</v>
      </c>
      <c r="J148" s="128">
        <v>186.05311603655917</v>
      </c>
      <c r="K148" s="123">
        <v>23.3564690633631</v>
      </c>
      <c r="L148" s="127">
        <v>75.586252596981296</v>
      </c>
      <c r="M148" s="128">
        <v>175.17709924005467</v>
      </c>
      <c r="N148" s="123">
        <v>25.423319291229408</v>
      </c>
      <c r="O148" s="127">
        <v>52.758729674201184</v>
      </c>
      <c r="P148" s="128">
        <v>103.25675264561325</v>
      </c>
      <c r="Q148" s="123">
        <v>28.633155960616484</v>
      </c>
      <c r="R148" s="127">
        <v>56.379243519823291</v>
      </c>
      <c r="S148" s="128">
        <v>109.7779405073944</v>
      </c>
      <c r="T148" s="123">
        <v>26.800327244436755</v>
      </c>
      <c r="U148" s="127">
        <v>53.216679959573867</v>
      </c>
      <c r="V148" s="128">
        <v>104.14005213188697</v>
      </c>
      <c r="W148" s="123">
        <v>46.806126985231238</v>
      </c>
      <c r="X148" s="127">
        <v>84.451634675034342</v>
      </c>
      <c r="Y148" s="128">
        <v>144.44612486817633</v>
      </c>
      <c r="Z148" s="123">
        <v>48.676043975126035</v>
      </c>
      <c r="AA148" s="127">
        <v>87.892305017351049</v>
      </c>
      <c r="AB148" s="128">
        <v>150.39682464474669</v>
      </c>
      <c r="AD148" s="41">
        <v>2038</v>
      </c>
      <c r="AE148" s="123">
        <v>74.087969986546554</v>
      </c>
      <c r="AF148" s="127">
        <v>151.32464258493613</v>
      </c>
      <c r="AG148" s="128">
        <v>298.84504561128153</v>
      </c>
      <c r="AH148" s="123">
        <v>58.40331232693439</v>
      </c>
      <c r="AI148" s="127">
        <v>116.91144096589363</v>
      </c>
      <c r="AJ148" s="128">
        <v>233.35536074386269</v>
      </c>
      <c r="AK148" s="123">
        <v>22.522840288146501</v>
      </c>
      <c r="AL148" s="127">
        <v>63.191975179514287</v>
      </c>
      <c r="AM148" s="128">
        <v>135.71657414012302</v>
      </c>
      <c r="AN148" s="123">
        <v>24.891206810110074</v>
      </c>
      <c r="AO148" s="127">
        <v>65.865160545861727</v>
      </c>
      <c r="AP148" s="128">
        <v>129.95990328645851</v>
      </c>
      <c r="AQ148" s="123">
        <v>21.693367078624579</v>
      </c>
      <c r="AR148" s="127">
        <v>42.802629436176687</v>
      </c>
      <c r="AS148" s="128">
        <v>77.824782183755119</v>
      </c>
      <c r="AT148" s="123">
        <v>21.967669284446973</v>
      </c>
      <c r="AU148" s="127">
        <v>41.159266724014145</v>
      </c>
      <c r="AV148" s="128">
        <v>74.84531817246959</v>
      </c>
      <c r="AW148" s="123">
        <v>20.604088349110231</v>
      </c>
      <c r="AX148" s="127">
        <v>38.978396044693149</v>
      </c>
      <c r="AY148" s="128">
        <v>71.283444982791352</v>
      </c>
      <c r="AZ148" s="123">
        <v>32.834056799360297</v>
      </c>
      <c r="BA148" s="127">
        <v>58.171470755259755</v>
      </c>
      <c r="BB148" s="128">
        <v>99.577579203343504</v>
      </c>
      <c r="BC148" s="123">
        <v>33.920595470268395</v>
      </c>
      <c r="BD148" s="127">
        <v>60.083516518842245</v>
      </c>
      <c r="BE148" s="128">
        <v>102.83713739197259</v>
      </c>
    </row>
    <row r="149" spans="1:57" x14ac:dyDescent="0.3">
      <c r="A149" s="41">
        <v>2039</v>
      </c>
      <c r="B149" s="123">
        <v>77.923944511788392</v>
      </c>
      <c r="C149" s="127">
        <v>174.83049814890194</v>
      </c>
      <c r="D149" s="128">
        <v>374.42730801300917</v>
      </c>
      <c r="E149" s="123">
        <v>62.591517211357704</v>
      </c>
      <c r="F149" s="127">
        <v>135.6525825325694</v>
      </c>
      <c r="G149" s="128">
        <v>285.7004976782394</v>
      </c>
      <c r="H149" s="123">
        <v>22.731841014446648</v>
      </c>
      <c r="I149" s="127">
        <v>78.987629249708647</v>
      </c>
      <c r="J149" s="128">
        <v>186.05311603655917</v>
      </c>
      <c r="K149" s="123">
        <v>22.622418038496377</v>
      </c>
      <c r="L149" s="127">
        <v>74.816000971612127</v>
      </c>
      <c r="M149" s="128">
        <v>175.17709924005467</v>
      </c>
      <c r="N149" s="123">
        <v>24.993907467186563</v>
      </c>
      <c r="O149" s="127">
        <v>51.401665559048901</v>
      </c>
      <c r="P149" s="128">
        <v>99.639754782305261</v>
      </c>
      <c r="Q149" s="123">
        <v>28.18838912221505</v>
      </c>
      <c r="R149" s="127">
        <v>54.984256648416803</v>
      </c>
      <c r="S149" s="128">
        <v>105.93915378713552</v>
      </c>
      <c r="T149" s="123">
        <v>26.374376285558785</v>
      </c>
      <c r="U149" s="127">
        <v>51.881261167752704</v>
      </c>
      <c r="V149" s="128">
        <v>100.46450462304676</v>
      </c>
      <c r="W149" s="123">
        <v>46.116605107034204</v>
      </c>
      <c r="X149" s="127">
        <v>82.766428537604881</v>
      </c>
      <c r="Y149" s="128">
        <v>141.35773095504504</v>
      </c>
      <c r="Z149" s="123">
        <v>47.957185536332652</v>
      </c>
      <c r="AA149" s="127">
        <v>86.135545108998997</v>
      </c>
      <c r="AB149" s="128">
        <v>147.17725137233725</v>
      </c>
      <c r="AD149" s="41">
        <v>2039</v>
      </c>
      <c r="AE149" s="123">
        <v>73.694649427640101</v>
      </c>
      <c r="AF149" s="127">
        <v>150.41440154208823</v>
      </c>
      <c r="AG149" s="128">
        <v>298.84504561128153</v>
      </c>
      <c r="AH149" s="123">
        <v>58.099172797078062</v>
      </c>
      <c r="AI149" s="127">
        <v>116.51756745025014</v>
      </c>
      <c r="AJ149" s="128">
        <v>233.35536074386269</v>
      </c>
      <c r="AK149" s="123">
        <v>21.772040702849139</v>
      </c>
      <c r="AL149" s="127">
        <v>62.675542666309397</v>
      </c>
      <c r="AM149" s="128">
        <v>135.71657414012302</v>
      </c>
      <c r="AN149" s="123">
        <v>24.100134400648187</v>
      </c>
      <c r="AO149" s="127">
        <v>65.296240360346104</v>
      </c>
      <c r="AP149" s="128">
        <v>129.95990328645851</v>
      </c>
      <c r="AQ149" s="123">
        <v>21.282904593461005</v>
      </c>
      <c r="AR149" s="127">
        <v>41.894312914593755</v>
      </c>
      <c r="AS149" s="128">
        <v>75.906430068193231</v>
      </c>
      <c r="AT149" s="123">
        <v>21.640313171028424</v>
      </c>
      <c r="AU149" s="127">
        <v>40.311174445507454</v>
      </c>
      <c r="AV149" s="128">
        <v>72.855548134222957</v>
      </c>
      <c r="AW149" s="123">
        <v>20.287706405163529</v>
      </c>
      <c r="AX149" s="127">
        <v>38.158955675268693</v>
      </c>
      <c r="AY149" s="128">
        <v>69.360575641344909</v>
      </c>
      <c r="AZ149" s="123">
        <v>32.41288527518099</v>
      </c>
      <c r="BA149" s="127">
        <v>57.018195815070769</v>
      </c>
      <c r="BB149" s="128">
        <v>97.263091238625094</v>
      </c>
      <c r="BC149" s="123">
        <v>33.485789303431538</v>
      </c>
      <c r="BD149" s="127">
        <v>58.892922664252659</v>
      </c>
      <c r="BE149" s="128">
        <v>100.44775566488674</v>
      </c>
    </row>
    <row r="150" spans="1:57" x14ac:dyDescent="0.3">
      <c r="A150" s="41">
        <v>2040</v>
      </c>
      <c r="B150" s="123">
        <v>77.576797193746117</v>
      </c>
      <c r="C150" s="127">
        <v>174.01030776647909</v>
      </c>
      <c r="D150" s="128">
        <v>374.42730801300917</v>
      </c>
      <c r="E150" s="123">
        <v>61.695240358038376</v>
      </c>
      <c r="F150" s="127">
        <v>134.68227976814316</v>
      </c>
      <c r="G150" s="128">
        <v>285.7004976782394</v>
      </c>
      <c r="H150" s="123">
        <v>20.642457080818492</v>
      </c>
      <c r="I150" s="127">
        <v>77.663037948431537</v>
      </c>
      <c r="J150" s="128">
        <v>186.05311603655917</v>
      </c>
      <c r="K150" s="123">
        <v>21.890419859939126</v>
      </c>
      <c r="L150" s="127">
        <v>74.047213203841494</v>
      </c>
      <c r="M150" s="128">
        <v>175.17709924005467</v>
      </c>
      <c r="N150" s="123">
        <v>24.564495643143729</v>
      </c>
      <c r="O150" s="127">
        <v>50.046769199688789</v>
      </c>
      <c r="P150" s="128">
        <v>96.028860705363002</v>
      </c>
      <c r="Q150" s="123">
        <v>27.743622283813625</v>
      </c>
      <c r="R150" s="127">
        <v>53.591482411097829</v>
      </c>
      <c r="S150" s="128">
        <v>102.10684512822192</v>
      </c>
      <c r="T150" s="123">
        <v>25.948425326680816</v>
      </c>
      <c r="U150" s="127">
        <v>50.547960186480985</v>
      </c>
      <c r="V150" s="128">
        <v>96.795159704757907</v>
      </c>
      <c r="W150" s="123">
        <v>45.427083228837162</v>
      </c>
      <c r="X150" s="127">
        <v>81.085060830173234</v>
      </c>
      <c r="Y150" s="128">
        <v>138.27630564440298</v>
      </c>
      <c r="Z150" s="123">
        <v>47.238327097539262</v>
      </c>
      <c r="AA150" s="127">
        <v>84.382786512701614</v>
      </c>
      <c r="AB150" s="128">
        <v>143.96494269341915</v>
      </c>
      <c r="AD150" s="41">
        <v>2040</v>
      </c>
      <c r="AE150" s="123">
        <v>73.30132886873362</v>
      </c>
      <c r="AF150" s="127">
        <v>149.50416049924033</v>
      </c>
      <c r="AG150" s="128">
        <v>298.84504561128153</v>
      </c>
      <c r="AH150" s="123">
        <v>57.795033267221726</v>
      </c>
      <c r="AI150" s="127">
        <v>116.12369393460664</v>
      </c>
      <c r="AJ150" s="128">
        <v>233.35536074386269</v>
      </c>
      <c r="AK150" s="123">
        <v>21.022908430847806</v>
      </c>
      <c r="AL150" s="127">
        <v>62.160066627198354</v>
      </c>
      <c r="AM150" s="128">
        <v>135.71657414012302</v>
      </c>
      <c r="AN150" s="123">
        <v>23.311274303438822</v>
      </c>
      <c r="AO150" s="127">
        <v>64.728563365915406</v>
      </c>
      <c r="AP150" s="128">
        <v>129.95990328645851</v>
      </c>
      <c r="AQ150" s="123">
        <v>20.875936344753022</v>
      </c>
      <c r="AR150" s="127">
        <v>40.993552597445266</v>
      </c>
      <c r="AS150" s="128">
        <v>74.003245203386186</v>
      </c>
      <c r="AT150" s="123">
        <v>21.314350062347838</v>
      </c>
      <c r="AU150" s="127">
        <v>39.470861603594017</v>
      </c>
      <c r="AV150" s="128">
        <v>70.888077120547607</v>
      </c>
      <c r="AW150" s="123">
        <v>19.972670767361279</v>
      </c>
      <c r="AX150" s="127">
        <v>37.347033501914133</v>
      </c>
      <c r="AY150" s="128">
        <v>67.459255579397151</v>
      </c>
      <c r="AZ150" s="123">
        <v>31.993325765254195</v>
      </c>
      <c r="BA150" s="127">
        <v>55.874483182470115</v>
      </c>
      <c r="BB150" s="128">
        <v>94.973180650116205</v>
      </c>
      <c r="BC150" s="123">
        <v>33.052647336802387</v>
      </c>
      <c r="BD150" s="127">
        <v>57.712200537143175</v>
      </c>
      <c r="BE150" s="128">
        <v>98.083746605323924</v>
      </c>
    </row>
    <row r="151" spans="1:57" x14ac:dyDescent="0.3">
      <c r="A151" s="41">
        <v>2041</v>
      </c>
      <c r="B151" s="123">
        <v>77.14286304619327</v>
      </c>
      <c r="C151" s="127">
        <v>173.61120406650312</v>
      </c>
      <c r="D151" s="128">
        <v>374.42730801300917</v>
      </c>
      <c r="E151" s="123">
        <v>61.359695915631775</v>
      </c>
      <c r="F151" s="127">
        <v>134.30421717221128</v>
      </c>
      <c r="G151" s="128">
        <v>285.7004976782394</v>
      </c>
      <c r="H151" s="123">
        <v>20.557667251538231</v>
      </c>
      <c r="I151" s="127">
        <v>77.453123178648525</v>
      </c>
      <c r="J151" s="128">
        <v>186.05311603655917</v>
      </c>
      <c r="K151" s="123">
        <v>21.525331421878096</v>
      </c>
      <c r="L151" s="127">
        <v>73.688704744778022</v>
      </c>
      <c r="M151" s="128">
        <v>175.17709924005467</v>
      </c>
      <c r="N151" s="123">
        <v>24.135083819100888</v>
      </c>
      <c r="O151" s="127">
        <v>48.694034429033152</v>
      </c>
      <c r="P151" s="128">
        <v>92.424054977343474</v>
      </c>
      <c r="Q151" s="123">
        <v>27.298855445412194</v>
      </c>
      <c r="R151" s="127">
        <v>52.200914577433316</v>
      </c>
      <c r="S151" s="128">
        <v>98.280998146609804</v>
      </c>
      <c r="T151" s="123">
        <v>25.522474367802854</v>
      </c>
      <c r="U151" s="127">
        <v>49.216771053070829</v>
      </c>
      <c r="V151" s="128">
        <v>93.132001689685907</v>
      </c>
      <c r="W151" s="123">
        <v>44.737561350640128</v>
      </c>
      <c r="X151" s="127">
        <v>79.407515135726527</v>
      </c>
      <c r="Y151" s="128">
        <v>135.20182537706503</v>
      </c>
      <c r="Z151" s="123">
        <v>46.519468658745886</v>
      </c>
      <c r="AA151" s="127">
        <v>82.634012114926861</v>
      </c>
      <c r="AB151" s="128">
        <v>140.75987404813236</v>
      </c>
      <c r="AD151" s="41">
        <v>2041</v>
      </c>
      <c r="AE151" s="123">
        <v>72.908008309827181</v>
      </c>
      <c r="AF151" s="127">
        <v>148.59391945639248</v>
      </c>
      <c r="AG151" s="128">
        <v>298.84504561128153</v>
      </c>
      <c r="AH151" s="123">
        <v>57.490893737365397</v>
      </c>
      <c r="AI151" s="127">
        <v>115.8603532772149</v>
      </c>
      <c r="AJ151" s="128">
        <v>233.35536074386269</v>
      </c>
      <c r="AK151" s="123">
        <v>20.899790994988351</v>
      </c>
      <c r="AL151" s="127">
        <v>62.005332945889158</v>
      </c>
      <c r="AM151" s="128">
        <v>135.71657414012302</v>
      </c>
      <c r="AN151" s="123">
        <v>23.074175911256031</v>
      </c>
      <c r="AO151" s="127">
        <v>64.372005445359775</v>
      </c>
      <c r="AP151" s="128">
        <v>129.95990328645851</v>
      </c>
      <c r="AQ151" s="123">
        <v>20.472417902355229</v>
      </c>
      <c r="AR151" s="127">
        <v>40.100254180342098</v>
      </c>
      <c r="AS151" s="128">
        <v>72.115048420197738</v>
      </c>
      <c r="AT151" s="123">
        <v>20.989771085763561</v>
      </c>
      <c r="AU151" s="127">
        <v>38.638212275293256</v>
      </c>
      <c r="AV151" s="128">
        <v>68.942532367958364</v>
      </c>
      <c r="AW151" s="123">
        <v>19.658972860505113</v>
      </c>
      <c r="AX151" s="127">
        <v>36.542517476501388</v>
      </c>
      <c r="AY151" s="128">
        <v>65.579124566638285</v>
      </c>
      <c r="AZ151" s="123">
        <v>31.575369032393954</v>
      </c>
      <c r="BA151" s="127">
        <v>54.740202663963942</v>
      </c>
      <c r="BB151" s="128">
        <v>92.707458027371757</v>
      </c>
      <c r="BC151" s="123">
        <v>32.621160034158329</v>
      </c>
      <c r="BD151" s="127">
        <v>56.54121573120571</v>
      </c>
      <c r="BE151" s="128">
        <v>95.744708202033181</v>
      </c>
    </row>
    <row r="152" spans="1:57" x14ac:dyDescent="0.3">
      <c r="A152" s="41">
        <v>2042</v>
      </c>
      <c r="B152" s="123">
        <v>76.708928898640437</v>
      </c>
      <c r="C152" s="127">
        <v>173.21210036652721</v>
      </c>
      <c r="D152" s="128">
        <v>374.42730801300917</v>
      </c>
      <c r="E152" s="123">
        <v>61.024151473225146</v>
      </c>
      <c r="F152" s="127">
        <v>133.92615457627943</v>
      </c>
      <c r="G152" s="128">
        <v>285.7004976782394</v>
      </c>
      <c r="H152" s="123">
        <v>20.473060081656399</v>
      </c>
      <c r="I152" s="127">
        <v>77.243495014252801</v>
      </c>
      <c r="J152" s="128">
        <v>186.05311603655917</v>
      </c>
      <c r="K152" s="123">
        <v>21.161261142370563</v>
      </c>
      <c r="L152" s="127">
        <v>73.330891518970077</v>
      </c>
      <c r="M152" s="128">
        <v>175.17709924005467</v>
      </c>
      <c r="N152" s="123">
        <v>23.705671995058047</v>
      </c>
      <c r="O152" s="127">
        <v>47.343455104251824</v>
      </c>
      <c r="P152" s="128">
        <v>88.825322212818065</v>
      </c>
      <c r="Q152" s="123">
        <v>26.854088607010763</v>
      </c>
      <c r="R152" s="127">
        <v>50.8125469412063</v>
      </c>
      <c r="S152" s="128">
        <v>94.461596513459284</v>
      </c>
      <c r="T152" s="123">
        <v>25.096523408924874</v>
      </c>
      <c r="U152" s="127">
        <v>47.887687828006364</v>
      </c>
      <c r="V152" s="128">
        <v>89.475014943352676</v>
      </c>
      <c r="W152" s="123">
        <v>44.048039472443072</v>
      </c>
      <c r="X152" s="127">
        <v>77.733775134553269</v>
      </c>
      <c r="Y152" s="128">
        <v>132.13426669992393</v>
      </c>
      <c r="Z152" s="123">
        <v>45.800610219952496</v>
      </c>
      <c r="AA152" s="127">
        <v>80.889204903571695</v>
      </c>
      <c r="AB152" s="128">
        <v>137.56202098720021</v>
      </c>
      <c r="AD152" s="41">
        <v>2042</v>
      </c>
      <c r="AE152" s="123">
        <v>72.514687750920714</v>
      </c>
      <c r="AF152" s="127">
        <v>148.22895019262958</v>
      </c>
      <c r="AG152" s="128">
        <v>298.84504561128153</v>
      </c>
      <c r="AH152" s="123">
        <v>57.186754207509068</v>
      </c>
      <c r="AI152" s="127">
        <v>115.59701261982315</v>
      </c>
      <c r="AJ152" s="128">
        <v>233.35536074386269</v>
      </c>
      <c r="AK152" s="123">
        <v>20.776946362275666</v>
      </c>
      <c r="AL152" s="127">
        <v>61.850842171615568</v>
      </c>
      <c r="AM152" s="128">
        <v>135.71657414012302</v>
      </c>
      <c r="AN152" s="123">
        <v>22.837738739015744</v>
      </c>
      <c r="AO152" s="127">
        <v>64.016055607810813</v>
      </c>
      <c r="AP152" s="128">
        <v>129.95990328645851</v>
      </c>
      <c r="AQ152" s="123">
        <v>20.072305586197903</v>
      </c>
      <c r="AR152" s="127">
        <v>39.214324928559819</v>
      </c>
      <c r="AS152" s="128">
        <v>70.241663360431374</v>
      </c>
      <c r="AT152" s="123">
        <v>20.666567443825819</v>
      </c>
      <c r="AU152" s="127">
        <v>37.813112944017305</v>
      </c>
      <c r="AV152" s="128">
        <v>67.018549375372388</v>
      </c>
      <c r="AW152" s="123">
        <v>19.346604182067829</v>
      </c>
      <c r="AX152" s="127">
        <v>35.745297877113927</v>
      </c>
      <c r="AY152" s="128">
        <v>63.719830357359726</v>
      </c>
      <c r="AZ152" s="123">
        <v>31.159005909854482</v>
      </c>
      <c r="BA152" s="127">
        <v>53.615226563030639</v>
      </c>
      <c r="BB152" s="128">
        <v>90.465542143289682</v>
      </c>
      <c r="BC152" s="123">
        <v>32.191317931997254</v>
      </c>
      <c r="BD152" s="127">
        <v>55.379836417901828</v>
      </c>
      <c r="BE152" s="128">
        <v>93.43024689190888</v>
      </c>
    </row>
    <row r="153" spans="1:57" x14ac:dyDescent="0.3">
      <c r="A153" s="41">
        <v>2043</v>
      </c>
      <c r="B153" s="123">
        <v>76.274994751087604</v>
      </c>
      <c r="C153" s="127">
        <v>172.81299666655127</v>
      </c>
      <c r="D153" s="128">
        <v>374.42730801300917</v>
      </c>
      <c r="E153" s="123">
        <v>60.688607030818531</v>
      </c>
      <c r="F153" s="127">
        <v>133.54809198034752</v>
      </c>
      <c r="G153" s="128">
        <v>285.7004976782394</v>
      </c>
      <c r="H153" s="123">
        <v>20.388634981564152</v>
      </c>
      <c r="I153" s="127">
        <v>77.034152827290029</v>
      </c>
      <c r="J153" s="128">
        <v>186.05311603655917</v>
      </c>
      <c r="K153" s="123">
        <v>20.798204768186711</v>
      </c>
      <c r="L153" s="127">
        <v>72.973771201476424</v>
      </c>
      <c r="M153" s="128">
        <v>175.17709924005467</v>
      </c>
      <c r="N153" s="123">
        <v>23.276260171015206</v>
      </c>
      <c r="O153" s="127">
        <v>45.995025106648129</v>
      </c>
      <c r="P153" s="128">
        <v>85.232647078153775</v>
      </c>
      <c r="Q153" s="123">
        <v>26.409321768609328</v>
      </c>
      <c r="R153" s="127">
        <v>49.42637332029355</v>
      </c>
      <c r="S153" s="128">
        <v>90.648623954902078</v>
      </c>
      <c r="T153" s="123">
        <v>24.670572450046905</v>
      </c>
      <c r="U153" s="127">
        <v>46.560704594826831</v>
      </c>
      <c r="V153" s="128">
        <v>85.824183883914216</v>
      </c>
      <c r="W153" s="123">
        <v>43.358517594246045</v>
      </c>
      <c r="X153" s="127">
        <v>76.063824603498318</v>
      </c>
      <c r="Y153" s="128">
        <v>129.0736062653539</v>
      </c>
      <c r="Z153" s="123">
        <v>45.08175178115912</v>
      </c>
      <c r="AA153" s="127">
        <v>79.148347967185103</v>
      </c>
      <c r="AB153" s="128">
        <v>134.3713591713076</v>
      </c>
      <c r="AD153" s="41">
        <v>2043</v>
      </c>
      <c r="AE153" s="123">
        <v>72.121367192014262</v>
      </c>
      <c r="AF153" s="127">
        <v>147.86398092886665</v>
      </c>
      <c r="AG153" s="128">
        <v>298.84504561128153</v>
      </c>
      <c r="AH153" s="123">
        <v>56.882614677652739</v>
      </c>
      <c r="AI153" s="127">
        <v>115.3336719624314</v>
      </c>
      <c r="AJ153" s="128">
        <v>233.35536074386269</v>
      </c>
      <c r="AK153" s="123">
        <v>20.654373626998932</v>
      </c>
      <c r="AL153" s="127">
        <v>61.696593682469178</v>
      </c>
      <c r="AM153" s="128">
        <v>135.71657414012302</v>
      </c>
      <c r="AN153" s="123">
        <v>22.601960024554469</v>
      </c>
      <c r="AO153" s="127">
        <v>63.660712047801894</v>
      </c>
      <c r="AP153" s="128">
        <v>129.95990328645851</v>
      </c>
      <c r="AQ153" s="123">
        <v>19.675556450524923</v>
      </c>
      <c r="AR153" s="127">
        <v>38.335673644370516</v>
      </c>
      <c r="AS153" s="128">
        <v>68.382916421920484</v>
      </c>
      <c r="AT153" s="123">
        <v>20.344730413481894</v>
      </c>
      <c r="AU153" s="127">
        <v>36.995452435735892</v>
      </c>
      <c r="AV153" s="128">
        <v>65.115771676447892</v>
      </c>
      <c r="AW153" s="123">
        <v>19.035556301425206</v>
      </c>
      <c r="AX153" s="127">
        <v>34.955267246334607</v>
      </c>
      <c r="AY153" s="128">
        <v>61.881028470447198</v>
      </c>
      <c r="AZ153" s="123">
        <v>30.744227300660043</v>
      </c>
      <c r="BA153" s="127">
        <v>52.499429618372908</v>
      </c>
      <c r="BB153" s="128">
        <v>88.24705974027124</v>
      </c>
      <c r="BC153" s="123">
        <v>31.763111638845832</v>
      </c>
      <c r="BD153" s="127">
        <v>54.227933282716805</v>
      </c>
      <c r="BE153" s="128">
        <v>91.139977339231081</v>
      </c>
    </row>
    <row r="154" spans="1:57" x14ac:dyDescent="0.3">
      <c r="A154" s="41">
        <v>2044</v>
      </c>
      <c r="B154" s="123">
        <v>75.841060603534757</v>
      </c>
      <c r="C154" s="127">
        <v>172.4138929665753</v>
      </c>
      <c r="D154" s="128">
        <v>374.42730801300917</v>
      </c>
      <c r="E154" s="123">
        <v>60.353062588411916</v>
      </c>
      <c r="F154" s="127">
        <v>133.17002938441564</v>
      </c>
      <c r="G154" s="128">
        <v>285.7004976782394</v>
      </c>
      <c r="H154" s="123">
        <v>20.304391364187492</v>
      </c>
      <c r="I154" s="127">
        <v>76.825095991794939</v>
      </c>
      <c r="J154" s="128">
        <v>186.05311603655917</v>
      </c>
      <c r="K154" s="123">
        <v>20.436158069753571</v>
      </c>
      <c r="L154" s="127">
        <v>72.617341478819128</v>
      </c>
      <c r="M154" s="128">
        <v>175.17709924005467</v>
      </c>
      <c r="N154" s="123">
        <v>22.846848346972365</v>
      </c>
      <c r="O154" s="127">
        <v>44.648738341535456</v>
      </c>
      <c r="P154" s="128">
        <v>81.646014291295373</v>
      </c>
      <c r="Q154" s="123">
        <v>25.9645549302079</v>
      </c>
      <c r="R154" s="127">
        <v>48.04238755654405</v>
      </c>
      <c r="S154" s="128">
        <v>86.84206425181037</v>
      </c>
      <c r="T154" s="123">
        <v>24.244621491168939</v>
      </c>
      <c r="U154" s="127">
        <v>45.235815460010194</v>
      </c>
      <c r="V154" s="128">
        <v>82.179492981939148</v>
      </c>
      <c r="W154" s="123">
        <v>42.668995716049018</v>
      </c>
      <c r="X154" s="127">
        <v>74.397647415224242</v>
      </c>
      <c r="Y154" s="128">
        <v>126.01982083061814</v>
      </c>
      <c r="Z154" s="123">
        <v>44.362893342365751</v>
      </c>
      <c r="AA154" s="127">
        <v>77.411424494198485</v>
      </c>
      <c r="AB154" s="128">
        <v>131.18786437048405</v>
      </c>
      <c r="AD154" s="41">
        <v>2044</v>
      </c>
      <c r="AE154" s="123">
        <v>71.728046633107795</v>
      </c>
      <c r="AF154" s="127">
        <v>147.49901166510369</v>
      </c>
      <c r="AG154" s="128">
        <v>298.84504561128153</v>
      </c>
      <c r="AH154" s="123">
        <v>56.578475147796411</v>
      </c>
      <c r="AI154" s="127">
        <v>115.07033130503966</v>
      </c>
      <c r="AJ154" s="128">
        <v>233.35536074386269</v>
      </c>
      <c r="AK154" s="123">
        <v>20.532071887452187</v>
      </c>
      <c r="AL154" s="127">
        <v>61.542586858837353</v>
      </c>
      <c r="AM154" s="128">
        <v>135.71657414012302</v>
      </c>
      <c r="AN154" s="123">
        <v>22.366837021072133</v>
      </c>
      <c r="AO154" s="127">
        <v>63.305972968046476</v>
      </c>
      <c r="AP154" s="128">
        <v>129.95990328645851</v>
      </c>
      <c r="AQ154" s="123">
        <v>19.282128268527526</v>
      </c>
      <c r="AR154" s="127">
        <v>37.464210635190852</v>
      </c>
      <c r="AS154" s="128">
        <v>66.538636704900881</v>
      </c>
      <c r="AT154" s="123">
        <v>20.024251345291322</v>
      </c>
      <c r="AU154" s="127">
        <v>36.185121857194055</v>
      </c>
      <c r="AV154" s="128">
        <v>63.233850619408919</v>
      </c>
      <c r="AW154" s="123">
        <v>18.725820859097528</v>
      </c>
      <c r="AX154" s="127">
        <v>34.172320331517462</v>
      </c>
      <c r="AY154" s="128">
        <v>60.062381976608371</v>
      </c>
      <c r="AZ154" s="123">
        <v>30.331024176942361</v>
      </c>
      <c r="BA154" s="127">
        <v>51.392688944032386</v>
      </c>
      <c r="BB154" s="128">
        <v>86.051645323051929</v>
      </c>
      <c r="BC154" s="123">
        <v>31.336531834575371</v>
      </c>
      <c r="BD154" s="127">
        <v>53.085379463336608</v>
      </c>
      <c r="BE154" s="128">
        <v>88.873522221793166</v>
      </c>
    </row>
    <row r="155" spans="1:57" x14ac:dyDescent="0.3">
      <c r="A155" s="41">
        <v>2045</v>
      </c>
      <c r="B155" s="123">
        <v>75.40712645598191</v>
      </c>
      <c r="C155" s="127">
        <v>172.01478926659939</v>
      </c>
      <c r="D155" s="128">
        <v>374.42730801300917</v>
      </c>
      <c r="E155" s="123">
        <v>60.017518146005287</v>
      </c>
      <c r="F155" s="127">
        <v>132.79196678848376</v>
      </c>
      <c r="G155" s="128">
        <v>285.7004976782394</v>
      </c>
      <c r="H155" s="123">
        <v>20.220328644973712</v>
      </c>
      <c r="I155" s="127">
        <v>76.616323883782769</v>
      </c>
      <c r="J155" s="128">
        <v>186.05311603655917</v>
      </c>
      <c r="K155" s="123">
        <v>20.075116840990763</v>
      </c>
      <c r="L155" s="127">
        <v>72.26160004890869</v>
      </c>
      <c r="M155" s="128">
        <v>175.17709924005467</v>
      </c>
      <c r="N155" s="123">
        <v>22.41743652292952</v>
      </c>
      <c r="O155" s="127">
        <v>43.304588738114731</v>
      </c>
      <c r="P155" s="128">
        <v>78.065408621548784</v>
      </c>
      <c r="Q155" s="123">
        <v>25.519788091806468</v>
      </c>
      <c r="R155" s="127">
        <v>46.660583515658239</v>
      </c>
      <c r="S155" s="128">
        <v>83.041901239566911</v>
      </c>
      <c r="T155" s="123">
        <v>23.81867053229097</v>
      </c>
      <c r="U155" s="127">
        <v>43.913014552857518</v>
      </c>
      <c r="V155" s="128">
        <v>78.540926760188711</v>
      </c>
      <c r="W155" s="123">
        <v>41.979473837851984</v>
      </c>
      <c r="X155" s="127">
        <v>72.735227537480213</v>
      </c>
      <c r="Y155" s="128">
        <v>122.97288725728062</v>
      </c>
      <c r="Z155" s="123">
        <v>43.644034903572361</v>
      </c>
      <c r="AA155" s="127">
        <v>75.678417772163314</v>
      </c>
      <c r="AB155" s="128">
        <v>128.01151246348959</v>
      </c>
      <c r="AD155" s="41">
        <v>2045</v>
      </c>
      <c r="AE155" s="123">
        <v>71.334726074201328</v>
      </c>
      <c r="AF155" s="127">
        <v>147.13404240134076</v>
      </c>
      <c r="AG155" s="128">
        <v>298.84504561128153</v>
      </c>
      <c r="AH155" s="123">
        <v>56.274335617940082</v>
      </c>
      <c r="AI155" s="127">
        <v>114.80699064764791</v>
      </c>
      <c r="AJ155" s="128">
        <v>233.35536074386269</v>
      </c>
      <c r="AK155" s="123">
        <v>20.410040245912207</v>
      </c>
      <c r="AL155" s="127">
        <v>61.388821083392187</v>
      </c>
      <c r="AM155" s="128">
        <v>135.71657414012302</v>
      </c>
      <c r="AN155" s="123">
        <v>21.343794652616936</v>
      </c>
      <c r="AO155" s="127">
        <v>62.612182784079877</v>
      </c>
      <c r="AP155" s="128">
        <v>129.95990328645851</v>
      </c>
      <c r="AQ155" s="123">
        <v>18.891979517362241</v>
      </c>
      <c r="AR155" s="127">
        <v>36.599847682522402</v>
      </c>
      <c r="AS155" s="128">
        <v>64.708655959630221</v>
      </c>
      <c r="AT155" s="123">
        <v>19.705121662651024</v>
      </c>
      <c r="AU155" s="127">
        <v>35.382014536104649</v>
      </c>
      <c r="AV155" s="128">
        <v>61.372445154070931</v>
      </c>
      <c r="AW155" s="123">
        <v>18.417389566000704</v>
      </c>
      <c r="AX155" s="127">
        <v>33.396354026969291</v>
      </c>
      <c r="AY155" s="128">
        <v>58.263561292559231</v>
      </c>
      <c r="AZ155" s="123">
        <v>29.919387579285665</v>
      </c>
      <c r="BA155" s="127">
        <v>50.294883971301573</v>
      </c>
      <c r="BB155" s="128">
        <v>83.878940957961618</v>
      </c>
      <c r="BC155" s="123">
        <v>30.911569269725717</v>
      </c>
      <c r="BD155" s="127">
        <v>51.952050489679749</v>
      </c>
      <c r="BE155" s="128">
        <v>86.630512023665815</v>
      </c>
    </row>
    <row r="156" spans="1:57" x14ac:dyDescent="0.3">
      <c r="A156" s="41">
        <v>2046</v>
      </c>
      <c r="B156" s="123">
        <v>74.973192308429063</v>
      </c>
      <c r="C156" s="127">
        <v>171.61568556662343</v>
      </c>
      <c r="D156" s="128">
        <v>374.42730801300917</v>
      </c>
      <c r="E156" s="123">
        <v>59.681973703598679</v>
      </c>
      <c r="F156" s="127">
        <v>132.41390419255188</v>
      </c>
      <c r="G156" s="128">
        <v>285.7004976782394</v>
      </c>
      <c r="H156" s="123">
        <v>20.136446241877866</v>
      </c>
      <c r="I156" s="127">
        <v>76.407835881240828</v>
      </c>
      <c r="J156" s="128">
        <v>186.05311603655917</v>
      </c>
      <c r="K156" s="123">
        <v>19.961851275497175</v>
      </c>
      <c r="L156" s="127">
        <v>72.157076451458778</v>
      </c>
      <c r="M156" s="128">
        <v>175.17709924005467</v>
      </c>
      <c r="N156" s="123">
        <v>21.988024698886694</v>
      </c>
      <c r="O156" s="127">
        <v>41.962570249352595</v>
      </c>
      <c r="P156" s="128">
        <v>74.490814889365467</v>
      </c>
      <c r="Q156" s="123">
        <v>25.075021253405044</v>
      </c>
      <c r="R156" s="127">
        <v>45.280955087067731</v>
      </c>
      <c r="S156" s="128">
        <v>79.248118807836079</v>
      </c>
      <c r="T156" s="123">
        <v>23.392719573413004</v>
      </c>
      <c r="U156" s="127">
        <v>42.592296025378111</v>
      </c>
      <c r="V156" s="128">
        <v>74.908469793397444</v>
      </c>
      <c r="W156" s="123">
        <v>41.289951959654942</v>
      </c>
      <c r="X156" s="127">
        <v>71.076549032377429</v>
      </c>
      <c r="Y156" s="128">
        <v>119.93278251062158</v>
      </c>
      <c r="Z156" s="123">
        <v>42.925176464778978</v>
      </c>
      <c r="AA156" s="127">
        <v>73.949311186995899</v>
      </c>
      <c r="AB156" s="128">
        <v>124.8422794372061</v>
      </c>
      <c r="AD156" s="41">
        <v>2046</v>
      </c>
      <c r="AE156" s="123">
        <v>70.941405515294875</v>
      </c>
      <c r="AF156" s="127">
        <v>146.76907313757786</v>
      </c>
      <c r="AG156" s="128">
        <v>298.84504561128153</v>
      </c>
      <c r="AH156" s="123">
        <v>55.970196088083753</v>
      </c>
      <c r="AI156" s="127">
        <v>114.54364999025617</v>
      </c>
      <c r="AJ156" s="128">
        <v>233.35536074386269</v>
      </c>
      <c r="AK156" s="123">
        <v>20.288277808616595</v>
      </c>
      <c r="AL156" s="127">
        <v>61.235295741079163</v>
      </c>
      <c r="AM156" s="128">
        <v>135.71657414012302</v>
      </c>
      <c r="AN156" s="123">
        <v>21.268564149423025</v>
      </c>
      <c r="AO156" s="127">
        <v>62.32695485349236</v>
      </c>
      <c r="AP156" s="128">
        <v>129.95990328645851</v>
      </c>
      <c r="AQ156" s="123">
        <v>18.50506936354201</v>
      </c>
      <c r="AR156" s="127">
        <v>35.742498011661304</v>
      </c>
      <c r="AS156" s="128">
        <v>62.892808535221583</v>
      </c>
      <c r="AT156" s="123">
        <v>19.387332861030227</v>
      </c>
      <c r="AU156" s="127">
        <v>34.586025963242548</v>
      </c>
      <c r="AV156" s="128">
        <v>59.531221625793783</v>
      </c>
      <c r="AW156" s="123">
        <v>18.110254202706813</v>
      </c>
      <c r="AX156" s="127">
        <v>32.627267317969334</v>
      </c>
      <c r="AY156" s="128">
        <v>56.48424398190469</v>
      </c>
      <c r="AZ156" s="123">
        <v>29.509308616079085</v>
      </c>
      <c r="BA156" s="127">
        <v>49.20589639236821</v>
      </c>
      <c r="BB156" s="128">
        <v>81.728596078381685</v>
      </c>
      <c r="BC156" s="123">
        <v>30.488214764836698</v>
      </c>
      <c r="BD156" s="127">
        <v>50.827824225718636</v>
      </c>
      <c r="BE156" s="128">
        <v>84.410584834359426</v>
      </c>
    </row>
    <row r="157" spans="1:57" x14ac:dyDescent="0.3">
      <c r="A157" s="41">
        <v>2047</v>
      </c>
      <c r="B157" s="123">
        <v>74.539258160876244</v>
      </c>
      <c r="C157" s="127">
        <v>171.21658186664752</v>
      </c>
      <c r="D157" s="128">
        <v>374.42730801300917</v>
      </c>
      <c r="E157" s="123">
        <v>59.346429261192064</v>
      </c>
      <c r="F157" s="127">
        <v>132.03584159662003</v>
      </c>
      <c r="G157" s="128">
        <v>285.7004976782394</v>
      </c>
      <c r="H157" s="123">
        <v>20.0527435753493</v>
      </c>
      <c r="I157" s="127">
        <v>76.199631364119981</v>
      </c>
      <c r="J157" s="128">
        <v>186.05311603655917</v>
      </c>
      <c r="K157" s="123">
        <v>19.848899397954803</v>
      </c>
      <c r="L157" s="127">
        <v>72.052758861191165</v>
      </c>
      <c r="M157" s="128">
        <v>175.17709924005467</v>
      </c>
      <c r="N157" s="123">
        <v>21.558612874843849</v>
      </c>
      <c r="O157" s="127">
        <v>40.62267685186044</v>
      </c>
      <c r="P157" s="128">
        <v>70.922217966127846</v>
      </c>
      <c r="Q157" s="123">
        <v>24.630254415003609</v>
      </c>
      <c r="R157" s="127">
        <v>43.903496183816273</v>
      </c>
      <c r="S157" s="128">
        <v>75.460700900336306</v>
      </c>
      <c r="T157" s="123">
        <v>22.966768614535031</v>
      </c>
      <c r="U157" s="127">
        <v>41.273654052175516</v>
      </c>
      <c r="V157" s="128">
        <v>71.282106708055522</v>
      </c>
      <c r="W157" s="123">
        <v>40.600430081457908</v>
      </c>
      <c r="X157" s="127">
        <v>69.4215960556715</v>
      </c>
      <c r="Y157" s="128">
        <v>116.89948365905721</v>
      </c>
      <c r="Z157" s="123">
        <v>42.20631802598561</v>
      </c>
      <c r="AA157" s="127">
        <v>72.224088222229454</v>
      </c>
      <c r="AB157" s="128">
        <v>121.68014138603192</v>
      </c>
      <c r="AD157" s="41">
        <v>2047</v>
      </c>
      <c r="AE157" s="123">
        <v>70.548084956388408</v>
      </c>
      <c r="AF157" s="127">
        <v>146.40410387381493</v>
      </c>
      <c r="AG157" s="128">
        <v>298.84504561128153</v>
      </c>
      <c r="AH157" s="123">
        <v>55.666056558227417</v>
      </c>
      <c r="AI157" s="127">
        <v>114.28030933286443</v>
      </c>
      <c r="AJ157" s="128">
        <v>233.35536074386269</v>
      </c>
      <c r="AK157" s="123">
        <v>20.166783685741905</v>
      </c>
      <c r="AL157" s="127">
        <v>61.082010219106031</v>
      </c>
      <c r="AM157" s="128">
        <v>135.71657414012302</v>
      </c>
      <c r="AN157" s="123">
        <v>21.193541996421981</v>
      </c>
      <c r="AO157" s="127">
        <v>62.042136882740351</v>
      </c>
      <c r="AP157" s="128">
        <v>129.95990328645851</v>
      </c>
      <c r="AQ157" s="123">
        <v>18.121357648689578</v>
      </c>
      <c r="AR157" s="127">
        <v>34.89207626215515</v>
      </c>
      <c r="AS157" s="128">
        <v>61.090931329657529</v>
      </c>
      <c r="AT157" s="123">
        <v>19.070876507214972</v>
      </c>
      <c r="AU157" s="127">
        <v>33.797053736369101</v>
      </c>
      <c r="AV157" s="128">
        <v>57.709853576100599</v>
      </c>
      <c r="AW157" s="123">
        <v>17.804406618713937</v>
      </c>
      <c r="AX157" s="127">
        <v>31.864961226558712</v>
      </c>
      <c r="AY157" s="128">
        <v>54.724114562461182</v>
      </c>
      <c r="AZ157" s="123">
        <v>29.100778462876491</v>
      </c>
      <c r="BA157" s="127">
        <v>48.125610105632788</v>
      </c>
      <c r="BB157" s="128">
        <v>79.600267296178345</v>
      </c>
      <c r="BC157" s="123">
        <v>30.066459209787176</v>
      </c>
      <c r="BD157" s="127">
        <v>49.712580813027323</v>
      </c>
      <c r="BE157" s="128">
        <v>82.213386154155344</v>
      </c>
    </row>
    <row r="158" spans="1:57" x14ac:dyDescent="0.3">
      <c r="A158" s="41">
        <v>2048</v>
      </c>
      <c r="B158" s="123">
        <v>74.105324013323397</v>
      </c>
      <c r="C158" s="127">
        <v>170.81747816667163</v>
      </c>
      <c r="D158" s="128">
        <v>374.42730801300917</v>
      </c>
      <c r="E158" s="123">
        <v>59.010884818785428</v>
      </c>
      <c r="F158" s="127">
        <v>131.65777900068812</v>
      </c>
      <c r="G158" s="128">
        <v>285.7004976782394</v>
      </c>
      <c r="H158" s="123">
        <v>19.969220068318364</v>
      </c>
      <c r="I158" s="127">
        <v>75.991709714326248</v>
      </c>
      <c r="J158" s="128">
        <v>186.05311603655917</v>
      </c>
      <c r="K158" s="123">
        <v>19.73625990703178</v>
      </c>
      <c r="L158" s="127">
        <v>71.948646581747695</v>
      </c>
      <c r="M158" s="128">
        <v>175.17709924005467</v>
      </c>
      <c r="N158" s="123">
        <v>21.129201050801004</v>
      </c>
      <c r="O158" s="127">
        <v>39.284902545774131</v>
      </c>
      <c r="P158" s="128">
        <v>67.35960277393599</v>
      </c>
      <c r="Q158" s="123">
        <v>24.185487576602181</v>
      </c>
      <c r="R158" s="127">
        <v>42.528200742441058</v>
      </c>
      <c r="S158" s="128">
        <v>71.679631514613533</v>
      </c>
      <c r="T158" s="123">
        <v>22.540817655657058</v>
      </c>
      <c r="U158" s="127">
        <v>39.957082830333853</v>
      </c>
      <c r="V158" s="128">
        <v>67.661822182191557</v>
      </c>
      <c r="W158" s="123">
        <v>39.910908203260867</v>
      </c>
      <c r="X158" s="127">
        <v>67.770352856051517</v>
      </c>
      <c r="Y158" s="128">
        <v>113.87296787356283</v>
      </c>
      <c r="Z158" s="123">
        <v>41.487459587192227</v>
      </c>
      <c r="AA158" s="127">
        <v>70.502732458272689</v>
      </c>
      <c r="AB158" s="128">
        <v>118.52507451128096</v>
      </c>
      <c r="AD158" s="41">
        <v>2048</v>
      </c>
      <c r="AE158" s="123">
        <v>70.154764397481969</v>
      </c>
      <c r="AF158" s="127">
        <v>146.03913461005197</v>
      </c>
      <c r="AG158" s="128">
        <v>298.84504561128153</v>
      </c>
      <c r="AH158" s="123">
        <v>55.361917028371082</v>
      </c>
      <c r="AI158" s="127">
        <v>114.01696867547267</v>
      </c>
      <c r="AJ158" s="128">
        <v>233.35536074386269</v>
      </c>
      <c r="AK158" s="123">
        <v>20.045556991381979</v>
      </c>
      <c r="AL158" s="127">
        <v>60.928963906931763</v>
      </c>
      <c r="AM158" s="128">
        <v>135.71657414012302</v>
      </c>
      <c r="AN158" s="123">
        <v>21.118727329274758</v>
      </c>
      <c r="AO158" s="127">
        <v>61.757727891552406</v>
      </c>
      <c r="AP158" s="128">
        <v>129.95990328645851</v>
      </c>
      <c r="AQ158" s="123">
        <v>17.740804875642713</v>
      </c>
      <c r="AR158" s="127">
        <v>34.048498458985328</v>
      </c>
      <c r="AS158" s="128">
        <v>59.302863740953889</v>
      </c>
      <c r="AT158" s="123">
        <v>18.755744238562116</v>
      </c>
      <c r="AU158" s="127">
        <v>33.014997505919439</v>
      </c>
      <c r="AV158" s="128">
        <v>55.908021549712345</v>
      </c>
      <c r="AW158" s="123">
        <v>17.499838731725227</v>
      </c>
      <c r="AX158" s="127">
        <v>31.109338759034113</v>
      </c>
      <c r="AY158" s="128">
        <v>52.982864319779182</v>
      </c>
      <c r="AZ158" s="123">
        <v>28.693788361763435</v>
      </c>
      <c r="BA158" s="127">
        <v>47.053911162639935</v>
      </c>
      <c r="BB158" s="128">
        <v>77.49361821889751</v>
      </c>
      <c r="BC158" s="123">
        <v>29.646293563141576</v>
      </c>
      <c r="BD158" s="127">
        <v>48.606202615995684</v>
      </c>
      <c r="BE158" s="128">
        <v>80.038568705385657</v>
      </c>
    </row>
    <row r="159" spans="1:57" x14ac:dyDescent="0.3">
      <c r="A159" s="41">
        <v>2049</v>
      </c>
      <c r="B159" s="123">
        <v>73.671389865770564</v>
      </c>
      <c r="C159" s="127">
        <v>170.41837446669567</v>
      </c>
      <c r="D159" s="128">
        <v>374.42730801300917</v>
      </c>
      <c r="E159" s="123">
        <v>58.67534037637882</v>
      </c>
      <c r="F159" s="127">
        <v>131.27971640475624</v>
      </c>
      <c r="G159" s="128">
        <v>285.7004976782394</v>
      </c>
      <c r="H159" s="123">
        <v>19.885875146183103</v>
      </c>
      <c r="I159" s="127">
        <v>75.784070315712469</v>
      </c>
      <c r="J159" s="128">
        <v>186.05311603655917</v>
      </c>
      <c r="K159" s="123">
        <v>19.623931508584377</v>
      </c>
      <c r="L159" s="127">
        <v>71.844738920216756</v>
      </c>
      <c r="M159" s="128">
        <v>175.17709924005467</v>
      </c>
      <c r="N159" s="123">
        <v>20.699789226758167</v>
      </c>
      <c r="O159" s="127">
        <v>37.949241354634601</v>
      </c>
      <c r="P159" s="128">
        <v>63.802954285395202</v>
      </c>
      <c r="Q159" s="123">
        <v>23.740720738200753</v>
      </c>
      <c r="R159" s="127">
        <v>41.155062722854829</v>
      </c>
      <c r="S159" s="128">
        <v>67.904894701815891</v>
      </c>
      <c r="T159" s="123">
        <v>22.114866696779089</v>
      </c>
      <c r="U159" s="127">
        <v>38.642576579305384</v>
      </c>
      <c r="V159" s="128">
        <v>64.047600945157001</v>
      </c>
      <c r="W159" s="123">
        <v>39.22138632506384</v>
      </c>
      <c r="X159" s="127">
        <v>66.122803774435766</v>
      </c>
      <c r="Y159" s="128">
        <v>110.85321242710044</v>
      </c>
      <c r="Z159" s="123">
        <v>40.768601148398858</v>
      </c>
      <c r="AA159" s="127">
        <v>68.785227571676003</v>
      </c>
      <c r="AB159" s="128">
        <v>115.37705512058544</v>
      </c>
      <c r="AD159" s="41">
        <v>2049</v>
      </c>
      <c r="AE159" s="123">
        <v>69.761443838575502</v>
      </c>
      <c r="AF159" s="127">
        <v>145.67416534628907</v>
      </c>
      <c r="AG159" s="128">
        <v>298.84504561128153</v>
      </c>
      <c r="AH159" s="123">
        <v>55.05777749851476</v>
      </c>
      <c r="AI159" s="127">
        <v>113.75362801808093</v>
      </c>
      <c r="AJ159" s="128">
        <v>233.35536074386269</v>
      </c>
      <c r="AK159" s="123">
        <v>19.924596843526437</v>
      </c>
      <c r="AL159" s="127">
        <v>60.776156196255478</v>
      </c>
      <c r="AM159" s="128">
        <v>135.71657414012302</v>
      </c>
      <c r="AN159" s="123">
        <v>21.044119288416638</v>
      </c>
      <c r="AO159" s="127">
        <v>61.47372690325151</v>
      </c>
      <c r="AP159" s="128">
        <v>129.95990328645851</v>
      </c>
      <c r="AQ159" s="123">
        <v>17.363372194901217</v>
      </c>
      <c r="AR159" s="127">
        <v>33.211681984454273</v>
      </c>
      <c r="AS159" s="128">
        <v>57.528447619441664</v>
      </c>
      <c r="AT159" s="123">
        <v>18.441927762262722</v>
      </c>
      <c r="AU159" s="127">
        <v>32.239758922387743</v>
      </c>
      <c r="AV159" s="128">
        <v>54.12541290775858</v>
      </c>
      <c r="AW159" s="123">
        <v>17.196542526936874</v>
      </c>
      <c r="AX159" s="127">
        <v>30.36030485508283</v>
      </c>
      <c r="AY159" s="128">
        <v>51.260191126634268</v>
      </c>
      <c r="AZ159" s="123">
        <v>28.288329620731378</v>
      </c>
      <c r="BA159" s="127">
        <v>45.99068771656772</v>
      </c>
      <c r="BB159" s="128">
        <v>75.408319272518312</v>
      </c>
      <c r="BC159" s="123">
        <v>29.22770885150377</v>
      </c>
      <c r="BD159" s="127">
        <v>47.508574168652153</v>
      </c>
      <c r="BE159" s="128">
        <v>77.885792249451086</v>
      </c>
    </row>
    <row r="160" spans="1:57" ht="15" thickBot="1" x14ac:dyDescent="0.35">
      <c r="A160" s="42">
        <v>2050</v>
      </c>
      <c r="B160" s="124">
        <v>73.237455718217717</v>
      </c>
      <c r="C160" s="129">
        <v>170.01927076671973</v>
      </c>
      <c r="D160" s="130">
        <v>374.42730801300917</v>
      </c>
      <c r="E160" s="124">
        <v>58.339795933972177</v>
      </c>
      <c r="F160" s="129">
        <v>130.90165380882436</v>
      </c>
      <c r="G160" s="130">
        <v>285.7004976782394</v>
      </c>
      <c r="H160" s="124">
        <v>19.781582930945877</v>
      </c>
      <c r="I160" s="129">
        <v>75.556640849819232</v>
      </c>
      <c r="J160" s="130">
        <v>186.05311603655917</v>
      </c>
      <c r="K160" s="124">
        <v>19.511912915607422</v>
      </c>
      <c r="L160" s="129">
        <v>71.741035187110938</v>
      </c>
      <c r="M160" s="130">
        <v>175.17709924005467</v>
      </c>
      <c r="N160" s="124">
        <v>20.270377402715322</v>
      </c>
      <c r="O160" s="129">
        <v>36.615687325269015</v>
      </c>
      <c r="P160" s="130">
        <v>60.252257523404651</v>
      </c>
      <c r="Q160" s="124">
        <v>23.295953899799354</v>
      </c>
      <c r="R160" s="129">
        <v>39.784076108229101</v>
      </c>
      <c r="S160" s="130">
        <v>64.136474566469275</v>
      </c>
      <c r="T160" s="124">
        <v>21.688915737901155</v>
      </c>
      <c r="U160" s="129">
        <v>37.330129540798275</v>
      </c>
      <c r="V160" s="130">
        <v>60.43942777741146</v>
      </c>
      <c r="W160" s="124">
        <v>38.531864446866827</v>
      </c>
      <c r="X160" s="129">
        <v>64.478933243274057</v>
      </c>
      <c r="Y160" s="130">
        <v>107.84019469404952</v>
      </c>
      <c r="Z160" s="124">
        <v>40.049742709605496</v>
      </c>
      <c r="AA160" s="129">
        <v>67.071557334404091</v>
      </c>
      <c r="AB160" s="130">
        <v>112.23605962730306</v>
      </c>
      <c r="AD160" s="42">
        <v>2050</v>
      </c>
      <c r="AE160" s="124">
        <v>69.368123279669049</v>
      </c>
      <c r="AF160" s="129">
        <v>145.30919608252614</v>
      </c>
      <c r="AG160" s="130">
        <v>298.84504561128153</v>
      </c>
      <c r="AH160" s="124">
        <v>54.753637968658424</v>
      </c>
      <c r="AI160" s="129">
        <v>113.49028736068918</v>
      </c>
      <c r="AJ160" s="130">
        <v>233.35536074386269</v>
      </c>
      <c r="AK160" s="124">
        <v>19.80390236403921</v>
      </c>
      <c r="AL160" s="129">
        <v>60.623586481005603</v>
      </c>
      <c r="AM160" s="130">
        <v>135.71657414012302</v>
      </c>
      <c r="AN160" s="124">
        <v>20.969717019024326</v>
      </c>
      <c r="AO160" s="129">
        <v>61.190132944736192</v>
      </c>
      <c r="AP160" s="130">
        <v>129.95990328645851</v>
      </c>
      <c r="AQ160" s="124">
        <v>16.989021391405906</v>
      </c>
      <c r="AR160" s="129">
        <v>32.38154555075733</v>
      </c>
      <c r="AS160" s="130">
        <v>55.767527221138039</v>
      </c>
      <c r="AT160" s="124">
        <v>18.129418854614567</v>
      </c>
      <c r="AU160" s="129">
        <v>31.471241585347968</v>
      </c>
      <c r="AV160" s="130">
        <v>52.361721646934839</v>
      </c>
      <c r="AW160" s="124">
        <v>16.894510056335143</v>
      </c>
      <c r="AX160" s="129">
        <v>29.617766338499333</v>
      </c>
      <c r="AY160" s="130">
        <v>49.555799268264792</v>
      </c>
      <c r="AZ160" s="124">
        <v>27.884393613058865</v>
      </c>
      <c r="BA160" s="129">
        <v>44.935829972221462</v>
      </c>
      <c r="BB160" s="130">
        <v>73.344047529568172</v>
      </c>
      <c r="BC160" s="124">
        <v>28.810696168878298</v>
      </c>
      <c r="BD160" s="129">
        <v>46.419582123039092</v>
      </c>
      <c r="BE160" s="130">
        <v>75.754723409373966</v>
      </c>
    </row>
    <row r="161" spans="1:34" ht="15" thickBot="1" x14ac:dyDescent="0.35">
      <c r="A161" s="237"/>
      <c r="B161" s="127"/>
      <c r="C161" s="127"/>
      <c r="D161" s="127"/>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row>
    <row r="162" spans="1:34" ht="18.600000000000001" customHeight="1" thickBot="1" x14ac:dyDescent="0.4">
      <c r="A162" s="289" t="s">
        <v>0</v>
      </c>
      <c r="B162" s="356" t="s">
        <v>421</v>
      </c>
      <c r="C162" s="357"/>
      <c r="D162" s="357"/>
      <c r="E162" s="357"/>
      <c r="F162" s="357"/>
      <c r="G162" s="357"/>
      <c r="H162" s="357"/>
      <c r="I162" s="357"/>
      <c r="J162" s="357"/>
      <c r="K162" s="357"/>
      <c r="L162" s="357"/>
      <c r="M162" s="357"/>
      <c r="N162" s="357"/>
      <c r="O162" s="357"/>
      <c r="P162" s="357"/>
      <c r="Q162" s="357"/>
      <c r="R162" s="357"/>
      <c r="S162" s="357"/>
      <c r="T162" s="357"/>
      <c r="U162" s="357"/>
      <c r="V162" s="357"/>
      <c r="W162" s="357"/>
      <c r="X162" s="357"/>
      <c r="Y162" s="357"/>
      <c r="Z162" s="357"/>
      <c r="AA162" s="357"/>
      <c r="AB162" s="357"/>
      <c r="AC162" s="357"/>
      <c r="AD162" s="357"/>
      <c r="AE162" s="358"/>
    </row>
    <row r="163" spans="1:34" ht="20.399999999999999" customHeight="1" thickBot="1" x14ac:dyDescent="0.35">
      <c r="A163" s="344"/>
      <c r="B163" s="338" t="s">
        <v>412</v>
      </c>
      <c r="C163" s="339"/>
      <c r="D163" s="340"/>
      <c r="E163" s="338" t="s">
        <v>413</v>
      </c>
      <c r="F163" s="339"/>
      <c r="G163" s="340"/>
      <c r="H163" s="338" t="s">
        <v>414</v>
      </c>
      <c r="I163" s="339"/>
      <c r="J163" s="340"/>
      <c r="K163" s="338" t="s">
        <v>415</v>
      </c>
      <c r="L163" s="339"/>
      <c r="M163" s="340"/>
      <c r="N163" s="338" t="s">
        <v>416</v>
      </c>
      <c r="O163" s="339"/>
      <c r="P163" s="340"/>
      <c r="Q163" s="338" t="s">
        <v>406</v>
      </c>
      <c r="R163" s="339"/>
      <c r="S163" s="340"/>
      <c r="T163" s="338" t="s">
        <v>407</v>
      </c>
      <c r="U163" s="339"/>
      <c r="V163" s="340"/>
      <c r="W163" s="338" t="s">
        <v>408</v>
      </c>
      <c r="X163" s="339"/>
      <c r="Y163" s="340"/>
      <c r="Z163" s="338" t="s">
        <v>312</v>
      </c>
      <c r="AA163" s="339"/>
      <c r="AB163" s="340"/>
      <c r="AC163" s="338" t="s">
        <v>409</v>
      </c>
      <c r="AD163" s="339"/>
      <c r="AE163" s="340"/>
    </row>
    <row r="164" spans="1:34" ht="15" customHeight="1" thickBot="1" x14ac:dyDescent="0.35">
      <c r="A164" s="290"/>
      <c r="B164" s="78" t="s">
        <v>69</v>
      </c>
      <c r="C164" s="79" t="s">
        <v>70</v>
      </c>
      <c r="D164" s="80" t="s">
        <v>71</v>
      </c>
      <c r="E164" s="78" t="s">
        <v>69</v>
      </c>
      <c r="F164" s="79" t="s">
        <v>70</v>
      </c>
      <c r="G164" s="80" t="s">
        <v>71</v>
      </c>
      <c r="H164" s="78" t="s">
        <v>69</v>
      </c>
      <c r="I164" s="79" t="s">
        <v>70</v>
      </c>
      <c r="J164" s="80" t="s">
        <v>71</v>
      </c>
      <c r="K164" s="78" t="s">
        <v>69</v>
      </c>
      <c r="L164" s="79" t="s">
        <v>70</v>
      </c>
      <c r="M164" s="80" t="s">
        <v>71</v>
      </c>
      <c r="N164" s="78" t="s">
        <v>69</v>
      </c>
      <c r="O164" s="79" t="s">
        <v>70</v>
      </c>
      <c r="P164" s="80" t="s">
        <v>71</v>
      </c>
      <c r="Q164" s="78" t="s">
        <v>69</v>
      </c>
      <c r="R164" s="79" t="s">
        <v>70</v>
      </c>
      <c r="S164" s="80" t="s">
        <v>71</v>
      </c>
      <c r="T164" s="78" t="s">
        <v>69</v>
      </c>
      <c r="U164" s="79" t="s">
        <v>70</v>
      </c>
      <c r="V164" s="80" t="s">
        <v>71</v>
      </c>
      <c r="W164" s="78" t="s">
        <v>69</v>
      </c>
      <c r="X164" s="79" t="s">
        <v>70</v>
      </c>
      <c r="Y164" s="80" t="s">
        <v>71</v>
      </c>
      <c r="Z164" s="78" t="s">
        <v>69</v>
      </c>
      <c r="AA164" s="79" t="s">
        <v>70</v>
      </c>
      <c r="AB164" s="80" t="s">
        <v>71</v>
      </c>
      <c r="AC164" s="78" t="s">
        <v>69</v>
      </c>
      <c r="AD164" s="79" t="s">
        <v>70</v>
      </c>
      <c r="AE164" s="80" t="s">
        <v>71</v>
      </c>
    </row>
    <row r="165" spans="1:34" x14ac:dyDescent="0.3">
      <c r="A165" s="41">
        <v>2015</v>
      </c>
      <c r="B165" s="122">
        <v>9293.645740248332</v>
      </c>
      <c r="C165" s="125">
        <v>10496.663406713265</v>
      </c>
      <c r="D165" s="126">
        <v>11699.681073178197</v>
      </c>
      <c r="E165" s="122">
        <v>9388.2689593832201</v>
      </c>
      <c r="F165" s="125">
        <v>10196.543239935432</v>
      </c>
      <c r="G165" s="126">
        <v>11004.817520487653</v>
      </c>
      <c r="H165" s="122">
        <v>10409.897520567394</v>
      </c>
      <c r="I165" s="125">
        <v>10409.897520567394</v>
      </c>
      <c r="J165" s="126">
        <v>10409.897520567394</v>
      </c>
      <c r="K165" s="15"/>
      <c r="L165" s="16"/>
      <c r="M165" s="18"/>
      <c r="N165" s="15"/>
      <c r="O165" s="16"/>
      <c r="P165" s="18"/>
      <c r="Q165" s="15"/>
      <c r="R165" s="16"/>
      <c r="S165" s="18"/>
      <c r="T165" s="15"/>
      <c r="U165" s="16"/>
      <c r="V165" s="18"/>
      <c r="W165" s="15"/>
      <c r="X165" s="16"/>
      <c r="Y165" s="18"/>
      <c r="Z165" s="15"/>
      <c r="AA165" s="16"/>
      <c r="AB165" s="18"/>
      <c r="AC165" s="15"/>
      <c r="AD165" s="16"/>
      <c r="AE165" s="18"/>
    </row>
    <row r="166" spans="1:34" x14ac:dyDescent="0.3">
      <c r="A166" s="41">
        <v>2016</v>
      </c>
      <c r="B166" s="123">
        <v>6472.776729227111</v>
      </c>
      <c r="C166" s="127">
        <v>9695.5658630712805</v>
      </c>
      <c r="D166" s="128">
        <v>13521.520879275278</v>
      </c>
      <c r="E166" s="123">
        <v>8873.3266581491571</v>
      </c>
      <c r="F166" s="127">
        <v>9839.3824900929594</v>
      </c>
      <c r="G166" s="128">
        <v>11004.817520487653</v>
      </c>
      <c r="H166" s="123">
        <v>9939.5139282561231</v>
      </c>
      <c r="I166" s="127">
        <v>9939.5139282561231</v>
      </c>
      <c r="J166" s="128">
        <v>9939.5139282561231</v>
      </c>
      <c r="K166" s="123">
        <v>9840.259369448182</v>
      </c>
      <c r="L166" s="127">
        <v>9840.259369448182</v>
      </c>
      <c r="M166" s="128">
        <v>9840.259369448182</v>
      </c>
      <c r="N166" s="17"/>
      <c r="O166" s="20"/>
      <c r="P166" s="19"/>
      <c r="Q166" s="17"/>
      <c r="R166" s="20"/>
      <c r="S166" s="19"/>
      <c r="T166" s="17"/>
      <c r="U166" s="20"/>
      <c r="V166" s="19"/>
      <c r="W166" s="17"/>
      <c r="X166" s="20"/>
      <c r="Y166" s="19"/>
      <c r="Z166" s="17"/>
      <c r="AA166" s="20"/>
      <c r="AB166" s="19"/>
      <c r="AC166" s="17"/>
      <c r="AD166" s="20"/>
      <c r="AE166" s="19"/>
    </row>
    <row r="167" spans="1:34" x14ac:dyDescent="0.3">
      <c r="A167" s="41">
        <v>2017</v>
      </c>
      <c r="B167" s="123">
        <v>5910.522818425603</v>
      </c>
      <c r="C167" s="127">
        <v>8814.472844315258</v>
      </c>
      <c r="D167" s="128">
        <v>12244.793096455269</v>
      </c>
      <c r="E167" s="123">
        <v>8358.384356915094</v>
      </c>
      <c r="F167" s="127">
        <v>9482.2217402504866</v>
      </c>
      <c r="G167" s="128">
        <v>11004.817520487653</v>
      </c>
      <c r="H167" s="123">
        <v>9480.5706608709734</v>
      </c>
      <c r="I167" s="127">
        <v>9480.5706608709716</v>
      </c>
      <c r="J167" s="128">
        <v>9480.5706608709734</v>
      </c>
      <c r="K167" s="123">
        <v>9456.0707574847838</v>
      </c>
      <c r="L167" s="127">
        <v>9456.0707574847838</v>
      </c>
      <c r="M167" s="128">
        <v>9456.0707574847838</v>
      </c>
      <c r="N167" s="123">
        <v>9507.4560665765039</v>
      </c>
      <c r="O167" s="127">
        <v>9507.4560665765039</v>
      </c>
      <c r="P167" s="128">
        <v>9507.4560665765039</v>
      </c>
      <c r="Q167" s="17"/>
      <c r="R167" s="20"/>
      <c r="S167" s="19"/>
      <c r="T167" s="17"/>
      <c r="U167" s="20"/>
      <c r="V167" s="19"/>
      <c r="W167" s="17"/>
      <c r="X167" s="20"/>
      <c r="Y167" s="19"/>
      <c r="Z167" s="17"/>
      <c r="AA167" s="20"/>
      <c r="AB167" s="19"/>
      <c r="AC167" s="17"/>
      <c r="AD167" s="20"/>
      <c r="AE167" s="19"/>
    </row>
    <row r="168" spans="1:34" x14ac:dyDescent="0.3">
      <c r="A168" s="41">
        <v>2018</v>
      </c>
      <c r="B168" s="123">
        <v>5349.6402586260501</v>
      </c>
      <c r="C168" s="127">
        <v>7940.1223013188492</v>
      </c>
      <c r="D168" s="128">
        <v>10987.949903163606</v>
      </c>
      <c r="E168" s="123">
        <v>7843.4420556810301</v>
      </c>
      <c r="F168" s="127">
        <v>9125.0609904080102</v>
      </c>
      <c r="G168" s="128">
        <v>11004.817520487653</v>
      </c>
      <c r="H168" s="123">
        <v>9010.1870685596987</v>
      </c>
      <c r="I168" s="127">
        <v>9010.1870685596969</v>
      </c>
      <c r="J168" s="128">
        <v>9010.1870685596987</v>
      </c>
      <c r="K168" s="123">
        <v>9071.8821455213838</v>
      </c>
      <c r="L168" s="127">
        <v>9071.8821455213838</v>
      </c>
      <c r="M168" s="128">
        <v>9071.8821455213838</v>
      </c>
      <c r="N168" s="123">
        <v>9113.933597833995</v>
      </c>
      <c r="O168" s="127">
        <v>9113.933597833995</v>
      </c>
      <c r="P168" s="128">
        <v>9113.933597833995</v>
      </c>
      <c r="Q168" s="123">
        <v>9479.8426150588093</v>
      </c>
      <c r="R168" s="127">
        <v>9479.8426150588093</v>
      </c>
      <c r="S168" s="128">
        <v>9479.8426150588093</v>
      </c>
      <c r="T168" s="17"/>
      <c r="U168" s="20"/>
      <c r="V168" s="19"/>
      <c r="W168" s="17"/>
      <c r="X168" s="20"/>
      <c r="Y168" s="19"/>
      <c r="Z168" s="17"/>
      <c r="AA168" s="20"/>
      <c r="AB168" s="19"/>
      <c r="AC168" s="17"/>
      <c r="AD168" s="20"/>
      <c r="AE168" s="19"/>
    </row>
    <row r="169" spans="1:34" x14ac:dyDescent="0.3">
      <c r="A169" s="41">
        <v>2019</v>
      </c>
      <c r="B169" s="123">
        <v>4787.386347824543</v>
      </c>
      <c r="C169" s="127">
        <v>7063.1433355686941</v>
      </c>
      <c r="D169" s="128">
        <v>9727.678332367057</v>
      </c>
      <c r="E169" s="123">
        <v>7328.4997544469643</v>
      </c>
      <c r="F169" s="127">
        <v>8767.9002405655337</v>
      </c>
      <c r="G169" s="128">
        <v>11004.817520487653</v>
      </c>
      <c r="H169" s="123">
        <v>8636.3811029503468</v>
      </c>
      <c r="I169" s="127">
        <v>8845.9430238838922</v>
      </c>
      <c r="J169" s="128">
        <v>9010.1870685596987</v>
      </c>
      <c r="K169" s="123">
        <v>8687.6935335579819</v>
      </c>
      <c r="L169" s="127">
        <v>8687.6935335579838</v>
      </c>
      <c r="M169" s="128">
        <v>8687.6935335579819</v>
      </c>
      <c r="N169" s="123">
        <v>8720.4111290914843</v>
      </c>
      <c r="O169" s="127">
        <v>8720.4111290914843</v>
      </c>
      <c r="P169" s="128">
        <v>8720.4111290914843</v>
      </c>
      <c r="Q169" s="123">
        <v>9041.3673195001793</v>
      </c>
      <c r="R169" s="127">
        <v>9041.3673195001811</v>
      </c>
      <c r="S169" s="128">
        <v>9041.3673195001793</v>
      </c>
      <c r="T169" s="123">
        <v>7865.9690175620062</v>
      </c>
      <c r="U169" s="127">
        <v>7865.9690175620062</v>
      </c>
      <c r="V169" s="128">
        <v>7865.9690175620062</v>
      </c>
      <c r="W169" s="17"/>
      <c r="X169" s="20"/>
      <c r="Y169" s="19"/>
      <c r="Z169" s="17"/>
      <c r="AA169" s="20"/>
      <c r="AB169" s="19"/>
      <c r="AC169" s="17"/>
      <c r="AD169" s="20"/>
      <c r="AE169" s="19"/>
    </row>
    <row r="170" spans="1:34" x14ac:dyDescent="0.3">
      <c r="A170" s="41">
        <v>2020</v>
      </c>
      <c r="B170" s="123">
        <v>4227.8751390269454</v>
      </c>
      <c r="C170" s="127">
        <v>6189.2499095729354</v>
      </c>
      <c r="D170" s="128">
        <v>8470.8351390753942</v>
      </c>
      <c r="E170" s="123">
        <v>6813.5574532129012</v>
      </c>
      <c r="F170" s="127">
        <v>8410.739490723061</v>
      </c>
      <c r="G170" s="128">
        <v>11004.817520487653</v>
      </c>
      <c r="H170" s="123">
        <v>8274.0154622671143</v>
      </c>
      <c r="I170" s="127">
        <v>8687.4634840158233</v>
      </c>
      <c r="J170" s="128">
        <v>9010.1870685596987</v>
      </c>
      <c r="K170" s="123">
        <v>8303.5049215945837</v>
      </c>
      <c r="L170" s="127">
        <v>8303.5049215945837</v>
      </c>
      <c r="M170" s="128">
        <v>8303.5049215945837</v>
      </c>
      <c r="N170" s="123">
        <v>8326.88866034897</v>
      </c>
      <c r="O170" s="127">
        <v>8326.8886603489682</v>
      </c>
      <c r="P170" s="128">
        <v>8326.88866034897</v>
      </c>
      <c r="Q170" s="123">
        <v>8602.8920239415474</v>
      </c>
      <c r="R170" s="127">
        <v>8602.8920239415474</v>
      </c>
      <c r="S170" s="128">
        <v>8602.8920239415474</v>
      </c>
      <c r="T170" s="123">
        <v>7512.1858261792067</v>
      </c>
      <c r="U170" s="127">
        <v>7667.4514708256565</v>
      </c>
      <c r="V170" s="128">
        <v>7865.9690175620062</v>
      </c>
      <c r="W170" s="123">
        <v>6960.3026261728301</v>
      </c>
      <c r="X170" s="127">
        <v>6960.3026261728301</v>
      </c>
      <c r="Y170" s="128">
        <v>6960.3026261728301</v>
      </c>
      <c r="Z170" s="17"/>
      <c r="AA170" s="20"/>
      <c r="AB170" s="19"/>
      <c r="AC170" s="17"/>
      <c r="AD170" s="20"/>
      <c r="AE170" s="19"/>
    </row>
    <row r="171" spans="1:34" x14ac:dyDescent="0.3">
      <c r="A171" s="41">
        <v>2021</v>
      </c>
      <c r="B171" s="123">
        <v>4227.8751390269454</v>
      </c>
      <c r="C171" s="127">
        <v>6139.3670168768258</v>
      </c>
      <c r="D171" s="128">
        <v>8470.8351390753942</v>
      </c>
      <c r="E171" s="123">
        <v>6298.6151519788391</v>
      </c>
      <c r="F171" s="127">
        <v>8053.5787408805827</v>
      </c>
      <c r="G171" s="128">
        <v>11004.817520487653</v>
      </c>
      <c r="H171" s="123">
        <v>7900.2094966577597</v>
      </c>
      <c r="I171" s="127">
        <v>8525.6139259524607</v>
      </c>
      <c r="J171" s="128">
        <v>9010.1870685596987</v>
      </c>
      <c r="K171" s="123">
        <v>7871.7467680050631</v>
      </c>
      <c r="L171" s="127">
        <v>8124.71889689216</v>
      </c>
      <c r="M171" s="128">
        <v>8303.5049215945837</v>
      </c>
      <c r="N171" s="123">
        <v>7933.3661916064611</v>
      </c>
      <c r="O171" s="127">
        <v>7933.3661916064593</v>
      </c>
      <c r="P171" s="128">
        <v>7933.3661916064611</v>
      </c>
      <c r="Q171" s="123">
        <v>8164.4167283829192</v>
      </c>
      <c r="R171" s="127">
        <v>8164.4167283829174</v>
      </c>
      <c r="S171" s="128">
        <v>8164.4167283829192</v>
      </c>
      <c r="T171" s="123">
        <v>7158.4026347964073</v>
      </c>
      <c r="U171" s="127">
        <v>7446.8300716405502</v>
      </c>
      <c r="V171" s="128">
        <v>7865.9690175620062</v>
      </c>
      <c r="W171" s="123">
        <v>6635.4749626083767</v>
      </c>
      <c r="X171" s="127">
        <v>6775.2698055044284</v>
      </c>
      <c r="Y171" s="128">
        <v>6960.3026261728301</v>
      </c>
      <c r="Z171" s="123">
        <v>7471.3966540488555</v>
      </c>
      <c r="AA171" s="127">
        <v>7471.3966540488573</v>
      </c>
      <c r="AB171" s="128">
        <v>7471.3966540488555</v>
      </c>
      <c r="AC171" s="17"/>
      <c r="AD171" s="20"/>
      <c r="AE171" s="19"/>
    </row>
    <row r="172" spans="1:34" x14ac:dyDescent="0.3">
      <c r="A172" s="41">
        <v>2022</v>
      </c>
      <c r="B172" s="123">
        <v>4227.8751390269454</v>
      </c>
      <c r="C172" s="127">
        <v>6089.4841241807171</v>
      </c>
      <c r="D172" s="128">
        <v>8470.8351390753942</v>
      </c>
      <c r="E172" s="123">
        <v>5882.2729877853326</v>
      </c>
      <c r="F172" s="127">
        <v>7808.5183168312433</v>
      </c>
      <c r="G172" s="128">
        <v>11004.817520487653</v>
      </c>
      <c r="H172" s="123">
        <v>7537.8438559745291</v>
      </c>
      <c r="I172" s="127">
        <v>8370.5044042796817</v>
      </c>
      <c r="J172" s="128">
        <v>9010.1870685596987</v>
      </c>
      <c r="K172" s="123">
        <v>7439.9886144155416</v>
      </c>
      <c r="L172" s="127">
        <v>7945.9328721897382</v>
      </c>
      <c r="M172" s="128">
        <v>8303.5049215945837</v>
      </c>
      <c r="N172" s="123">
        <v>7467.6765984929289</v>
      </c>
      <c r="O172" s="127">
        <v>7689.4252236121611</v>
      </c>
      <c r="P172" s="128">
        <v>7933.3661916064611</v>
      </c>
      <c r="Q172" s="123">
        <v>7528.0272386788047</v>
      </c>
      <c r="R172" s="127">
        <v>7808.7788981957838</v>
      </c>
      <c r="S172" s="128">
        <v>8164.4167283829192</v>
      </c>
      <c r="T172" s="123">
        <v>6804.6194434136087</v>
      </c>
      <c r="U172" s="127">
        <v>7217.6693755229026</v>
      </c>
      <c r="V172" s="128">
        <v>7865.9690175620062</v>
      </c>
      <c r="W172" s="123">
        <v>6310.6472990439215</v>
      </c>
      <c r="X172" s="127">
        <v>6590.2369848360249</v>
      </c>
      <c r="Y172" s="128">
        <v>6960.3026261728301</v>
      </c>
      <c r="Z172" s="123">
        <v>7106.128373184245</v>
      </c>
      <c r="AA172" s="127">
        <v>7266.6250420489978</v>
      </c>
      <c r="AB172" s="128">
        <v>7471.3966540488555</v>
      </c>
      <c r="AC172" s="123">
        <v>7912.0196032074391</v>
      </c>
      <c r="AD172" s="127">
        <v>7912.0196032074391</v>
      </c>
      <c r="AE172" s="128">
        <v>7912.0196032074391</v>
      </c>
    </row>
    <row r="173" spans="1:34" x14ac:dyDescent="0.3">
      <c r="A173" s="41">
        <v>2023</v>
      </c>
      <c r="B173" s="123">
        <v>4227.8751390269454</v>
      </c>
      <c r="C173" s="127">
        <v>6039.6012314846075</v>
      </c>
      <c r="D173" s="128">
        <v>8470.8351390753942</v>
      </c>
      <c r="E173" s="123">
        <v>5465.930823591827</v>
      </c>
      <c r="F173" s="127">
        <v>7563.457892781902</v>
      </c>
      <c r="G173" s="128">
        <v>11004.817520487653</v>
      </c>
      <c r="H173" s="123">
        <v>7164.0378903651763</v>
      </c>
      <c r="I173" s="127">
        <v>8210.6059093820168</v>
      </c>
      <c r="J173" s="128">
        <v>9010.1870685596987</v>
      </c>
      <c r="K173" s="123">
        <v>7008.230460826022</v>
      </c>
      <c r="L173" s="127">
        <v>7767.1468474873154</v>
      </c>
      <c r="M173" s="128">
        <v>8303.5049215945837</v>
      </c>
      <c r="N173" s="123">
        <v>7068.5012427891252</v>
      </c>
      <c r="O173" s="127">
        <v>7459.0426072906203</v>
      </c>
      <c r="P173" s="128">
        <v>7933.3661916064611</v>
      </c>
      <c r="Q173" s="123">
        <v>7145.3987546629196</v>
      </c>
      <c r="R173" s="127">
        <v>7586.9894054301994</v>
      </c>
      <c r="S173" s="128">
        <v>8164.4167283829192</v>
      </c>
      <c r="T173" s="123">
        <v>6450.8362520308092</v>
      </c>
      <c r="U173" s="127">
        <v>6999.1262265199075</v>
      </c>
      <c r="V173" s="128">
        <v>7865.9690175620062</v>
      </c>
      <c r="W173" s="123">
        <v>5985.8196354794673</v>
      </c>
      <c r="X173" s="127">
        <v>6405.2041641676215</v>
      </c>
      <c r="Y173" s="128">
        <v>6960.3026261728301</v>
      </c>
      <c r="Z173" s="123">
        <v>6740.8600923196336</v>
      </c>
      <c r="AA173" s="127">
        <v>7061.8534300491419</v>
      </c>
      <c r="AB173" s="128">
        <v>7471.3966540488555</v>
      </c>
      <c r="AC173" s="123">
        <v>7443.663802958381</v>
      </c>
      <c r="AD173" s="127">
        <v>7642.0628978767181</v>
      </c>
      <c r="AE173" s="128">
        <v>7912.0196032074391</v>
      </c>
    </row>
    <row r="174" spans="1:34" x14ac:dyDescent="0.3">
      <c r="A174" s="41">
        <v>2024</v>
      </c>
      <c r="B174" s="123">
        <v>4227.8751390269454</v>
      </c>
      <c r="C174" s="127">
        <v>5989.7183387884979</v>
      </c>
      <c r="D174" s="128">
        <v>8470.8351390753942</v>
      </c>
      <c r="E174" s="123">
        <v>5049.5886593983187</v>
      </c>
      <c r="F174" s="127">
        <v>7318.3974687325654</v>
      </c>
      <c r="G174" s="128">
        <v>11004.817520487653</v>
      </c>
      <c r="H174" s="123">
        <v>6804.8648984985357</v>
      </c>
      <c r="I174" s="127">
        <v>8056.4719192920857</v>
      </c>
      <c r="J174" s="128">
        <v>9010.1870685596987</v>
      </c>
      <c r="K174" s="123">
        <v>6576.4723072365005</v>
      </c>
      <c r="L174" s="127">
        <v>7588.3608227848927</v>
      </c>
      <c r="M174" s="128">
        <v>8303.5049215945837</v>
      </c>
      <c r="N174" s="123">
        <v>6633.0299690787333</v>
      </c>
      <c r="O174" s="127">
        <v>7223.6028932453546</v>
      </c>
      <c r="P174" s="128">
        <v>7933.3661916064611</v>
      </c>
      <c r="Q174" s="123">
        <v>6706.3247533773228</v>
      </c>
      <c r="R174" s="127">
        <v>7349.1197046783755</v>
      </c>
      <c r="S174" s="128">
        <v>8164.4167283829192</v>
      </c>
      <c r="T174" s="123">
        <v>6097.0530606480097</v>
      </c>
      <c r="U174" s="127">
        <v>6790.6842050888727</v>
      </c>
      <c r="V174" s="128">
        <v>7865.9690175620062</v>
      </c>
      <c r="W174" s="123">
        <v>5660.9919719150148</v>
      </c>
      <c r="X174" s="127">
        <v>6220.1713434992207</v>
      </c>
      <c r="Y174" s="128">
        <v>6960.3026261728301</v>
      </c>
      <c r="Z174" s="123">
        <v>6375.5918114550232</v>
      </c>
      <c r="AA174" s="127">
        <v>6857.0818180492843</v>
      </c>
      <c r="AB174" s="128">
        <v>7471.3966540488555</v>
      </c>
      <c r="AC174" s="123">
        <v>6975.3080027093238</v>
      </c>
      <c r="AD174" s="127">
        <v>7372.1061925460008</v>
      </c>
      <c r="AE174" s="128">
        <v>7912.0196032074391</v>
      </c>
    </row>
    <row r="175" spans="1:34" x14ac:dyDescent="0.3">
      <c r="A175" s="41">
        <v>2025</v>
      </c>
      <c r="B175" s="123">
        <v>4227.8751390269454</v>
      </c>
      <c r="C175" s="127">
        <v>5939.8354460923883</v>
      </c>
      <c r="D175" s="128">
        <v>8470.8351390753942</v>
      </c>
      <c r="E175" s="123">
        <v>4633.2464952048131</v>
      </c>
      <c r="F175" s="127">
        <v>7073.3370446832241</v>
      </c>
      <c r="G175" s="128">
        <v>11004.817520487653</v>
      </c>
      <c r="H175" s="123">
        <v>6427.8662840725901</v>
      </c>
      <c r="I175" s="127">
        <v>7896.8394784624679</v>
      </c>
      <c r="J175" s="128">
        <v>9010.1870685596987</v>
      </c>
      <c r="K175" s="123">
        <v>6144.7141536469808</v>
      </c>
      <c r="L175" s="127">
        <v>7409.5747980824708</v>
      </c>
      <c r="M175" s="128">
        <v>8303.5049215945837</v>
      </c>
      <c r="N175" s="123">
        <v>6197.5586953683442</v>
      </c>
      <c r="O175" s="127">
        <v>6995.6238601935438</v>
      </c>
      <c r="P175" s="128">
        <v>7933.3661916064611</v>
      </c>
      <c r="Q175" s="123">
        <v>6267.2507520917243</v>
      </c>
      <c r="R175" s="127">
        <v>7119.2347033672577</v>
      </c>
      <c r="S175" s="128">
        <v>8164.4167283829192</v>
      </c>
      <c r="T175" s="123">
        <v>5743.2698692652111</v>
      </c>
      <c r="U175" s="127">
        <v>6591.8268916871075</v>
      </c>
      <c r="V175" s="128">
        <v>7865.9690175620062</v>
      </c>
      <c r="W175" s="123">
        <v>5336.1643083505587</v>
      </c>
      <c r="X175" s="127">
        <v>6035.1385228308172</v>
      </c>
      <c r="Y175" s="128">
        <v>6960.3026261728301</v>
      </c>
      <c r="Z175" s="123">
        <v>6010.3235305904127</v>
      </c>
      <c r="AA175" s="127">
        <v>6652.3102060494248</v>
      </c>
      <c r="AB175" s="128">
        <v>7471.3966540488555</v>
      </c>
      <c r="AC175" s="123">
        <v>6506.9522024602666</v>
      </c>
      <c r="AD175" s="127">
        <v>7102.1494872152798</v>
      </c>
      <c r="AE175" s="128">
        <v>7912.0196032074391</v>
      </c>
    </row>
    <row r="176" spans="1:34" x14ac:dyDescent="0.3">
      <c r="A176" s="41">
        <v>2026</v>
      </c>
      <c r="B176" s="123">
        <v>4227.8751390269454</v>
      </c>
      <c r="C176" s="127">
        <v>5889.9525533962778</v>
      </c>
      <c r="D176" s="128">
        <v>8470.8351390753942</v>
      </c>
      <c r="E176" s="123">
        <v>4216.9043310113066</v>
      </c>
      <c r="F176" s="127">
        <v>6828.2766206338865</v>
      </c>
      <c r="G176" s="128">
        <v>11004.817520487653</v>
      </c>
      <c r="H176" s="123">
        <v>6054.0603184632364</v>
      </c>
      <c r="I176" s="127">
        <v>7739.7788936239949</v>
      </c>
      <c r="J176" s="128">
        <v>9010.1870685596987</v>
      </c>
      <c r="K176" s="123">
        <v>5712.9560000574602</v>
      </c>
      <c r="L176" s="127">
        <v>7230.7887733800462</v>
      </c>
      <c r="M176" s="128">
        <v>8303.5049215945837</v>
      </c>
      <c r="N176" s="123">
        <v>5762.0874216579541</v>
      </c>
      <c r="O176" s="127">
        <v>6774.0157457428913</v>
      </c>
      <c r="P176" s="128">
        <v>7933.3661916064611</v>
      </c>
      <c r="Q176" s="123">
        <v>5828.1767508061275</v>
      </c>
      <c r="R176" s="127">
        <v>6895.5742691065543</v>
      </c>
      <c r="S176" s="128">
        <v>8164.4167283829192</v>
      </c>
      <c r="T176" s="123">
        <v>5389.4866778824116</v>
      </c>
      <c r="U176" s="127">
        <v>6402.0378667719151</v>
      </c>
      <c r="V176" s="128">
        <v>7865.9690175620062</v>
      </c>
      <c r="W176" s="123">
        <v>5017.5634030415695</v>
      </c>
      <c r="X176" s="127">
        <v>5857.3746598394391</v>
      </c>
      <c r="Y176" s="128">
        <v>6968.9510417373949</v>
      </c>
      <c r="Z176" s="123">
        <v>5645.0552497258022</v>
      </c>
      <c r="AA176" s="127">
        <v>6447.538594049568</v>
      </c>
      <c r="AB176" s="128">
        <v>7471.3966540488555</v>
      </c>
      <c r="AC176" s="123">
        <v>6038.5964022112094</v>
      </c>
      <c r="AD176" s="127">
        <v>6832.1927818845616</v>
      </c>
      <c r="AE176" s="128">
        <v>7912.0196032074391</v>
      </c>
    </row>
    <row r="177" spans="1:31" x14ac:dyDescent="0.3">
      <c r="A177" s="41">
        <v>2027</v>
      </c>
      <c r="B177" s="123">
        <v>4227.8751390269454</v>
      </c>
      <c r="C177" s="127">
        <v>5840.0696607001701</v>
      </c>
      <c r="D177" s="128">
        <v>8470.8351390753942</v>
      </c>
      <c r="E177" s="123">
        <v>4138.1798272787928</v>
      </c>
      <c r="F177" s="127">
        <v>6719.2684174431342</v>
      </c>
      <c r="G177" s="128">
        <v>11004.817520487653</v>
      </c>
      <c r="H177" s="123">
        <v>5691.6946777800049</v>
      </c>
      <c r="I177" s="127">
        <v>7592.4736246139992</v>
      </c>
      <c r="J177" s="128">
        <v>9010.1870685596987</v>
      </c>
      <c r="K177" s="123">
        <v>5281.1978464679396</v>
      </c>
      <c r="L177" s="127">
        <v>7052.0027486776244</v>
      </c>
      <c r="M177" s="128">
        <v>8303.5049215945837</v>
      </c>
      <c r="N177" s="123">
        <v>5326.6161479475631</v>
      </c>
      <c r="O177" s="127">
        <v>6559.2815171513785</v>
      </c>
      <c r="P177" s="128">
        <v>7933.3661916064611</v>
      </c>
      <c r="Q177" s="123">
        <v>5389.1027495205308</v>
      </c>
      <c r="R177" s="127">
        <v>6678.8070430965763</v>
      </c>
      <c r="S177" s="128">
        <v>8164.4167283829192</v>
      </c>
      <c r="T177" s="123">
        <v>5035.7034864996122</v>
      </c>
      <c r="U177" s="127">
        <v>6220.8007108006041</v>
      </c>
      <c r="V177" s="128">
        <v>7865.9690175620062</v>
      </c>
      <c r="W177" s="123">
        <v>4698.1591084913907</v>
      </c>
      <c r="X177" s="127">
        <v>5679.1556071062323</v>
      </c>
      <c r="Y177" s="128">
        <v>6977.6051453306345</v>
      </c>
      <c r="Z177" s="123">
        <v>5279.7869688611918</v>
      </c>
      <c r="AA177" s="127">
        <v>6242.7669820497113</v>
      </c>
      <c r="AB177" s="128">
        <v>7471.3966540488555</v>
      </c>
      <c r="AC177" s="123">
        <v>5570.2406019621521</v>
      </c>
      <c r="AD177" s="127">
        <v>6562.2360765538433</v>
      </c>
      <c r="AE177" s="128">
        <v>7912.0196032074391</v>
      </c>
    </row>
    <row r="178" spans="1:31" ht="14.4" customHeight="1" x14ac:dyDescent="0.3">
      <c r="A178" s="41">
        <v>2028</v>
      </c>
      <c r="B178" s="123">
        <v>4227.8751390269454</v>
      </c>
      <c r="C178" s="127">
        <v>5790.1867680040614</v>
      </c>
      <c r="D178" s="128">
        <v>8470.8351390753942</v>
      </c>
      <c r="E178" s="123">
        <v>4065.8583818096854</v>
      </c>
      <c r="F178" s="127">
        <v>6612.4772523361635</v>
      </c>
      <c r="G178" s="128">
        <v>11004.817520487653</v>
      </c>
      <c r="H178" s="123">
        <v>5317.8887121706512</v>
      </c>
      <c r="I178" s="127">
        <v>7436.9206794944712</v>
      </c>
      <c r="J178" s="128">
        <v>9010.1870685596987</v>
      </c>
      <c r="K178" s="123">
        <v>4849.439692878419</v>
      </c>
      <c r="L178" s="127">
        <v>6873.2167239752025</v>
      </c>
      <c r="M178" s="128">
        <v>8303.5049215945837</v>
      </c>
      <c r="N178" s="123">
        <v>4891.1448742371722</v>
      </c>
      <c r="O178" s="127">
        <v>6351.0020350373516</v>
      </c>
      <c r="P178" s="128">
        <v>7933.3661916064611</v>
      </c>
      <c r="Q178" s="123">
        <v>4950.0287482349331</v>
      </c>
      <c r="R178" s="127">
        <v>6468.6461690994711</v>
      </c>
      <c r="S178" s="128">
        <v>8164.4167283829192</v>
      </c>
      <c r="T178" s="123">
        <v>4681.9202951168136</v>
      </c>
      <c r="U178" s="127">
        <v>6047.5990042304857</v>
      </c>
      <c r="V178" s="128">
        <v>7865.9690175620062</v>
      </c>
      <c r="W178" s="123">
        <v>4377.9506396433462</v>
      </c>
      <c r="X178" s="127">
        <v>5500.480925197252</v>
      </c>
      <c r="Y178" s="128">
        <v>6986.2649549857615</v>
      </c>
      <c r="Z178" s="123">
        <v>4914.5186879965804</v>
      </c>
      <c r="AA178" s="127">
        <v>6037.9953700498527</v>
      </c>
      <c r="AB178" s="128">
        <v>7471.3966540488555</v>
      </c>
      <c r="AC178" s="123">
        <v>5101.8848017130949</v>
      </c>
      <c r="AD178" s="127">
        <v>6292.2793712231232</v>
      </c>
      <c r="AE178" s="128">
        <v>7912.0196032074391</v>
      </c>
    </row>
    <row r="179" spans="1:31" ht="14.4" customHeight="1" x14ac:dyDescent="0.3">
      <c r="A179" s="41">
        <v>2029</v>
      </c>
      <c r="B179" s="123">
        <v>4227.8751390269454</v>
      </c>
      <c r="C179" s="127">
        <v>5740.3038753079518</v>
      </c>
      <c r="D179" s="128">
        <v>8470.8351390753942</v>
      </c>
      <c r="E179" s="123">
        <v>3999.0233567879341</v>
      </c>
      <c r="F179" s="127">
        <v>6507.5860648791841</v>
      </c>
      <c r="G179" s="128">
        <v>11004.817520487653</v>
      </c>
      <c r="H179" s="123">
        <v>4955.5230714874197</v>
      </c>
      <c r="I179" s="127">
        <v>7285.181176016984</v>
      </c>
      <c r="J179" s="128">
        <v>9010.1870685596987</v>
      </c>
      <c r="K179" s="123">
        <v>4417.6815392888984</v>
      </c>
      <c r="L179" s="127">
        <v>6694.4306992727797</v>
      </c>
      <c r="M179" s="128">
        <v>8303.5049215945837</v>
      </c>
      <c r="N179" s="123">
        <v>4455.6736005267821</v>
      </c>
      <c r="O179" s="127">
        <v>6147.7522255031827</v>
      </c>
      <c r="P179" s="128">
        <v>7933.3661916064611</v>
      </c>
      <c r="Q179" s="123">
        <v>4510.9547469493355</v>
      </c>
      <c r="R179" s="127">
        <v>6263.2827158543269</v>
      </c>
      <c r="S179" s="128">
        <v>8164.4167283829192</v>
      </c>
      <c r="T179" s="123">
        <v>4328.1371037340141</v>
      </c>
      <c r="U179" s="127">
        <v>5881.9163275188612</v>
      </c>
      <c r="V179" s="128">
        <v>7865.9690175620062</v>
      </c>
      <c r="W179" s="123">
        <v>4056.9372080400367</v>
      </c>
      <c r="X179" s="127">
        <v>5321.3501727158809</v>
      </c>
      <c r="Y179" s="128">
        <v>6994.9304886767131</v>
      </c>
      <c r="Z179" s="123">
        <v>4549.25040713197</v>
      </c>
      <c r="AA179" s="127">
        <v>5833.223758049995</v>
      </c>
      <c r="AB179" s="128">
        <v>7471.3966540488555</v>
      </c>
      <c r="AC179" s="123">
        <v>4633.5290014640377</v>
      </c>
      <c r="AD179" s="127">
        <v>6022.322665892405</v>
      </c>
      <c r="AE179" s="128">
        <v>7912.0196032074391</v>
      </c>
    </row>
    <row r="180" spans="1:31" x14ac:dyDescent="0.3">
      <c r="A180" s="41">
        <v>2030</v>
      </c>
      <c r="B180" s="123">
        <v>4227.8751390269454</v>
      </c>
      <c r="C180" s="127">
        <v>5690.4209826118422</v>
      </c>
      <c r="D180" s="128">
        <v>8470.8351390753942</v>
      </c>
      <c r="E180" s="123">
        <v>3936.9412447179893</v>
      </c>
      <c r="F180" s="127">
        <v>6404.3411023331582</v>
      </c>
      <c r="G180" s="128">
        <v>11004.817520487653</v>
      </c>
      <c r="H180" s="123">
        <v>4581.7171058780659</v>
      </c>
      <c r="I180" s="127">
        <v>7131.5792940631536</v>
      </c>
      <c r="J180" s="128">
        <v>9010.1870685596987</v>
      </c>
      <c r="K180" s="123">
        <v>3985.9233856993806</v>
      </c>
      <c r="L180" s="127">
        <v>6515.6446745703579</v>
      </c>
      <c r="M180" s="128">
        <v>8303.5049215945837</v>
      </c>
      <c r="N180" s="123">
        <v>4020.2023268163948</v>
      </c>
      <c r="O180" s="127">
        <v>5950.7056788175069</v>
      </c>
      <c r="P180" s="128">
        <v>7933.3661916064611</v>
      </c>
      <c r="Q180" s="123">
        <v>4071.880745663741</v>
      </c>
      <c r="R180" s="127">
        <v>6064.3452878738944</v>
      </c>
      <c r="S180" s="128">
        <v>8164.4167283829192</v>
      </c>
      <c r="T180" s="123">
        <v>3974.353912351216</v>
      </c>
      <c r="U180" s="127">
        <v>5723.236261123041</v>
      </c>
      <c r="V180" s="128">
        <v>7865.9690175620062</v>
      </c>
      <c r="W180" s="123">
        <v>3735.1180218373761</v>
      </c>
      <c r="X180" s="127">
        <v>5141.7629063109762</v>
      </c>
      <c r="Y180" s="128">
        <v>7003.601764318526</v>
      </c>
      <c r="Z180" s="123">
        <v>4183.9821262673595</v>
      </c>
      <c r="AA180" s="127">
        <v>5628.4521460501383</v>
      </c>
      <c r="AB180" s="128">
        <v>7471.3966540488555</v>
      </c>
      <c r="AC180" s="123">
        <v>4165.1732012149778</v>
      </c>
      <c r="AD180" s="127">
        <v>5752.3659605616849</v>
      </c>
      <c r="AE180" s="128">
        <v>7912.0196032074391</v>
      </c>
    </row>
    <row r="181" spans="1:31" x14ac:dyDescent="0.3">
      <c r="A181" s="41">
        <v>2031</v>
      </c>
      <c r="B181" s="123">
        <v>4227.8751390269454</v>
      </c>
      <c r="C181" s="127">
        <v>5690.4209826118422</v>
      </c>
      <c r="D181" s="128">
        <v>8470.8351390753942</v>
      </c>
      <c r="E181" s="123">
        <v>3879.0159386572263</v>
      </c>
      <c r="F181" s="127">
        <v>6302.5361170385731</v>
      </c>
      <c r="G181" s="128">
        <v>11004.817520487653</v>
      </c>
      <c r="H181" s="123">
        <v>4277.0851979615454</v>
      </c>
      <c r="I181" s="127">
        <v>7006.5338820799516</v>
      </c>
      <c r="J181" s="128">
        <v>9010.1870685596987</v>
      </c>
      <c r="K181" s="123">
        <v>3946.2878516242372</v>
      </c>
      <c r="L181" s="127">
        <v>6478.2411441572513</v>
      </c>
      <c r="M181" s="128">
        <v>8303.5049215945837</v>
      </c>
      <c r="N181" s="123">
        <v>3980.2259271482053</v>
      </c>
      <c r="O181" s="127">
        <v>5890.4366015160931</v>
      </c>
      <c r="P181" s="128">
        <v>7933.3661916064611</v>
      </c>
      <c r="Q181" s="123">
        <v>4031.2872518079225</v>
      </c>
      <c r="R181" s="127">
        <v>6003.4203007529104</v>
      </c>
      <c r="S181" s="128">
        <v>8164.4167283829192</v>
      </c>
      <c r="T181" s="123">
        <v>3934.7326854049984</v>
      </c>
      <c r="U181" s="127">
        <v>5675.7630403125268</v>
      </c>
      <c r="V181" s="128">
        <v>7865.9690175620062</v>
      </c>
      <c r="W181" s="123">
        <v>3697.8678210788898</v>
      </c>
      <c r="X181" s="127">
        <v>5121.2865158337963</v>
      </c>
      <c r="Y181" s="128">
        <v>7003.601764318526</v>
      </c>
      <c r="Z181" s="123">
        <v>4131.6823496890174</v>
      </c>
      <c r="AA181" s="127">
        <v>5598.5665594339425</v>
      </c>
      <c r="AB181" s="128">
        <v>7471.3966540488555</v>
      </c>
      <c r="AC181" s="123">
        <v>4114.4366074125946</v>
      </c>
      <c r="AD181" s="127">
        <v>5723.3736212460362</v>
      </c>
      <c r="AE181" s="128">
        <v>7912.0196032074391</v>
      </c>
    </row>
    <row r="182" spans="1:31" x14ac:dyDescent="0.3">
      <c r="A182" s="41">
        <v>2032</v>
      </c>
      <c r="B182" s="123">
        <v>4227.8751390269454</v>
      </c>
      <c r="C182" s="127">
        <v>5690.4209826118422</v>
      </c>
      <c r="D182" s="128">
        <v>8470.8351390753942</v>
      </c>
      <c r="E182" s="123">
        <v>3824.7564266111813</v>
      </c>
      <c r="F182" s="127">
        <v>6283.688009404038</v>
      </c>
      <c r="G182" s="128">
        <v>11004.817520487653</v>
      </c>
      <c r="H182" s="123">
        <v>4223.608330283625</v>
      </c>
      <c r="I182" s="127">
        <v>6961.8367986476596</v>
      </c>
      <c r="J182" s="128">
        <v>9010.1870685596987</v>
      </c>
      <c r="K182" s="123">
        <v>3906.6523175490938</v>
      </c>
      <c r="L182" s="127">
        <v>6440.8376137441483</v>
      </c>
      <c r="M182" s="128">
        <v>8303.5049215945837</v>
      </c>
      <c r="N182" s="123">
        <v>3940.2495274800149</v>
      </c>
      <c r="O182" s="127">
        <v>5835.0295410418776</v>
      </c>
      <c r="P182" s="128">
        <v>7933.3661916064611</v>
      </c>
      <c r="Q182" s="123">
        <v>3990.6937579521041</v>
      </c>
      <c r="R182" s="127">
        <v>5947.4941925981902</v>
      </c>
      <c r="S182" s="128">
        <v>8164.4167283829192</v>
      </c>
      <c r="T182" s="123">
        <v>3895.1114584587808</v>
      </c>
      <c r="U182" s="127">
        <v>5634.2595907324267</v>
      </c>
      <c r="V182" s="128">
        <v>7865.9690175620062</v>
      </c>
      <c r="W182" s="123">
        <v>3660.6176203204031</v>
      </c>
      <c r="X182" s="127">
        <v>5100.8101253566156</v>
      </c>
      <c r="Y182" s="128">
        <v>7003.601764318526</v>
      </c>
      <c r="Z182" s="123">
        <v>4079.3825731106758</v>
      </c>
      <c r="AA182" s="127">
        <v>5568.6809728177468</v>
      </c>
      <c r="AB182" s="128">
        <v>7471.3966540488555</v>
      </c>
      <c r="AC182" s="123">
        <v>4063.700013610212</v>
      </c>
      <c r="AD182" s="127">
        <v>5694.3812819303894</v>
      </c>
      <c r="AE182" s="128">
        <v>7912.0196032074391</v>
      </c>
    </row>
    <row r="183" spans="1:31" ht="14.4" customHeight="1" x14ac:dyDescent="0.3">
      <c r="A183" s="41">
        <v>2033</v>
      </c>
      <c r="B183" s="123">
        <v>4227.8751390269454</v>
      </c>
      <c r="C183" s="127">
        <v>5690.4209826118422</v>
      </c>
      <c r="D183" s="128">
        <v>8470.8351390753942</v>
      </c>
      <c r="E183" s="123">
        <v>3773.7534489027162</v>
      </c>
      <c r="F183" s="127">
        <v>6265.9683355863353</v>
      </c>
      <c r="G183" s="128">
        <v>11004.817520487653</v>
      </c>
      <c r="H183" s="123">
        <v>4170.1314626057037</v>
      </c>
      <c r="I183" s="127">
        <v>6916.9623458366677</v>
      </c>
      <c r="J183" s="128">
        <v>9010.1870685596987</v>
      </c>
      <c r="K183" s="123">
        <v>3867.01678347395</v>
      </c>
      <c r="L183" s="127">
        <v>6403.4340833310416</v>
      </c>
      <c r="M183" s="128">
        <v>8303.5049215945837</v>
      </c>
      <c r="N183" s="123">
        <v>3900.2731278118263</v>
      </c>
      <c r="O183" s="127">
        <v>5784.4844973948575</v>
      </c>
      <c r="P183" s="128">
        <v>7933.3661916064611</v>
      </c>
      <c r="Q183" s="123">
        <v>3950.1002640962852</v>
      </c>
      <c r="R183" s="127">
        <v>5896.4848333553364</v>
      </c>
      <c r="S183" s="128">
        <v>8164.4167283829192</v>
      </c>
      <c r="T183" s="123">
        <v>3855.4902315125623</v>
      </c>
      <c r="U183" s="127">
        <v>5598.2094928400529</v>
      </c>
      <c r="V183" s="128">
        <v>7865.9690175620062</v>
      </c>
      <c r="W183" s="123">
        <v>3623.3674195619174</v>
      </c>
      <c r="X183" s="127">
        <v>5080.3337348794348</v>
      </c>
      <c r="Y183" s="128">
        <v>7003.601764318526</v>
      </c>
      <c r="Z183" s="123">
        <v>4027.0827965323342</v>
      </c>
      <c r="AA183" s="127">
        <v>5538.7953862015511</v>
      </c>
      <c r="AB183" s="128">
        <v>7471.3966540488555</v>
      </c>
      <c r="AC183" s="123">
        <v>4012.9634198078288</v>
      </c>
      <c r="AD183" s="127">
        <v>5665.3889426147416</v>
      </c>
      <c r="AE183" s="128">
        <v>7912.0196032074391</v>
      </c>
    </row>
    <row r="184" spans="1:31" ht="14.4" customHeight="1" x14ac:dyDescent="0.3">
      <c r="A184" s="41">
        <v>2034</v>
      </c>
      <c r="B184" s="123">
        <v>4227.8751390269454</v>
      </c>
      <c r="C184" s="127">
        <v>5690.4209826118422</v>
      </c>
      <c r="D184" s="128">
        <v>8470.8351390753942</v>
      </c>
      <c r="E184" s="123">
        <v>3725.6622942091603</v>
      </c>
      <c r="F184" s="127">
        <v>6249.2577844420448</v>
      </c>
      <c r="G184" s="128">
        <v>11004.817520487653</v>
      </c>
      <c r="H184" s="123">
        <v>4122.5077844248672</v>
      </c>
      <c r="I184" s="127">
        <v>6880.1581997565054</v>
      </c>
      <c r="J184" s="128">
        <v>9010.1870685596987</v>
      </c>
      <c r="K184" s="123">
        <v>3827.3812493988066</v>
      </c>
      <c r="L184" s="127">
        <v>6366.0305529179386</v>
      </c>
      <c r="M184" s="128">
        <v>8303.5049215945837</v>
      </c>
      <c r="N184" s="123">
        <v>3860.2967281436358</v>
      </c>
      <c r="O184" s="127">
        <v>5737.6278803064006</v>
      </c>
      <c r="P184" s="128">
        <v>7933.3661916064611</v>
      </c>
      <c r="Q184" s="123">
        <v>3909.5067702404663</v>
      </c>
      <c r="R184" s="127">
        <v>5848.9689436475992</v>
      </c>
      <c r="S184" s="128">
        <v>8164.4167283829192</v>
      </c>
      <c r="T184" s="123">
        <v>3815.8690045663443</v>
      </c>
      <c r="U184" s="127">
        <v>5567.0963270927114</v>
      </c>
      <c r="V184" s="128">
        <v>7865.9690175620062</v>
      </c>
      <c r="W184" s="123">
        <v>3586.1172188034307</v>
      </c>
      <c r="X184" s="127">
        <v>5059.8573444022568</v>
      </c>
      <c r="Y184" s="128">
        <v>7003.601764318526</v>
      </c>
      <c r="Z184" s="123">
        <v>3974.7830199539917</v>
      </c>
      <c r="AA184" s="127">
        <v>5508.9097995853554</v>
      </c>
      <c r="AB184" s="128">
        <v>7471.3966540488555</v>
      </c>
      <c r="AC184" s="123">
        <v>3962.2268260054461</v>
      </c>
      <c r="AD184" s="127">
        <v>5636.3966032990957</v>
      </c>
      <c r="AE184" s="128">
        <v>7912.0196032074391</v>
      </c>
    </row>
    <row r="185" spans="1:31" ht="14.4" customHeight="1" x14ac:dyDescent="0.3">
      <c r="A185" s="41">
        <v>2035</v>
      </c>
      <c r="B185" s="123">
        <v>4227.8751390269454</v>
      </c>
      <c r="C185" s="127">
        <v>5690.4209826118422</v>
      </c>
      <c r="D185" s="128">
        <v>8470.8351390753942</v>
      </c>
      <c r="E185" s="123">
        <v>3680.1898952989154</v>
      </c>
      <c r="F185" s="127">
        <v>6233.4549082945541</v>
      </c>
      <c r="G185" s="128">
        <v>11004.817520487653</v>
      </c>
      <c r="H185" s="123">
        <v>4076.2143765842775</v>
      </c>
      <c r="I185" s="127">
        <v>6840.2500895491012</v>
      </c>
      <c r="J185" s="128">
        <v>9010.1870685596987</v>
      </c>
      <c r="K185" s="123">
        <v>3787.7457153236633</v>
      </c>
      <c r="L185" s="127">
        <v>6328.6270225048338</v>
      </c>
      <c r="M185" s="128">
        <v>8303.5049215945837</v>
      </c>
      <c r="N185" s="123">
        <v>3820.3203284754463</v>
      </c>
      <c r="O185" s="127">
        <v>5695.4656242924775</v>
      </c>
      <c r="P185" s="128">
        <v>7933.3661916064611</v>
      </c>
      <c r="Q185" s="123">
        <v>3868.9132763846483</v>
      </c>
      <c r="R185" s="127">
        <v>5806.3248709028239</v>
      </c>
      <c r="S185" s="128">
        <v>8164.4167283829192</v>
      </c>
      <c r="T185" s="123">
        <v>3776.2477776201267</v>
      </c>
      <c r="U185" s="127">
        <v>5540.4036739477096</v>
      </c>
      <c r="V185" s="128">
        <v>7865.9690175620062</v>
      </c>
      <c r="W185" s="123">
        <v>3548.8670180449444</v>
      </c>
      <c r="X185" s="127">
        <v>5039.3809539250769</v>
      </c>
      <c r="Y185" s="128">
        <v>7003.601764318526</v>
      </c>
      <c r="Z185" s="123">
        <v>3922.4832433756501</v>
      </c>
      <c r="AA185" s="127">
        <v>5479.0242129691615</v>
      </c>
      <c r="AB185" s="128">
        <v>7471.3966540488555</v>
      </c>
      <c r="AC185" s="123">
        <v>3911.4902322030634</v>
      </c>
      <c r="AD185" s="127">
        <v>5607.404263983447</v>
      </c>
      <c r="AE185" s="128">
        <v>7912.0196032074391</v>
      </c>
    </row>
    <row r="186" spans="1:31" ht="14.4" customHeight="1" x14ac:dyDescent="0.3">
      <c r="A186" s="41">
        <v>2036</v>
      </c>
      <c r="B186" s="123">
        <v>4227.8751390269454</v>
      </c>
      <c r="C186" s="127">
        <v>5690.4209826118422</v>
      </c>
      <c r="D186" s="128">
        <v>8470.8351390753942</v>
      </c>
      <c r="E186" s="123">
        <v>3637.0849970446566</v>
      </c>
      <c r="F186" s="127">
        <v>6218.4727235302025</v>
      </c>
      <c r="G186" s="128">
        <v>11004.817520487653</v>
      </c>
      <c r="H186" s="123">
        <v>4034.4438879005288</v>
      </c>
      <c r="I186" s="127">
        <v>6802.9138353328408</v>
      </c>
      <c r="J186" s="128">
        <v>9010.1870685596987</v>
      </c>
      <c r="K186" s="123">
        <v>3748.1101812485203</v>
      </c>
      <c r="L186" s="127">
        <v>6291.223492091729</v>
      </c>
      <c r="M186" s="128">
        <v>8303.5049215945837</v>
      </c>
      <c r="N186" s="123">
        <v>3780.3439288072573</v>
      </c>
      <c r="O186" s="127">
        <v>5656.321171826472</v>
      </c>
      <c r="P186" s="128">
        <v>7933.3661916064611</v>
      </c>
      <c r="Q186" s="123">
        <v>3828.3197825288303</v>
      </c>
      <c r="R186" s="127">
        <v>5766.6454871663482</v>
      </c>
      <c r="S186" s="128">
        <v>8164.4167283829192</v>
      </c>
      <c r="T186" s="123">
        <v>3736.6265506739096</v>
      </c>
      <c r="U186" s="127">
        <v>5517.6151138623527</v>
      </c>
      <c r="V186" s="128">
        <v>7865.9690175620062</v>
      </c>
      <c r="W186" s="123">
        <v>3511.6168172864586</v>
      </c>
      <c r="X186" s="127">
        <v>5018.9045634478962</v>
      </c>
      <c r="Y186" s="128">
        <v>7003.601764318526</v>
      </c>
      <c r="Z186" s="123">
        <v>3870.183466797308</v>
      </c>
      <c r="AA186" s="127">
        <v>5449.1386263529657</v>
      </c>
      <c r="AB186" s="128">
        <v>7471.3966540488555</v>
      </c>
      <c r="AC186" s="123">
        <v>3860.7536384006803</v>
      </c>
      <c r="AD186" s="127">
        <v>5578.4119246677992</v>
      </c>
      <c r="AE186" s="128">
        <v>7912.0196032074391</v>
      </c>
    </row>
    <row r="187" spans="1:31" ht="14.4" customHeight="1" x14ac:dyDescent="0.3">
      <c r="A187" s="41">
        <v>2037</v>
      </c>
      <c r="B187" s="123">
        <v>4227.8751390269454</v>
      </c>
      <c r="C187" s="127">
        <v>5690.4209826118422</v>
      </c>
      <c r="D187" s="128">
        <v>8470.8351390753942</v>
      </c>
      <c r="E187" s="123">
        <v>3596.13055917359</v>
      </c>
      <c r="F187" s="127">
        <v>6204.2360836143107</v>
      </c>
      <c r="G187" s="128">
        <v>11004.817520487653</v>
      </c>
      <c r="H187" s="123">
        <v>3994.0036695570261</v>
      </c>
      <c r="I187" s="127">
        <v>6770.8986624775689</v>
      </c>
      <c r="J187" s="128">
        <v>9010.1870685596987</v>
      </c>
      <c r="K187" s="123">
        <v>3708.4746471733774</v>
      </c>
      <c r="L187" s="127">
        <v>6253.8199616786242</v>
      </c>
      <c r="M187" s="128">
        <v>8303.5049215945837</v>
      </c>
      <c r="N187" s="123">
        <v>3740.3675291390682</v>
      </c>
      <c r="O187" s="127">
        <v>5620.4460065373742</v>
      </c>
      <c r="P187" s="128">
        <v>7933.3661916064611</v>
      </c>
      <c r="Q187" s="123">
        <v>3787.7262886730109</v>
      </c>
      <c r="R187" s="127">
        <v>5730.3369768359325</v>
      </c>
      <c r="S187" s="128">
        <v>8164.4167283829192</v>
      </c>
      <c r="T187" s="123">
        <v>3697.0053237276916</v>
      </c>
      <c r="U187" s="127">
        <v>5498.2142272939509</v>
      </c>
      <c r="V187" s="128">
        <v>7865.9690175620062</v>
      </c>
      <c r="W187" s="123">
        <v>3474.3666165279715</v>
      </c>
      <c r="X187" s="127">
        <v>4998.4281729707154</v>
      </c>
      <c r="Y187" s="128">
        <v>7003.601764318526</v>
      </c>
      <c r="Z187" s="123">
        <v>3817.8836902189664</v>
      </c>
      <c r="AA187" s="127">
        <v>5419.25303973677</v>
      </c>
      <c r="AB187" s="128">
        <v>7471.3966540488555</v>
      </c>
      <c r="AC187" s="123">
        <v>3810.0170445982976</v>
      </c>
      <c r="AD187" s="127">
        <v>5549.4195853521514</v>
      </c>
      <c r="AE187" s="128">
        <v>7912.0196032074391</v>
      </c>
    </row>
    <row r="188" spans="1:31" ht="14.4" customHeight="1" x14ac:dyDescent="0.3">
      <c r="A188" s="41">
        <v>2038</v>
      </c>
      <c r="B188" s="123">
        <v>4227.8751390269454</v>
      </c>
      <c r="C188" s="127">
        <v>5690.4209826118422</v>
      </c>
      <c r="D188" s="128">
        <v>8470.8351390753942</v>
      </c>
      <c r="E188" s="123">
        <v>3557.137810810711</v>
      </c>
      <c r="F188" s="127">
        <v>6190.6796230862774</v>
      </c>
      <c r="G188" s="128">
        <v>11004.817520487653</v>
      </c>
      <c r="H188" s="123">
        <v>3954.893721553769</v>
      </c>
      <c r="I188" s="127">
        <v>6734.8926786015536</v>
      </c>
      <c r="J188" s="128">
        <v>9010.1870685596987</v>
      </c>
      <c r="K188" s="123">
        <v>3668.8391130982332</v>
      </c>
      <c r="L188" s="127">
        <v>6216.4164312655193</v>
      </c>
      <c r="M188" s="128">
        <v>8303.5049215945837</v>
      </c>
      <c r="N188" s="123">
        <v>3700.3911294708787</v>
      </c>
      <c r="O188" s="127">
        <v>5587.9239563015153</v>
      </c>
      <c r="P188" s="128">
        <v>7933.3661916064611</v>
      </c>
      <c r="Q188" s="123">
        <v>3747.1327948171925</v>
      </c>
      <c r="R188" s="127">
        <v>5697.4526046564306</v>
      </c>
      <c r="S188" s="128">
        <v>8164.4167283829192</v>
      </c>
      <c r="T188" s="123">
        <v>3657.3840967814735</v>
      </c>
      <c r="U188" s="127">
        <v>5481.6845946998092</v>
      </c>
      <c r="V188" s="128">
        <v>7865.9690175620062</v>
      </c>
      <c r="W188" s="123">
        <v>3437.1164157694852</v>
      </c>
      <c r="X188" s="127">
        <v>4977.9517824935365</v>
      </c>
      <c r="Y188" s="128">
        <v>7003.601764318526</v>
      </c>
      <c r="Z188" s="123">
        <v>3765.5839136406244</v>
      </c>
      <c r="AA188" s="127">
        <v>5389.3674531205743</v>
      </c>
      <c r="AB188" s="128">
        <v>7471.3966540488555</v>
      </c>
      <c r="AC188" s="123">
        <v>3759.2804507959145</v>
      </c>
      <c r="AD188" s="127">
        <v>5520.4272460365046</v>
      </c>
      <c r="AE188" s="128">
        <v>7912.0196032074391</v>
      </c>
    </row>
    <row r="189" spans="1:31" ht="14.4" customHeight="1" x14ac:dyDescent="0.3">
      <c r="A189" s="41">
        <v>2039</v>
      </c>
      <c r="B189" s="123">
        <v>4227.8751390269454</v>
      </c>
      <c r="C189" s="127">
        <v>5690.4209826118422</v>
      </c>
      <c r="D189" s="128">
        <v>8470.8351390753942</v>
      </c>
      <c r="E189" s="123">
        <v>3519.9415438110473</v>
      </c>
      <c r="F189" s="127">
        <v>6177.7461298050421</v>
      </c>
      <c r="G189" s="128">
        <v>11004.817520487653</v>
      </c>
      <c r="H189" s="123">
        <v>3915.7837735505123</v>
      </c>
      <c r="I189" s="127">
        <v>6705.8927851841736</v>
      </c>
      <c r="J189" s="128">
        <v>9010.1870685596987</v>
      </c>
      <c r="K189" s="123">
        <v>3629.2035790230898</v>
      </c>
      <c r="L189" s="127">
        <v>6179.0129008524136</v>
      </c>
      <c r="M189" s="128">
        <v>8303.5049215945837</v>
      </c>
      <c r="N189" s="123">
        <v>3660.4147298026878</v>
      </c>
      <c r="O189" s="127">
        <v>5557.8329144792551</v>
      </c>
      <c r="P189" s="128">
        <v>7933.3661916064611</v>
      </c>
      <c r="Q189" s="123">
        <v>3706.5393009613736</v>
      </c>
      <c r="R189" s="127">
        <v>5667.0368731896615</v>
      </c>
      <c r="S189" s="128">
        <v>8164.4167283829192</v>
      </c>
      <c r="T189" s="123">
        <v>3617.7628698352551</v>
      </c>
      <c r="U189" s="127">
        <v>5467.5097965372333</v>
      </c>
      <c r="V189" s="128">
        <v>7865.9690175620062</v>
      </c>
      <c r="W189" s="123">
        <v>3399.866215010999</v>
      </c>
      <c r="X189" s="127">
        <v>4957.4753920163557</v>
      </c>
      <c r="Y189" s="128">
        <v>7003.601764318526</v>
      </c>
      <c r="Z189" s="123">
        <v>3713.2841370622823</v>
      </c>
      <c r="AA189" s="127">
        <v>5359.4818665043786</v>
      </c>
      <c r="AB189" s="128">
        <v>7471.3966540488555</v>
      </c>
      <c r="AC189" s="123">
        <v>3708.5438569935318</v>
      </c>
      <c r="AD189" s="127">
        <v>5491.4349067208568</v>
      </c>
      <c r="AE189" s="128">
        <v>7912.0196032074391</v>
      </c>
    </row>
    <row r="190" spans="1:31" ht="14.4" customHeight="1" x14ac:dyDescent="0.3">
      <c r="A190" s="41">
        <v>2040</v>
      </c>
      <c r="B190" s="123">
        <v>4227.8751390269454</v>
      </c>
      <c r="C190" s="127">
        <v>5690.4209826118422</v>
      </c>
      <c r="D190" s="128">
        <v>8470.8351390753942</v>
      </c>
      <c r="E190" s="123">
        <v>3484.3963474534744</v>
      </c>
      <c r="F190" s="127">
        <v>6165.3852426497024</v>
      </c>
      <c r="G190" s="128">
        <v>11004.817520487653</v>
      </c>
      <c r="H190" s="123">
        <v>3881.1967447040956</v>
      </c>
      <c r="I190" s="127">
        <v>6674.4097204649988</v>
      </c>
      <c r="J190" s="128">
        <v>9010.1870685596987</v>
      </c>
      <c r="K190" s="123">
        <v>3589.568044947946</v>
      </c>
      <c r="L190" s="127">
        <v>6141.6093704393097</v>
      </c>
      <c r="M190" s="128">
        <v>8303.5049215945837</v>
      </c>
      <c r="N190" s="123">
        <v>3620.4383301344992</v>
      </c>
      <c r="O190" s="127">
        <v>5530.0890531942632</v>
      </c>
      <c r="P190" s="128">
        <v>7933.3661916064611</v>
      </c>
      <c r="Q190" s="123">
        <v>3665.9458071055556</v>
      </c>
      <c r="R190" s="127">
        <v>5638.9133226091708</v>
      </c>
      <c r="S190" s="128">
        <v>8164.4167283829192</v>
      </c>
      <c r="T190" s="123">
        <v>3578.1416428890388</v>
      </c>
      <c r="U190" s="127">
        <v>5453.3349983746602</v>
      </c>
      <c r="V190" s="128">
        <v>7865.9690175620062</v>
      </c>
      <c r="W190" s="123">
        <v>3362.6160142525127</v>
      </c>
      <c r="X190" s="127">
        <v>4936.9990015391759</v>
      </c>
      <c r="Y190" s="128">
        <v>7003.601764318526</v>
      </c>
      <c r="Z190" s="123">
        <v>3660.9843604839407</v>
      </c>
      <c r="AA190" s="127">
        <v>5329.5962798881828</v>
      </c>
      <c r="AB190" s="128">
        <v>7471.3966540488555</v>
      </c>
      <c r="AC190" s="123">
        <v>3657.8072631911486</v>
      </c>
      <c r="AD190" s="127">
        <v>5462.442567405209</v>
      </c>
      <c r="AE190" s="128">
        <v>7912.0196032074391</v>
      </c>
    </row>
    <row r="191" spans="1:31" ht="14.4" customHeight="1" x14ac:dyDescent="0.3">
      <c r="A191" s="41">
        <v>2041</v>
      </c>
      <c r="B191" s="123">
        <v>4227.8751390269454</v>
      </c>
      <c r="C191" s="127">
        <v>5690.4209826118422</v>
      </c>
      <c r="D191" s="128">
        <v>8470.8351390753942</v>
      </c>
      <c r="E191" s="123">
        <v>3450.373567181919</v>
      </c>
      <c r="F191" s="127">
        <v>6153.5523995627245</v>
      </c>
      <c r="G191" s="128">
        <v>11004.817520487653</v>
      </c>
      <c r="H191" s="123">
        <v>3846.6097158576781</v>
      </c>
      <c r="I191" s="127">
        <v>6647.3608902133128</v>
      </c>
      <c r="J191" s="128">
        <v>9010.1870685596987</v>
      </c>
      <c r="K191" s="123">
        <v>3549.9325108728035</v>
      </c>
      <c r="L191" s="127">
        <v>6104.2058400262049</v>
      </c>
      <c r="M191" s="128">
        <v>8303.5049215945837</v>
      </c>
      <c r="N191" s="123">
        <v>3580.4619304663088</v>
      </c>
      <c r="O191" s="127">
        <v>5504.0217494358913</v>
      </c>
      <c r="P191" s="128">
        <v>7933.3661916064611</v>
      </c>
      <c r="Q191" s="123">
        <v>3625.3523132497357</v>
      </c>
      <c r="R191" s="127">
        <v>5612.5326398745365</v>
      </c>
      <c r="S191" s="128">
        <v>8164.4167283829192</v>
      </c>
      <c r="T191" s="123">
        <v>3538.5204159428199</v>
      </c>
      <c r="U191" s="127">
        <v>5439.1602002120862</v>
      </c>
      <c r="V191" s="128">
        <v>7865.9690175620062</v>
      </c>
      <c r="W191" s="123">
        <v>3325.365813494027</v>
      </c>
      <c r="X191" s="127">
        <v>4916.522611061996</v>
      </c>
      <c r="Y191" s="128">
        <v>7003.601764318526</v>
      </c>
      <c r="Z191" s="123">
        <v>3608.6845839055986</v>
      </c>
      <c r="AA191" s="127">
        <v>5299.7106932719862</v>
      </c>
      <c r="AB191" s="128">
        <v>7471.3966540488555</v>
      </c>
      <c r="AC191" s="123">
        <v>3607.070669388766</v>
      </c>
      <c r="AD191" s="127">
        <v>5433.4502280895631</v>
      </c>
      <c r="AE191" s="128">
        <v>7912.0196032074391</v>
      </c>
    </row>
    <row r="192" spans="1:31" x14ac:dyDescent="0.3">
      <c r="A192" s="41">
        <v>2042</v>
      </c>
      <c r="B192" s="123">
        <v>4227.8751390269454</v>
      </c>
      <c r="C192" s="127">
        <v>5690.4209826118422</v>
      </c>
      <c r="D192" s="128">
        <v>8470.8351390753942</v>
      </c>
      <c r="E192" s="123">
        <v>3417.758826403392</v>
      </c>
      <c r="F192" s="127">
        <v>6142.2079802867474</v>
      </c>
      <c r="G192" s="128">
        <v>11004.817520487653</v>
      </c>
      <c r="H192" s="123">
        <v>3814.6832276917553</v>
      </c>
      <c r="I192" s="127">
        <v>6622.7065465740725</v>
      </c>
      <c r="J192" s="128">
        <v>9010.1870685596987</v>
      </c>
      <c r="K192" s="123">
        <v>3510.2969767976592</v>
      </c>
      <c r="L192" s="127">
        <v>6066.8023096131001</v>
      </c>
      <c r="M192" s="128">
        <v>8303.5049215945837</v>
      </c>
      <c r="N192" s="123">
        <v>3540.4855307981188</v>
      </c>
      <c r="O192" s="127">
        <v>5479.7986589568</v>
      </c>
      <c r="P192" s="128">
        <v>7933.3661916064611</v>
      </c>
      <c r="Q192" s="123">
        <v>3584.7588193939182</v>
      </c>
      <c r="R192" s="127">
        <v>5588.0218869890641</v>
      </c>
      <c r="S192" s="128">
        <v>8164.4167283829192</v>
      </c>
      <c r="T192" s="123">
        <v>3498.8991889966028</v>
      </c>
      <c r="U192" s="127">
        <v>5424.9854020495113</v>
      </c>
      <c r="V192" s="128">
        <v>7865.9690175620062</v>
      </c>
      <c r="W192" s="123">
        <v>3288.1156127355403</v>
      </c>
      <c r="X192" s="127">
        <v>4896.0462205848171</v>
      </c>
      <c r="Y192" s="128">
        <v>7003.601764318526</v>
      </c>
      <c r="Z192" s="123">
        <v>3556.3848073272566</v>
      </c>
      <c r="AA192" s="127">
        <v>5269.8251066557905</v>
      </c>
      <c r="AB192" s="128">
        <v>7471.3966540488555</v>
      </c>
      <c r="AC192" s="123">
        <v>3556.3340755863828</v>
      </c>
      <c r="AD192" s="127">
        <v>5404.4578887739144</v>
      </c>
      <c r="AE192" s="128">
        <v>7912.0196032074391</v>
      </c>
    </row>
    <row r="193" spans="1:31" x14ac:dyDescent="0.3">
      <c r="A193" s="41">
        <v>2043</v>
      </c>
      <c r="B193" s="123">
        <v>4227.8751390269454</v>
      </c>
      <c r="C193" s="127">
        <v>5690.4209826118422</v>
      </c>
      <c r="D193" s="128">
        <v>8470.8351390753942</v>
      </c>
      <c r="E193" s="123">
        <v>3386.4499906380593</v>
      </c>
      <c r="F193" s="127">
        <v>6131.3166020685449</v>
      </c>
      <c r="G193" s="128">
        <v>11004.817520487653</v>
      </c>
      <c r="H193" s="123">
        <v>3781.4264691855847</v>
      </c>
      <c r="I193" s="127">
        <v>6594.6821847395395</v>
      </c>
      <c r="J193" s="128">
        <v>9010.1870685596987</v>
      </c>
      <c r="K193" s="123">
        <v>3470.6614427225168</v>
      </c>
      <c r="L193" s="127">
        <v>6029.3987791999962</v>
      </c>
      <c r="M193" s="128">
        <v>8303.5049215945837</v>
      </c>
      <c r="N193" s="123">
        <v>3500.5091311299302</v>
      </c>
      <c r="O193" s="127">
        <v>5457.2521260043277</v>
      </c>
      <c r="P193" s="128">
        <v>7933.3661916064611</v>
      </c>
      <c r="Q193" s="123">
        <v>3544.1653255380988</v>
      </c>
      <c r="R193" s="127">
        <v>5565.2334694358497</v>
      </c>
      <c r="S193" s="128">
        <v>8164.4167283829192</v>
      </c>
      <c r="T193" s="123">
        <v>3459.2779620503838</v>
      </c>
      <c r="U193" s="127">
        <v>5410.8106038869373</v>
      </c>
      <c r="V193" s="128">
        <v>7865.9690175620062</v>
      </c>
      <c r="W193" s="123">
        <v>3250.865411977054</v>
      </c>
      <c r="X193" s="127">
        <v>4875.5698301076363</v>
      </c>
      <c r="Y193" s="128">
        <v>7003.601764318526</v>
      </c>
      <c r="Z193" s="123">
        <v>3504.0850307489145</v>
      </c>
      <c r="AA193" s="127">
        <v>5239.9395200395966</v>
      </c>
      <c r="AB193" s="128">
        <v>7471.3966540488555</v>
      </c>
      <c r="AC193" s="123">
        <v>3505.5974817840001</v>
      </c>
      <c r="AD193" s="127">
        <v>5375.4655494582667</v>
      </c>
      <c r="AE193" s="128">
        <v>7912.0196032074391</v>
      </c>
    </row>
    <row r="194" spans="1:31" x14ac:dyDescent="0.3">
      <c r="A194" s="41">
        <v>2044</v>
      </c>
      <c r="B194" s="123">
        <v>4227.8751390269454</v>
      </c>
      <c r="C194" s="127">
        <v>5690.4209826118422</v>
      </c>
      <c r="D194" s="128">
        <v>8470.8351390753942</v>
      </c>
      <c r="E194" s="123">
        <v>3356.3554824648186</v>
      </c>
      <c r="F194" s="127">
        <v>6120.8465366778109</v>
      </c>
      <c r="G194" s="128">
        <v>11004.817520487653</v>
      </c>
      <c r="H194" s="123">
        <v>3752.6926298362537</v>
      </c>
      <c r="I194" s="127">
        <v>6572.599697091443</v>
      </c>
      <c r="J194" s="128">
        <v>9010.1870685596987</v>
      </c>
      <c r="K194" s="123">
        <v>3431.0259086473734</v>
      </c>
      <c r="L194" s="127">
        <v>5991.9952487868904</v>
      </c>
      <c r="M194" s="128">
        <v>8303.5049215945837</v>
      </c>
      <c r="N194" s="123">
        <v>3460.5327314617407</v>
      </c>
      <c r="O194" s="127">
        <v>5435.460043938836</v>
      </c>
      <c r="P194" s="128">
        <v>7933.3661916064611</v>
      </c>
      <c r="Q194" s="123">
        <v>3503.5718316822808</v>
      </c>
      <c r="R194" s="127">
        <v>5543.1708247495071</v>
      </c>
      <c r="S194" s="128">
        <v>8164.4167283829192</v>
      </c>
      <c r="T194" s="123">
        <v>3419.6567351041663</v>
      </c>
      <c r="U194" s="127">
        <v>5396.6358057243633</v>
      </c>
      <c r="V194" s="128">
        <v>7865.9690175620062</v>
      </c>
      <c r="W194" s="123">
        <v>3213.6152112185678</v>
      </c>
      <c r="X194" s="127">
        <v>4855.0934396304565</v>
      </c>
      <c r="Y194" s="128">
        <v>7003.601764318526</v>
      </c>
      <c r="Z194" s="123">
        <v>3451.7852541705729</v>
      </c>
      <c r="AA194" s="127">
        <v>5210.0539334234008</v>
      </c>
      <c r="AB194" s="128">
        <v>7471.3966540488555</v>
      </c>
      <c r="AC194" s="123">
        <v>3454.860887981617</v>
      </c>
      <c r="AD194" s="127">
        <v>5346.4732101426198</v>
      </c>
      <c r="AE194" s="128">
        <v>7912.0196032074391</v>
      </c>
    </row>
    <row r="195" spans="1:31" ht="15" customHeight="1" x14ac:dyDescent="0.3">
      <c r="A195" s="41">
        <v>2045</v>
      </c>
      <c r="B195" s="123">
        <v>4227.8751390269454</v>
      </c>
      <c r="C195" s="127">
        <v>5690.4209826118422</v>
      </c>
      <c r="D195" s="128">
        <v>8470.8351390753942</v>
      </c>
      <c r="E195" s="123">
        <v>3327.3928770730322</v>
      </c>
      <c r="F195" s="127">
        <v>6110.7692244737736</v>
      </c>
      <c r="G195" s="128">
        <v>11004.817520487653</v>
      </c>
      <c r="H195" s="123">
        <v>3722.0964120105778</v>
      </c>
      <c r="I195" s="127">
        <v>6546.9698218693538</v>
      </c>
      <c r="J195" s="128">
        <v>9010.1870685596987</v>
      </c>
      <c r="K195" s="123">
        <v>3391.3903745722291</v>
      </c>
      <c r="L195" s="127">
        <v>5954.5917183737856</v>
      </c>
      <c r="M195" s="128">
        <v>8303.5049215945837</v>
      </c>
      <c r="N195" s="123">
        <v>3420.5563317935503</v>
      </c>
      <c r="O195" s="127">
        <v>5414.0871012549978</v>
      </c>
      <c r="P195" s="128">
        <v>7933.3661916064611</v>
      </c>
      <c r="Q195" s="123">
        <v>3462.9783378264624</v>
      </c>
      <c r="R195" s="127">
        <v>5521.538763896232</v>
      </c>
      <c r="S195" s="128">
        <v>8164.4167283829192</v>
      </c>
      <c r="T195" s="123">
        <v>3380.0355081579492</v>
      </c>
      <c r="U195" s="127">
        <v>5382.4610075617875</v>
      </c>
      <c r="V195" s="128">
        <v>7865.9690175620062</v>
      </c>
      <c r="W195" s="123">
        <v>3176.3650104600815</v>
      </c>
      <c r="X195" s="127">
        <v>4834.6170491532766</v>
      </c>
      <c r="Y195" s="128">
        <v>7003.601764318526</v>
      </c>
      <c r="Z195" s="123">
        <v>3399.4854775922313</v>
      </c>
      <c r="AA195" s="127">
        <v>5180.168346807206</v>
      </c>
      <c r="AB195" s="128">
        <v>7471.3966540488555</v>
      </c>
      <c r="AC195" s="123">
        <v>3404.1242941792343</v>
      </c>
      <c r="AD195" s="127">
        <v>5317.480870826972</v>
      </c>
      <c r="AE195" s="128">
        <v>7912.0196032074391</v>
      </c>
    </row>
    <row r="196" spans="1:31" ht="15" customHeight="1" x14ac:dyDescent="0.3">
      <c r="A196" s="41">
        <v>2046</v>
      </c>
      <c r="B196" s="123">
        <v>4227.8751390269454</v>
      </c>
      <c r="C196" s="127">
        <v>5690.4209826118422</v>
      </c>
      <c r="D196" s="128">
        <v>8470.8351390753942</v>
      </c>
      <c r="E196" s="123">
        <v>3299.4877241064419</v>
      </c>
      <c r="F196" s="127">
        <v>6101.0588667401653</v>
      </c>
      <c r="G196" s="128">
        <v>11004.817520487653</v>
      </c>
      <c r="H196" s="123">
        <v>3694.6928430014932</v>
      </c>
      <c r="I196" s="127">
        <v>6527.2818208337021</v>
      </c>
      <c r="J196" s="128">
        <v>9010.1870685596987</v>
      </c>
      <c r="K196" s="123">
        <v>3351.7548404970867</v>
      </c>
      <c r="L196" s="127">
        <v>5917.1881879606817</v>
      </c>
      <c r="M196" s="128">
        <v>8303.5049215945837</v>
      </c>
      <c r="N196" s="123">
        <v>3380.5799321253617</v>
      </c>
      <c r="O196" s="127">
        <v>5393.7200930871322</v>
      </c>
      <c r="P196" s="128">
        <v>7933.3661916064611</v>
      </c>
      <c r="Q196" s="123">
        <v>3422.3848439706435</v>
      </c>
      <c r="R196" s="127">
        <v>5500.9154652259904</v>
      </c>
      <c r="S196" s="128">
        <v>8164.4167283829192</v>
      </c>
      <c r="T196" s="123">
        <v>3340.4142812117311</v>
      </c>
      <c r="U196" s="127">
        <v>5368.2862093992126</v>
      </c>
      <c r="V196" s="128">
        <v>7865.9690175620062</v>
      </c>
      <c r="W196" s="123">
        <v>3139.1148097015953</v>
      </c>
      <c r="X196" s="127">
        <v>4814.1406586760968</v>
      </c>
      <c r="Y196" s="128">
        <v>7003.601764318526</v>
      </c>
      <c r="Z196" s="123">
        <v>3347.1857010138892</v>
      </c>
      <c r="AA196" s="127">
        <v>5150.2827601910103</v>
      </c>
      <c r="AB196" s="128">
        <v>7471.3966540488555</v>
      </c>
      <c r="AC196" s="123">
        <v>3353.3877003768512</v>
      </c>
      <c r="AD196" s="127">
        <v>5288.4885315113243</v>
      </c>
      <c r="AE196" s="128">
        <v>7912.0196032074391</v>
      </c>
    </row>
    <row r="197" spans="1:31" ht="15" customHeight="1" x14ac:dyDescent="0.3">
      <c r="A197" s="41">
        <v>2047</v>
      </c>
      <c r="B197" s="123">
        <v>4227.8751390269454</v>
      </c>
      <c r="C197" s="127">
        <v>5690.4209826118422</v>
      </c>
      <c r="D197" s="128">
        <v>8470.8351390753942</v>
      </c>
      <c r="E197" s="123">
        <v>3272.5725533589684</v>
      </c>
      <c r="F197" s="127">
        <v>6091.6920816135653</v>
      </c>
      <c r="G197" s="128">
        <v>11004.817520487653</v>
      </c>
      <c r="H197" s="123">
        <v>3667.2892739924087</v>
      </c>
      <c r="I197" s="127">
        <v>6508.6580360702465</v>
      </c>
      <c r="J197" s="128">
        <v>9010.1870685596987</v>
      </c>
      <c r="K197" s="123">
        <v>3312.1193064219433</v>
      </c>
      <c r="L197" s="127">
        <v>5879.784657547576</v>
      </c>
      <c r="M197" s="128">
        <v>8303.5049215945837</v>
      </c>
      <c r="N197" s="123">
        <v>3340.6035324571712</v>
      </c>
      <c r="O197" s="127">
        <v>5372.7662897849495</v>
      </c>
      <c r="P197" s="128">
        <v>7933.3661916064611</v>
      </c>
      <c r="Q197" s="123">
        <v>3381.791350114825</v>
      </c>
      <c r="R197" s="127">
        <v>5479.7139882057782</v>
      </c>
      <c r="S197" s="128">
        <v>8164.4167283829192</v>
      </c>
      <c r="T197" s="123">
        <v>3300.7930542655131</v>
      </c>
      <c r="U197" s="127">
        <v>5354.1114112366395</v>
      </c>
      <c r="V197" s="128">
        <v>7865.9690175620062</v>
      </c>
      <c r="W197" s="123">
        <v>3101.864608943109</v>
      </c>
      <c r="X197" s="127">
        <v>4793.664268198916</v>
      </c>
      <c r="Y197" s="128">
        <v>7003.601764318526</v>
      </c>
      <c r="Z197" s="123">
        <v>3294.8859244355472</v>
      </c>
      <c r="AA197" s="127">
        <v>5120.3971735748146</v>
      </c>
      <c r="AB197" s="128">
        <v>7471.3966540488555</v>
      </c>
      <c r="AC197" s="123">
        <v>3302.6511065744685</v>
      </c>
      <c r="AD197" s="127">
        <v>5259.4961921956765</v>
      </c>
      <c r="AE197" s="128">
        <v>7912.0196032074391</v>
      </c>
    </row>
    <row r="198" spans="1:31" ht="15" customHeight="1" x14ac:dyDescent="0.3">
      <c r="A198" s="41">
        <v>2048</v>
      </c>
      <c r="B198" s="123">
        <v>4227.8751390269454</v>
      </c>
      <c r="C198" s="127">
        <v>5690.4209826118422</v>
      </c>
      <c r="D198" s="128">
        <v>8470.8351390753942</v>
      </c>
      <c r="E198" s="123">
        <v>3246.5860309037089</v>
      </c>
      <c r="F198" s="127">
        <v>6082.6476120489851</v>
      </c>
      <c r="G198" s="128">
        <v>11004.817520487653</v>
      </c>
      <c r="H198" s="123">
        <v>3638.0233265069787</v>
      </c>
      <c r="I198" s="127">
        <v>6489.4134584813428</v>
      </c>
      <c r="J198" s="128">
        <v>9010.1870685596987</v>
      </c>
      <c r="K198" s="123">
        <v>3272.483772346799</v>
      </c>
      <c r="L198" s="127">
        <v>5842.3811271344721</v>
      </c>
      <c r="M198" s="128">
        <v>8303.5049215945837</v>
      </c>
      <c r="N198" s="123">
        <v>3300.6271327889813</v>
      </c>
      <c r="O198" s="127">
        <v>5351.9801422354294</v>
      </c>
      <c r="P198" s="128">
        <v>7933.3661916064611</v>
      </c>
      <c r="Q198" s="123">
        <v>3341.1978562590057</v>
      </c>
      <c r="R198" s="127">
        <v>5458.6601057024718</v>
      </c>
      <c r="S198" s="128">
        <v>8164.4167283829192</v>
      </c>
      <c r="T198" s="123">
        <v>3261.1718273192951</v>
      </c>
      <c r="U198" s="127">
        <v>5339.9366130740636</v>
      </c>
      <c r="V198" s="128">
        <v>7865.9690175620062</v>
      </c>
      <c r="W198" s="123">
        <v>3064.6144081846228</v>
      </c>
      <c r="X198" s="127">
        <v>4773.1878777217362</v>
      </c>
      <c r="Y198" s="128">
        <v>7003.601764318526</v>
      </c>
      <c r="Z198" s="123">
        <v>3242.5861478572051</v>
      </c>
      <c r="AA198" s="127">
        <v>5090.5115869586189</v>
      </c>
      <c r="AB198" s="128">
        <v>7471.3966540488555</v>
      </c>
      <c r="AC198" s="123">
        <v>3251.9145127720853</v>
      </c>
      <c r="AD198" s="127">
        <v>5230.5038528800296</v>
      </c>
      <c r="AE198" s="128">
        <v>7912.0196032074391</v>
      </c>
    </row>
    <row r="199" spans="1:31" ht="15" customHeight="1" x14ac:dyDescent="0.3">
      <c r="A199" s="41">
        <v>2049</v>
      </c>
      <c r="B199" s="123">
        <v>4227.8751390269454</v>
      </c>
      <c r="C199" s="127">
        <v>5690.4209826118422</v>
      </c>
      <c r="D199" s="128">
        <v>8470.8351390753942</v>
      </c>
      <c r="E199" s="123">
        <v>3221.4722391090377</v>
      </c>
      <c r="F199" s="127">
        <v>6073.9060766425137</v>
      </c>
      <c r="G199" s="128">
        <v>11004.817520487653</v>
      </c>
      <c r="H199" s="123">
        <v>3615.1426766547334</v>
      </c>
      <c r="I199" s="127">
        <v>6469.814142135041</v>
      </c>
      <c r="J199" s="128">
        <v>9010.1870685596987</v>
      </c>
      <c r="K199" s="123">
        <v>3232.8482382716561</v>
      </c>
      <c r="L199" s="127">
        <v>5804.9775967213682</v>
      </c>
      <c r="M199" s="128">
        <v>8303.5049215945837</v>
      </c>
      <c r="N199" s="123">
        <v>3260.6507331207918</v>
      </c>
      <c r="O199" s="127">
        <v>5330.774855304252</v>
      </c>
      <c r="P199" s="128">
        <v>7933.3661916064611</v>
      </c>
      <c r="Q199" s="123">
        <v>3300.6043624031881</v>
      </c>
      <c r="R199" s="127">
        <v>5437.1756393660999</v>
      </c>
      <c r="S199" s="128">
        <v>8164.4167283829192</v>
      </c>
      <c r="T199" s="123">
        <v>3221.5506003730779</v>
      </c>
      <c r="U199" s="127">
        <v>5325.7618149114896</v>
      </c>
      <c r="V199" s="128">
        <v>7865.9690175620062</v>
      </c>
      <c r="W199" s="123">
        <v>3027.3642074261356</v>
      </c>
      <c r="X199" s="127">
        <v>4752.7114872445563</v>
      </c>
      <c r="Y199" s="128">
        <v>7003.601764318526</v>
      </c>
      <c r="Z199" s="123">
        <v>3190.2863712788635</v>
      </c>
      <c r="AA199" s="127">
        <v>5060.6260003424231</v>
      </c>
      <c r="AB199" s="128">
        <v>7471.3966540488555</v>
      </c>
      <c r="AC199" s="123">
        <v>3201.1779189697027</v>
      </c>
      <c r="AD199" s="127">
        <v>5201.5115135643819</v>
      </c>
      <c r="AE199" s="128">
        <v>7912.0196032074391</v>
      </c>
    </row>
    <row r="200" spans="1:31" ht="15" customHeight="1" thickBot="1" x14ac:dyDescent="0.35">
      <c r="A200" s="42">
        <v>2050</v>
      </c>
      <c r="B200" s="124">
        <v>4227.8751390269454</v>
      </c>
      <c r="C200" s="129">
        <v>5690.4209826118422</v>
      </c>
      <c r="D200" s="130">
        <v>8470.8351390753942</v>
      </c>
      <c r="E200" s="124">
        <v>3197.1800593190792</v>
      </c>
      <c r="F200" s="129">
        <v>6065.4497559713909</v>
      </c>
      <c r="G200" s="130">
        <v>11004.817520487653</v>
      </c>
      <c r="H200" s="124">
        <v>3590.3996483261431</v>
      </c>
      <c r="I200" s="129">
        <v>6455.0924837029752</v>
      </c>
      <c r="J200" s="130">
        <v>9010.1870685596987</v>
      </c>
      <c r="K200" s="124">
        <v>3193.2127041965141</v>
      </c>
      <c r="L200" s="129">
        <v>5767.5740663082615</v>
      </c>
      <c r="M200" s="130">
        <v>8303.5049215945837</v>
      </c>
      <c r="N200" s="124">
        <v>3220.6743334526032</v>
      </c>
      <c r="O200" s="129">
        <v>5308.1444944754512</v>
      </c>
      <c r="P200" s="130">
        <v>7933.3661916064611</v>
      </c>
      <c r="Q200" s="124">
        <v>3260.0108685473697</v>
      </c>
      <c r="R200" s="129">
        <v>5414.2518270136316</v>
      </c>
      <c r="S200" s="130">
        <v>8164.4167283829192</v>
      </c>
      <c r="T200" s="124">
        <v>3181.9293734268608</v>
      </c>
      <c r="U200" s="129">
        <v>5311.5870167489165</v>
      </c>
      <c r="V200" s="130">
        <v>7865.9690175620062</v>
      </c>
      <c r="W200" s="124">
        <v>2990.1140066676498</v>
      </c>
      <c r="X200" s="129">
        <v>4732.2350967673774</v>
      </c>
      <c r="Y200" s="130">
        <v>7003.601764318526</v>
      </c>
      <c r="Z200" s="124">
        <v>3137.9865947005187</v>
      </c>
      <c r="AA200" s="129">
        <v>5030.7404137262292</v>
      </c>
      <c r="AB200" s="130">
        <v>7471.3966540488555</v>
      </c>
      <c r="AC200" s="124">
        <v>3150.4413251673172</v>
      </c>
      <c r="AD200" s="129">
        <v>5172.5191742487359</v>
      </c>
      <c r="AE200" s="130">
        <v>7912.0196032074391</v>
      </c>
    </row>
    <row r="201" spans="1:31" ht="15" customHeight="1" thickBot="1" x14ac:dyDescent="0.35">
      <c r="A201" s="121"/>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row>
    <row r="202" spans="1:31" ht="21.6" customHeight="1" thickBot="1" x14ac:dyDescent="0.4">
      <c r="A202" s="289" t="s">
        <v>0</v>
      </c>
      <c r="B202" s="356" t="s">
        <v>422</v>
      </c>
      <c r="C202" s="357"/>
      <c r="D202" s="357"/>
      <c r="E202" s="357"/>
      <c r="F202" s="357"/>
      <c r="G202" s="357"/>
      <c r="H202" s="357"/>
      <c r="I202" s="357"/>
      <c r="J202" s="357"/>
      <c r="K202" s="357"/>
      <c r="L202" s="357"/>
      <c r="M202" s="357"/>
      <c r="N202" s="357"/>
      <c r="O202" s="357"/>
      <c r="P202" s="357"/>
      <c r="Q202" s="357"/>
      <c r="R202" s="357"/>
      <c r="S202" s="357"/>
      <c r="T202" s="357"/>
      <c r="U202" s="357"/>
      <c r="V202" s="357"/>
      <c r="W202" s="357"/>
      <c r="X202" s="357"/>
      <c r="Y202" s="357"/>
      <c r="Z202" s="357"/>
      <c r="AA202" s="357"/>
      <c r="AB202" s="357"/>
      <c r="AC202" s="357"/>
      <c r="AD202" s="357"/>
      <c r="AE202" s="358"/>
    </row>
    <row r="203" spans="1:31" ht="18.600000000000001" customHeight="1" thickBot="1" x14ac:dyDescent="0.35">
      <c r="A203" s="344"/>
      <c r="B203" s="338" t="s">
        <v>412</v>
      </c>
      <c r="C203" s="339"/>
      <c r="D203" s="340"/>
      <c r="E203" s="338" t="s">
        <v>413</v>
      </c>
      <c r="F203" s="339"/>
      <c r="G203" s="340"/>
      <c r="H203" s="338" t="s">
        <v>414</v>
      </c>
      <c r="I203" s="339"/>
      <c r="J203" s="340"/>
      <c r="K203" s="338" t="s">
        <v>415</v>
      </c>
      <c r="L203" s="339"/>
      <c r="M203" s="340"/>
      <c r="N203" s="338" t="s">
        <v>416</v>
      </c>
      <c r="O203" s="339"/>
      <c r="P203" s="340"/>
      <c r="Q203" s="338" t="s">
        <v>406</v>
      </c>
      <c r="R203" s="339"/>
      <c r="S203" s="340"/>
      <c r="T203" s="338" t="s">
        <v>407</v>
      </c>
      <c r="U203" s="339"/>
      <c r="V203" s="340"/>
      <c r="W203" s="338" t="s">
        <v>408</v>
      </c>
      <c r="X203" s="339"/>
      <c r="Y203" s="340"/>
      <c r="Z203" s="338" t="s">
        <v>312</v>
      </c>
      <c r="AA203" s="339"/>
      <c r="AB203" s="340"/>
      <c r="AC203" s="338" t="s">
        <v>409</v>
      </c>
      <c r="AD203" s="339"/>
      <c r="AE203" s="340"/>
    </row>
    <row r="204" spans="1:31" ht="15" customHeight="1" thickBot="1" x14ac:dyDescent="0.35">
      <c r="A204" s="290"/>
      <c r="B204" s="78" t="s">
        <v>69</v>
      </c>
      <c r="C204" s="79" t="s">
        <v>70</v>
      </c>
      <c r="D204" s="80" t="s">
        <v>71</v>
      </c>
      <c r="E204" s="78" t="s">
        <v>69</v>
      </c>
      <c r="F204" s="79" t="s">
        <v>70</v>
      </c>
      <c r="G204" s="80" t="s">
        <v>71</v>
      </c>
      <c r="H204" s="78" t="s">
        <v>69</v>
      </c>
      <c r="I204" s="79" t="s">
        <v>70</v>
      </c>
      <c r="J204" s="80" t="s">
        <v>71</v>
      </c>
      <c r="K204" s="78" t="s">
        <v>69</v>
      </c>
      <c r="L204" s="79" t="s">
        <v>70</v>
      </c>
      <c r="M204" s="80" t="s">
        <v>71</v>
      </c>
      <c r="N204" s="78" t="s">
        <v>69</v>
      </c>
      <c r="O204" s="79" t="s">
        <v>70</v>
      </c>
      <c r="P204" s="80" t="s">
        <v>71</v>
      </c>
      <c r="Q204" s="78" t="s">
        <v>69</v>
      </c>
      <c r="R204" s="79" t="s">
        <v>70</v>
      </c>
      <c r="S204" s="80" t="s">
        <v>71</v>
      </c>
      <c r="T204" s="78" t="s">
        <v>69</v>
      </c>
      <c r="U204" s="79" t="s">
        <v>70</v>
      </c>
      <c r="V204" s="80" t="s">
        <v>71</v>
      </c>
      <c r="W204" s="78" t="s">
        <v>69</v>
      </c>
      <c r="X204" s="79" t="s">
        <v>70</v>
      </c>
      <c r="Y204" s="80" t="s">
        <v>71</v>
      </c>
      <c r="Z204" s="78" t="s">
        <v>69</v>
      </c>
      <c r="AA204" s="79" t="s">
        <v>70</v>
      </c>
      <c r="AB204" s="80" t="s">
        <v>71</v>
      </c>
      <c r="AC204" s="78" t="s">
        <v>69</v>
      </c>
      <c r="AD204" s="79" t="s">
        <v>70</v>
      </c>
      <c r="AE204" s="80" t="s">
        <v>71</v>
      </c>
    </row>
    <row r="205" spans="1:31" ht="15" customHeight="1" x14ac:dyDescent="0.3">
      <c r="A205" s="41">
        <v>2015</v>
      </c>
      <c r="B205" s="122">
        <v>238.36088731829918</v>
      </c>
      <c r="C205" s="125">
        <v>312.38167190624387</v>
      </c>
      <c r="D205" s="126">
        <v>423.77781830324028</v>
      </c>
      <c r="E205" s="122">
        <v>211.4442722267645</v>
      </c>
      <c r="F205" s="125">
        <v>284.48621360162565</v>
      </c>
      <c r="G205" s="126">
        <v>400.03403141124329</v>
      </c>
      <c r="H205" s="122">
        <v>166.32122426338051</v>
      </c>
      <c r="I205" s="125">
        <v>190.94918908139698</v>
      </c>
      <c r="J205" s="126">
        <v>231.56933884617735</v>
      </c>
      <c r="K205" s="15"/>
      <c r="L205" s="16"/>
      <c r="M205" s="18"/>
      <c r="N205" s="15"/>
      <c r="O205" s="16"/>
      <c r="P205" s="18"/>
      <c r="Q205" s="15"/>
      <c r="R205" s="16"/>
      <c r="S205" s="18"/>
      <c r="T205" s="15"/>
      <c r="U205" s="16"/>
      <c r="V205" s="18"/>
      <c r="W205" s="15"/>
      <c r="X205" s="16"/>
      <c r="Y205" s="18"/>
      <c r="Z205" s="15"/>
      <c r="AA205" s="16"/>
      <c r="AB205" s="18"/>
      <c r="AC205" s="15"/>
      <c r="AD205" s="16"/>
      <c r="AE205" s="18"/>
    </row>
    <row r="206" spans="1:31" x14ac:dyDescent="0.3">
      <c r="A206" s="41">
        <v>2016</v>
      </c>
      <c r="B206" s="123">
        <v>170.6721430647215</v>
      </c>
      <c r="C206" s="127">
        <v>289.80225433762428</v>
      </c>
      <c r="D206" s="128">
        <v>484.13947757255983</v>
      </c>
      <c r="E206" s="123">
        <v>200.91221945956326</v>
      </c>
      <c r="F206" s="127">
        <v>274.73137262953202</v>
      </c>
      <c r="G206" s="128">
        <v>400.03403141124329</v>
      </c>
      <c r="H206" s="123">
        <v>159.77574547337531</v>
      </c>
      <c r="I206" s="127">
        <v>183.40370658736325</v>
      </c>
      <c r="J206" s="128">
        <v>222.37449959355104</v>
      </c>
      <c r="K206" s="231">
        <v>154.37328068924953</v>
      </c>
      <c r="L206" s="236">
        <v>176.16977471193448</v>
      </c>
      <c r="M206" s="232">
        <v>208.54451942294122</v>
      </c>
      <c r="N206" s="17"/>
      <c r="O206" s="20"/>
      <c r="P206" s="19"/>
      <c r="Q206" s="17"/>
      <c r="R206" s="20"/>
      <c r="S206" s="19"/>
      <c r="T206" s="17"/>
      <c r="U206" s="20"/>
      <c r="V206" s="19"/>
      <c r="W206" s="17"/>
      <c r="X206" s="20"/>
      <c r="Y206" s="19"/>
      <c r="Z206" s="17"/>
      <c r="AA206" s="20"/>
      <c r="AB206" s="19"/>
      <c r="AC206" s="17"/>
      <c r="AD206" s="20"/>
      <c r="AE206" s="19"/>
    </row>
    <row r="207" spans="1:31" ht="14.4" customHeight="1" x14ac:dyDescent="0.3">
      <c r="A207" s="41">
        <v>2017</v>
      </c>
      <c r="B207" s="123">
        <v>155.62875696338895</v>
      </c>
      <c r="C207" s="127">
        <v>264.72126829612154</v>
      </c>
      <c r="D207" s="128">
        <v>442.96900990188152</v>
      </c>
      <c r="E207" s="123">
        <v>190.38016669236202</v>
      </c>
      <c r="F207" s="127">
        <v>264.97653165743856</v>
      </c>
      <c r="G207" s="128">
        <v>400.03403141124329</v>
      </c>
      <c r="H207" s="123">
        <v>153.38946102045736</v>
      </c>
      <c r="I207" s="127">
        <v>176.04173978747167</v>
      </c>
      <c r="J207" s="128">
        <v>213.40329048111869</v>
      </c>
      <c r="K207" s="231">
        <v>148.92512804386911</v>
      </c>
      <c r="L207" s="236">
        <v>170.02876087402319</v>
      </c>
      <c r="M207" s="232">
        <v>201.44453294129946</v>
      </c>
      <c r="N207" s="123">
        <v>141.01764330130632</v>
      </c>
      <c r="O207" s="127">
        <v>154.9938729777011</v>
      </c>
      <c r="P207" s="128">
        <v>177.16963179808221</v>
      </c>
      <c r="Q207" s="17"/>
      <c r="R207" s="20"/>
      <c r="S207" s="19"/>
      <c r="T207" s="17"/>
      <c r="U207" s="20"/>
      <c r="V207" s="19"/>
      <c r="W207" s="17"/>
      <c r="X207" s="20"/>
      <c r="Y207" s="19"/>
      <c r="Z207" s="17"/>
      <c r="AA207" s="20"/>
      <c r="AB207" s="19"/>
      <c r="AC207" s="17"/>
      <c r="AD207" s="20"/>
      <c r="AE207" s="19"/>
    </row>
    <row r="208" spans="1:31" ht="14.4" customHeight="1" x14ac:dyDescent="0.3">
      <c r="A208" s="41">
        <v>2018</v>
      </c>
      <c r="B208" s="123">
        <v>140.86671749499789</v>
      </c>
      <c r="C208" s="127">
        <v>240.17898596697304</v>
      </c>
      <c r="D208" s="128">
        <v>402.78908328976343</v>
      </c>
      <c r="E208" s="123">
        <v>179.84811392516085</v>
      </c>
      <c r="F208" s="127">
        <v>255.22169068534507</v>
      </c>
      <c r="G208" s="128">
        <v>400.03403141124329</v>
      </c>
      <c r="H208" s="123">
        <v>146.20398223045214</v>
      </c>
      <c r="I208" s="127">
        <v>168.0695906267712</v>
      </c>
      <c r="J208" s="128">
        <v>204.20845122849232</v>
      </c>
      <c r="K208" s="231">
        <v>143.50031032273642</v>
      </c>
      <c r="L208" s="236">
        <v>163.90424713823785</v>
      </c>
      <c r="M208" s="232">
        <v>194.34454645965769</v>
      </c>
      <c r="N208" s="123">
        <v>131.88694124196735</v>
      </c>
      <c r="O208" s="127">
        <v>146.61990218575079</v>
      </c>
      <c r="P208" s="128">
        <v>170.80621131624275</v>
      </c>
      <c r="Q208" s="123">
        <v>107.49168405987707</v>
      </c>
      <c r="R208" s="127">
        <v>118.01790292617592</v>
      </c>
      <c r="S208" s="128">
        <v>134.71960977232456</v>
      </c>
      <c r="T208" s="17"/>
      <c r="U208" s="20"/>
      <c r="V208" s="19"/>
      <c r="W208" s="17"/>
      <c r="X208" s="20"/>
      <c r="Y208" s="19"/>
      <c r="Z208" s="17"/>
      <c r="AA208" s="20"/>
      <c r="AB208" s="19"/>
      <c r="AC208" s="17"/>
      <c r="AD208" s="20"/>
      <c r="AE208" s="19"/>
    </row>
    <row r="209" spans="1:31" ht="14.4" customHeight="1" x14ac:dyDescent="0.3">
      <c r="A209" s="41">
        <v>2019</v>
      </c>
      <c r="B209" s="123">
        <v>125.82333139366538</v>
      </c>
      <c r="C209" s="127">
        <v>215.20337485216106</v>
      </c>
      <c r="D209" s="128">
        <v>361.95790106075481</v>
      </c>
      <c r="E209" s="123">
        <v>169.31606115795961</v>
      </c>
      <c r="F209" s="127">
        <v>245.46684971325146</v>
      </c>
      <c r="G209" s="128">
        <v>400.03403141124329</v>
      </c>
      <c r="H209" s="123">
        <v>140.46580564611662</v>
      </c>
      <c r="I209" s="127">
        <v>165.09788776517962</v>
      </c>
      <c r="J209" s="128">
        <v>204.20845122849232</v>
      </c>
      <c r="K209" s="231">
        <v>138.0985023373718</v>
      </c>
      <c r="L209" s="236">
        <v>157.79601208662427</v>
      </c>
      <c r="M209" s="232">
        <v>187.24455997801587</v>
      </c>
      <c r="N209" s="123">
        <v>123.29681215219264</v>
      </c>
      <c r="O209" s="127">
        <v>138.61062092573681</v>
      </c>
      <c r="P209" s="128">
        <v>164.44279083440335</v>
      </c>
      <c r="Q209" s="123">
        <v>103.43195464017217</v>
      </c>
      <c r="R209" s="127">
        <v>113.54089195002608</v>
      </c>
      <c r="S209" s="128">
        <v>129.58050784817431</v>
      </c>
      <c r="T209" s="123">
        <v>90.50969411251036</v>
      </c>
      <c r="U209" s="127">
        <v>98.578681336903855</v>
      </c>
      <c r="V209" s="128">
        <v>112.2068307556502</v>
      </c>
      <c r="W209" s="17"/>
      <c r="X209" s="20"/>
      <c r="Y209" s="19"/>
      <c r="Z209" s="17"/>
      <c r="AA209" s="20"/>
      <c r="AB209" s="19"/>
      <c r="AC209" s="17"/>
      <c r="AD209" s="20"/>
      <c r="AE209" s="19"/>
    </row>
    <row r="210" spans="1:31" ht="14.4" customHeight="1" x14ac:dyDescent="0.3">
      <c r="A210" s="41">
        <v>2020</v>
      </c>
      <c r="B210" s="123">
        <v>111.08682953916346</v>
      </c>
      <c r="C210" s="127">
        <v>190.67379062704811</v>
      </c>
      <c r="D210" s="128">
        <v>321.77797444863666</v>
      </c>
      <c r="E210" s="123">
        <v>158.7840083907584</v>
      </c>
      <c r="F210" s="127">
        <v>235.71200874115794</v>
      </c>
      <c r="G210" s="128">
        <v>400.03403141124329</v>
      </c>
      <c r="H210" s="123">
        <v>134.88682339886824</v>
      </c>
      <c r="I210" s="127">
        <v>162.21865405179918</v>
      </c>
      <c r="J210" s="128">
        <v>204.20845122849232</v>
      </c>
      <c r="K210" s="231">
        <v>132.08637117876665</v>
      </c>
      <c r="L210" s="236">
        <v>151.28183034236454</v>
      </c>
      <c r="M210" s="232">
        <v>180.14457349637411</v>
      </c>
      <c r="N210" s="123">
        <v>115.21741786459808</v>
      </c>
      <c r="O210" s="127">
        <v>130.94693784701997</v>
      </c>
      <c r="P210" s="128">
        <v>158.07937035256387</v>
      </c>
      <c r="Q210" s="123">
        <v>99.372225220467257</v>
      </c>
      <c r="R210" s="127">
        <v>109.06388097387625</v>
      </c>
      <c r="S210" s="128">
        <v>124.44140592402404</v>
      </c>
      <c r="T210" s="123">
        <v>87.233996990496721</v>
      </c>
      <c r="U210" s="127">
        <v>96.569034668600423</v>
      </c>
      <c r="V210" s="128">
        <v>112.2068307556502</v>
      </c>
      <c r="W210" s="123">
        <v>68.120800175747434</v>
      </c>
      <c r="X210" s="127">
        <v>74.952145533164355</v>
      </c>
      <c r="Y210" s="128">
        <v>85.843692531823649</v>
      </c>
      <c r="Z210" s="17"/>
      <c r="AA210" s="20"/>
      <c r="AB210" s="19"/>
      <c r="AC210" s="17"/>
      <c r="AD210" s="20"/>
      <c r="AE210" s="19"/>
    </row>
    <row r="211" spans="1:31" ht="14.4" customHeight="1" x14ac:dyDescent="0.3">
      <c r="A211" s="41">
        <v>2021</v>
      </c>
      <c r="B211" s="123">
        <v>111.08682953916346</v>
      </c>
      <c r="C211" s="127">
        <v>189.31787762301187</v>
      </c>
      <c r="D211" s="128">
        <v>321.77797444863666</v>
      </c>
      <c r="E211" s="123">
        <v>147.72670000359651</v>
      </c>
      <c r="F211" s="127">
        <v>228.85703088066933</v>
      </c>
      <c r="G211" s="128">
        <v>400.03403141124329</v>
      </c>
      <c r="H211" s="123">
        <v>129.14864681453267</v>
      </c>
      <c r="I211" s="127">
        <v>159.28536145177225</v>
      </c>
      <c r="J211" s="128">
        <v>204.20845122849232</v>
      </c>
      <c r="K211" s="231">
        <v>125.4649969109887</v>
      </c>
      <c r="L211" s="236">
        <v>147.99780990782514</v>
      </c>
      <c r="M211" s="232">
        <v>180.14457349637411</v>
      </c>
      <c r="N211" s="123">
        <v>107.61972208993028</v>
      </c>
      <c r="O211" s="127">
        <v>123.61024782543956</v>
      </c>
      <c r="P211" s="128">
        <v>151.71594987072447</v>
      </c>
      <c r="Q211" s="123">
        <v>95.312495800762392</v>
      </c>
      <c r="R211" s="127">
        <v>104.58686999772647</v>
      </c>
      <c r="S211" s="128">
        <v>119.30230399987383</v>
      </c>
      <c r="T211" s="123">
        <v>83.958299868483067</v>
      </c>
      <c r="U211" s="127">
        <v>94.335624740269836</v>
      </c>
      <c r="V211" s="128">
        <v>112.2068307556502</v>
      </c>
      <c r="W211" s="123">
        <v>65.271929135747214</v>
      </c>
      <c r="X211" s="127">
        <v>73.19776235082962</v>
      </c>
      <c r="Y211" s="128">
        <v>85.830009246296811</v>
      </c>
      <c r="Z211" s="123">
        <v>97.015757008656749</v>
      </c>
      <c r="AA211" s="127">
        <v>107.11957781821567</v>
      </c>
      <c r="AB211" s="128">
        <v>124.58906624078871</v>
      </c>
      <c r="AC211" s="17"/>
      <c r="AD211" s="20"/>
      <c r="AE211" s="19"/>
    </row>
    <row r="212" spans="1:31" ht="14.4" customHeight="1" x14ac:dyDescent="0.3">
      <c r="A212" s="41">
        <v>2022</v>
      </c>
      <c r="B212" s="123">
        <v>111.08682953916346</v>
      </c>
      <c r="C212" s="127">
        <v>187.96196461897551</v>
      </c>
      <c r="D212" s="128">
        <v>321.77797444863666</v>
      </c>
      <c r="E212" s="123">
        <v>136.66939161643461</v>
      </c>
      <c r="F212" s="127">
        <v>222.0020530201808</v>
      </c>
      <c r="G212" s="128">
        <v>400.03403141124329</v>
      </c>
      <c r="H212" s="123">
        <v>123.56966456728431</v>
      </c>
      <c r="I212" s="127">
        <v>156.46018662503838</v>
      </c>
      <c r="J212" s="128">
        <v>204.20845122849232</v>
      </c>
      <c r="K212" s="231">
        <v>118.86763344354105</v>
      </c>
      <c r="L212" s="236">
        <v>144.72577525784243</v>
      </c>
      <c r="M212" s="232">
        <v>180.14457349637411</v>
      </c>
      <c r="N212" s="123">
        <v>98.327346870415269</v>
      </c>
      <c r="O212" s="127">
        <v>117.5540794634787</v>
      </c>
      <c r="P212" s="128">
        <v>150.97794987072447</v>
      </c>
      <c r="Q212" s="123">
        <v>88.03587258063726</v>
      </c>
      <c r="R212" s="127">
        <v>99.842302259597105</v>
      </c>
      <c r="S212" s="128">
        <v>118.55857144987382</v>
      </c>
      <c r="T212" s="123">
        <v>79.355354295576902</v>
      </c>
      <c r="U212" s="127">
        <v>90.951450803835371</v>
      </c>
      <c r="V212" s="128">
        <v>111.49383095565021</v>
      </c>
      <c r="W212" s="123">
        <v>61.793100326966687</v>
      </c>
      <c r="X212" s="127">
        <v>70.813103804733018</v>
      </c>
      <c r="Y212" s="128">
        <v>85.185505292763068</v>
      </c>
      <c r="Z212" s="123">
        <v>92.494583025236295</v>
      </c>
      <c r="AA212" s="127">
        <v>104.30374225849471</v>
      </c>
      <c r="AB212" s="128">
        <v>124.58906624078871</v>
      </c>
      <c r="AC212" s="123">
        <v>101.24307914680463</v>
      </c>
      <c r="AD212" s="127">
        <v>111.78512661317244</v>
      </c>
      <c r="AE212" s="128">
        <v>130.01230815519821</v>
      </c>
    </row>
    <row r="213" spans="1:31" ht="14.4" customHeight="1" x14ac:dyDescent="0.3">
      <c r="A213" s="41">
        <v>2023</v>
      </c>
      <c r="B213" s="123">
        <v>111.08682953916346</v>
      </c>
      <c r="C213" s="127">
        <v>186.60605161493925</v>
      </c>
      <c r="D213" s="128">
        <v>321.77797444863666</v>
      </c>
      <c r="E213" s="123">
        <v>125.61208322927273</v>
      </c>
      <c r="F213" s="127">
        <v>215.14707515969209</v>
      </c>
      <c r="G213" s="128">
        <v>400.03403141124329</v>
      </c>
      <c r="H213" s="123">
        <v>117.83148798294877</v>
      </c>
      <c r="I213" s="127">
        <v>153.5581912751752</v>
      </c>
      <c r="J213" s="128">
        <v>204.20845122849232</v>
      </c>
      <c r="K213" s="231">
        <v>112.29374918725135</v>
      </c>
      <c r="L213" s="236">
        <v>141.46551868333799</v>
      </c>
      <c r="M213" s="232">
        <v>180.14457349637411</v>
      </c>
      <c r="N213" s="123">
        <v>90.940072798899109</v>
      </c>
      <c r="O213" s="127">
        <v>112.66879328385762</v>
      </c>
      <c r="P213" s="128">
        <v>150.97794987072447</v>
      </c>
      <c r="Q213" s="123">
        <v>83.852489467269478</v>
      </c>
      <c r="R213" s="127">
        <v>97.208112996210815</v>
      </c>
      <c r="S213" s="128">
        <v>118.55857144987382</v>
      </c>
      <c r="T213" s="123">
        <v>75.465408522670771</v>
      </c>
      <c r="U213" s="127">
        <v>88.387760960529206</v>
      </c>
      <c r="V213" s="128">
        <v>111.49383095565021</v>
      </c>
      <c r="W213" s="123">
        <v>58.957696307823412</v>
      </c>
      <c r="X213" s="127">
        <v>69.073561415791147</v>
      </c>
      <c r="Y213" s="128">
        <v>85.188848391097608</v>
      </c>
      <c r="Z213" s="123">
        <v>87.973409041815813</v>
      </c>
      <c r="AA213" s="127">
        <v>101.48790669877373</v>
      </c>
      <c r="AB213" s="128">
        <v>124.58906624078871</v>
      </c>
      <c r="AC213" s="123">
        <v>95.475646879773677</v>
      </c>
      <c r="AD213" s="127">
        <v>108.11633906796629</v>
      </c>
      <c r="AE213" s="128">
        <v>130.01230815519821</v>
      </c>
    </row>
    <row r="214" spans="1:31" ht="14.4" customHeight="1" x14ac:dyDescent="0.3">
      <c r="A214" s="41">
        <v>2024</v>
      </c>
      <c r="B214" s="123">
        <v>111.08682953916346</v>
      </c>
      <c r="C214" s="127">
        <v>185.25013861090289</v>
      </c>
      <c r="D214" s="128">
        <v>321.77797444863666</v>
      </c>
      <c r="E214" s="123">
        <v>114.55477484211083</v>
      </c>
      <c r="F214" s="127">
        <v>208.29209729920348</v>
      </c>
      <c r="G214" s="128">
        <v>400.03403141124329</v>
      </c>
      <c r="H214" s="123">
        <v>112.29693206232942</v>
      </c>
      <c r="I214" s="127">
        <v>150.74866507352323</v>
      </c>
      <c r="J214" s="128">
        <v>204.20845122849232</v>
      </c>
      <c r="K214" s="231">
        <v>105.74277644537565</v>
      </c>
      <c r="L214" s="236">
        <v>138.21681627404524</v>
      </c>
      <c r="M214" s="232">
        <v>180.14457349637411</v>
      </c>
      <c r="N214" s="123">
        <v>83.590175285736009</v>
      </c>
      <c r="O214" s="127">
        <v>107.98293218338789</v>
      </c>
      <c r="P214" s="128">
        <v>150.97794987072447</v>
      </c>
      <c r="Q214" s="123">
        <v>79.146491900153833</v>
      </c>
      <c r="R214" s="127">
        <v>94.409738273843388</v>
      </c>
      <c r="S214" s="128">
        <v>118.55857144987382</v>
      </c>
      <c r="T214" s="123">
        <v>71.57546274976464</v>
      </c>
      <c r="U214" s="127">
        <v>85.926327556035758</v>
      </c>
      <c r="V214" s="128">
        <v>111.49383095565021</v>
      </c>
      <c r="W214" s="123">
        <v>57.962906630597502</v>
      </c>
      <c r="X214" s="127">
        <v>69.571201191107605</v>
      </c>
      <c r="Y214" s="128">
        <v>88.078679204197485</v>
      </c>
      <c r="Z214" s="123">
        <v>83.452235058395374</v>
      </c>
      <c r="AA214" s="127">
        <v>98.672071139052733</v>
      </c>
      <c r="AB214" s="128">
        <v>124.58906624078871</v>
      </c>
      <c r="AC214" s="123">
        <v>89.708214612742751</v>
      </c>
      <c r="AD214" s="127">
        <v>104.44755152276011</v>
      </c>
      <c r="AE214" s="128">
        <v>130.01230815519821</v>
      </c>
    </row>
    <row r="215" spans="1:31" ht="14.4" customHeight="1" x14ac:dyDescent="0.3">
      <c r="A215" s="41">
        <v>2025</v>
      </c>
      <c r="B215" s="123">
        <v>111.08682953916346</v>
      </c>
      <c r="C215" s="127">
        <v>183.8942256068666</v>
      </c>
      <c r="D215" s="128">
        <v>321.77797444863666</v>
      </c>
      <c r="E215" s="123">
        <v>103.49746645494893</v>
      </c>
      <c r="F215" s="127">
        <v>201.4371194387148</v>
      </c>
      <c r="G215" s="128">
        <v>400.03403141124329</v>
      </c>
      <c r="H215" s="123">
        <v>106.51432915136486</v>
      </c>
      <c r="I215" s="127">
        <v>147.85093753050057</v>
      </c>
      <c r="J215" s="128">
        <v>204.20845122849232</v>
      </c>
      <c r="K215" s="231">
        <v>99.214111647986826</v>
      </c>
      <c r="L215" s="236">
        <v>134.97942797472854</v>
      </c>
      <c r="M215" s="232">
        <v>180.14457349637411</v>
      </c>
      <c r="N215" s="123">
        <v>76.639405343271946</v>
      </c>
      <c r="O215" s="127">
        <v>103.62183379595474</v>
      </c>
      <c r="P215" s="128">
        <v>150.97794987072447</v>
      </c>
      <c r="Q215" s="123">
        <v>74.440494333038174</v>
      </c>
      <c r="R215" s="127">
        <v>91.69289057796847</v>
      </c>
      <c r="S215" s="128">
        <v>118.55857144987382</v>
      </c>
      <c r="T215" s="123">
        <v>67.68551697685848</v>
      </c>
      <c r="U215" s="127">
        <v>83.561922736039506</v>
      </c>
      <c r="V215" s="128">
        <v>111.49383095565021</v>
      </c>
      <c r="W215" s="123">
        <v>55.019375063297019</v>
      </c>
      <c r="X215" s="127">
        <v>67.762281754104208</v>
      </c>
      <c r="Y215" s="128">
        <v>88.078679204197485</v>
      </c>
      <c r="Z215" s="123">
        <v>78.931061074974906</v>
      </c>
      <c r="AA215" s="127">
        <v>95.856235579331781</v>
      </c>
      <c r="AB215" s="128">
        <v>124.58906624078871</v>
      </c>
      <c r="AC215" s="123">
        <v>83.940782345711796</v>
      </c>
      <c r="AD215" s="127">
        <v>100.77876397755396</v>
      </c>
      <c r="AE215" s="128">
        <v>130.01230815519821</v>
      </c>
    </row>
    <row r="216" spans="1:31" x14ac:dyDescent="0.3">
      <c r="A216" s="41">
        <v>2026</v>
      </c>
      <c r="B216" s="123">
        <v>111.08682953916346</v>
      </c>
      <c r="C216" s="127">
        <v>182.53831260283027</v>
      </c>
      <c r="D216" s="128">
        <v>321.77797444863666</v>
      </c>
      <c r="E216" s="123">
        <v>101.9502218408974</v>
      </c>
      <c r="F216" s="127">
        <v>198.4375463618008</v>
      </c>
      <c r="G216" s="128">
        <v>400.03403141124329</v>
      </c>
      <c r="H216" s="123">
        <v>100.77615256702927</v>
      </c>
      <c r="I216" s="127">
        <v>144.99446545360294</v>
      </c>
      <c r="J216" s="128">
        <v>204.20845122849232</v>
      </c>
      <c r="K216" s="231">
        <v>92.707115679925238</v>
      </c>
      <c r="L216" s="236">
        <v>131.75309768093464</v>
      </c>
      <c r="M216" s="232">
        <v>180.14457349637411</v>
      </c>
      <c r="N216" s="123">
        <v>70.061064173739197</v>
      </c>
      <c r="O216" s="127">
        <v>99.552066364796687</v>
      </c>
      <c r="P216" s="128">
        <v>150.97794987072447</v>
      </c>
      <c r="Q216" s="123">
        <v>69.734496765922529</v>
      </c>
      <c r="R216" s="127">
        <v>89.039598241514568</v>
      </c>
      <c r="S216" s="128">
        <v>118.55857144987382</v>
      </c>
      <c r="T216" s="123">
        <v>63.795571203952349</v>
      </c>
      <c r="U216" s="127">
        <v>81.289318646224842</v>
      </c>
      <c r="V216" s="128">
        <v>111.49383095565021</v>
      </c>
      <c r="W216" s="123">
        <v>58.17003665637985</v>
      </c>
      <c r="X216" s="127">
        <v>73.822502586751668</v>
      </c>
      <c r="Y216" s="128">
        <v>98.873224683805645</v>
      </c>
      <c r="Z216" s="123">
        <v>74.409887091554438</v>
      </c>
      <c r="AA216" s="127">
        <v>93.040400019610786</v>
      </c>
      <c r="AB216" s="128">
        <v>124.58906624078871</v>
      </c>
      <c r="AC216" s="123">
        <v>78.173350078680897</v>
      </c>
      <c r="AD216" s="127">
        <v>97.109976432347779</v>
      </c>
      <c r="AE216" s="128">
        <v>130.01230815519821</v>
      </c>
    </row>
    <row r="217" spans="1:31" x14ac:dyDescent="0.3">
      <c r="A217" s="41">
        <v>2027</v>
      </c>
      <c r="B217" s="123">
        <v>111.08682953916346</v>
      </c>
      <c r="C217" s="127">
        <v>181.18239959879404</v>
      </c>
      <c r="D217" s="128">
        <v>321.77797444863666</v>
      </c>
      <c r="E217" s="123">
        <v>100.52826149305048</v>
      </c>
      <c r="F217" s="127">
        <v>195.49598592971864</v>
      </c>
      <c r="G217" s="128">
        <v>400.03403141124329</v>
      </c>
      <c r="H217" s="123">
        <v>95.197170319780952</v>
      </c>
      <c r="I217" s="127">
        <v>142.2944796275242</v>
      </c>
      <c r="J217" s="128">
        <v>204.20845122849232</v>
      </c>
      <c r="K217" s="231">
        <v>86.221114303615536</v>
      </c>
      <c r="L217" s="236">
        <v>128.53755337492936</v>
      </c>
      <c r="M217" s="232">
        <v>180.14457349637411</v>
      </c>
      <c r="N217" s="123">
        <v>63.829483385330697</v>
      </c>
      <c r="O217" s="127">
        <v>95.759351971173061</v>
      </c>
      <c r="P217" s="128">
        <v>150.97794987072447</v>
      </c>
      <c r="Q217" s="123">
        <v>65.02849919880687</v>
      </c>
      <c r="R217" s="127">
        <v>86.456688362891214</v>
      </c>
      <c r="S217" s="128">
        <v>118.55857144987382</v>
      </c>
      <c r="T217" s="123">
        <v>59.905625431046218</v>
      </c>
      <c r="U217" s="127">
        <v>79.103287432276232</v>
      </c>
      <c r="V217" s="128">
        <v>111.49383095565021</v>
      </c>
      <c r="W217" s="123">
        <v>55.501821527740752</v>
      </c>
      <c r="X217" s="127">
        <v>72.660978764187277</v>
      </c>
      <c r="Y217" s="128">
        <v>100.1428719172667</v>
      </c>
      <c r="Z217" s="123">
        <v>69.88871310813397</v>
      </c>
      <c r="AA217" s="127">
        <v>90.22456445988982</v>
      </c>
      <c r="AB217" s="128">
        <v>124.58906624078871</v>
      </c>
      <c r="AC217" s="123">
        <v>72.405917811649957</v>
      </c>
      <c r="AD217" s="127">
        <v>93.441188887141649</v>
      </c>
      <c r="AE217" s="128">
        <v>130.01230815519821</v>
      </c>
    </row>
    <row r="218" spans="1:31" x14ac:dyDescent="0.3">
      <c r="A218" s="41">
        <v>2028</v>
      </c>
      <c r="B218" s="123">
        <v>111.08682953916346</v>
      </c>
      <c r="C218" s="127">
        <v>179.82648659475774</v>
      </c>
      <c r="D218" s="128">
        <v>321.77797444863666</v>
      </c>
      <c r="E218" s="123">
        <v>99.21368531584622</v>
      </c>
      <c r="F218" s="127">
        <v>192.60414001929396</v>
      </c>
      <c r="G218" s="128">
        <v>400.03403141124329</v>
      </c>
      <c r="H218" s="123">
        <v>89.458993735445389</v>
      </c>
      <c r="I218" s="127">
        <v>139.46219178938946</v>
      </c>
      <c r="J218" s="128">
        <v>204.20845122849232</v>
      </c>
      <c r="K218" s="231">
        <v>79.755398677690991</v>
      </c>
      <c r="L218" s="236">
        <v>125.33250730232596</v>
      </c>
      <c r="M218" s="232">
        <v>180.14457349637411</v>
      </c>
      <c r="N218" s="123">
        <v>57.920019702442829</v>
      </c>
      <c r="O218" s="127">
        <v>92.220502553072109</v>
      </c>
      <c r="P218" s="128">
        <v>150.97794987072447</v>
      </c>
      <c r="Q218" s="123">
        <v>60.322501631691217</v>
      </c>
      <c r="R218" s="127">
        <v>83.941232023323579</v>
      </c>
      <c r="S218" s="128">
        <v>118.55857144987382</v>
      </c>
      <c r="T218" s="123">
        <v>56.015679658140066</v>
      </c>
      <c r="U218" s="127">
        <v>76.998601239878127</v>
      </c>
      <c r="V218" s="128">
        <v>111.49383095565021</v>
      </c>
      <c r="W218" s="123">
        <v>52.741434980566211</v>
      </c>
      <c r="X218" s="127">
        <v>71.441950562125839</v>
      </c>
      <c r="Y218" s="128">
        <v>101.41404919296205</v>
      </c>
      <c r="Z218" s="123">
        <v>65.367539124713517</v>
      </c>
      <c r="AA218" s="127">
        <v>87.408728900168839</v>
      </c>
      <c r="AB218" s="128">
        <v>124.58906624078871</v>
      </c>
      <c r="AC218" s="123">
        <v>66.63848554461903</v>
      </c>
      <c r="AD218" s="127">
        <v>89.772401341935492</v>
      </c>
      <c r="AE218" s="128">
        <v>130.01230815519821</v>
      </c>
    </row>
    <row r="219" spans="1:31" ht="14.4" customHeight="1" x14ac:dyDescent="0.3">
      <c r="A219" s="41">
        <v>2029</v>
      </c>
      <c r="B219" s="123">
        <v>111.08682953916346</v>
      </c>
      <c r="C219" s="127">
        <v>178.47057359072144</v>
      </c>
      <c r="D219" s="128">
        <v>321.77797444863666</v>
      </c>
      <c r="E219" s="123">
        <v>97.992165440500358</v>
      </c>
      <c r="F219" s="127">
        <v>189.75536758928939</v>
      </c>
      <c r="G219" s="128">
        <v>400.03403141124329</v>
      </c>
      <c r="H219" s="123">
        <v>83.880011488197013</v>
      </c>
      <c r="I219" s="127">
        <v>136.69107584930214</v>
      </c>
      <c r="J219" s="128">
        <v>204.20845122849232</v>
      </c>
      <c r="K219" s="231">
        <v>73.309225971991893</v>
      </c>
      <c r="L219" s="236">
        <v>122.13765618975863</v>
      </c>
      <c r="M219" s="232">
        <v>180.14457349637411</v>
      </c>
      <c r="N219" s="123">
        <v>52.309042625428035</v>
      </c>
      <c r="O219" s="127">
        <v>88.903830883372962</v>
      </c>
      <c r="P219" s="128">
        <v>150.97794987072447</v>
      </c>
      <c r="Q219" s="123">
        <v>55.616504064575565</v>
      </c>
      <c r="R219" s="127">
        <v>81.474759299438062</v>
      </c>
      <c r="S219" s="128">
        <v>118.55857144987382</v>
      </c>
      <c r="T219" s="123">
        <v>52.125733885233913</v>
      </c>
      <c r="U219" s="127">
        <v>74.970032214714976</v>
      </c>
      <c r="V219" s="128">
        <v>111.49383095565021</v>
      </c>
      <c r="W219" s="123">
        <v>49.888573147075519</v>
      </c>
      <c r="X219" s="127">
        <v>70.165114978938448</v>
      </c>
      <c r="Y219" s="128">
        <v>102.68645769351716</v>
      </c>
      <c r="Z219" s="123">
        <v>60.846365141293056</v>
      </c>
      <c r="AA219" s="127">
        <v>84.592893340447873</v>
      </c>
      <c r="AB219" s="128">
        <v>124.58906624078871</v>
      </c>
      <c r="AC219" s="123">
        <v>60.871053277588096</v>
      </c>
      <c r="AD219" s="127">
        <v>86.103613796729348</v>
      </c>
      <c r="AE219" s="128">
        <v>130.01230815519821</v>
      </c>
    </row>
    <row r="220" spans="1:31" ht="14.4" customHeight="1" x14ac:dyDescent="0.3">
      <c r="A220" s="41">
        <v>2030</v>
      </c>
      <c r="B220" s="123">
        <v>111.08682953916346</v>
      </c>
      <c r="C220" s="127">
        <v>177.11466058668515</v>
      </c>
      <c r="D220" s="128">
        <v>321.77797444863666</v>
      </c>
      <c r="E220" s="123">
        <v>96.852054857822381</v>
      </c>
      <c r="F220" s="127">
        <v>186.94427101447843</v>
      </c>
      <c r="G220" s="128">
        <v>400.03403141124329</v>
      </c>
      <c r="H220" s="123">
        <v>78.141834903861451</v>
      </c>
      <c r="I220" s="127">
        <v>133.89008526133119</v>
      </c>
      <c r="J220" s="128">
        <v>204.20845122849232</v>
      </c>
      <c r="K220" s="231">
        <v>66.881820079113254</v>
      </c>
      <c r="L220" s="236">
        <v>118.95268150379438</v>
      </c>
      <c r="M220" s="232">
        <v>180.14457349637411</v>
      </c>
      <c r="N220" s="123">
        <v>46.973915549042296</v>
      </c>
      <c r="O220" s="127">
        <v>85.805290737326146</v>
      </c>
      <c r="P220" s="128">
        <v>150.97794987072447</v>
      </c>
      <c r="Q220" s="123">
        <v>50.910506497459927</v>
      </c>
      <c r="R220" s="127">
        <v>79.073898905219778</v>
      </c>
      <c r="S220" s="128">
        <v>118.55857144987382</v>
      </c>
      <c r="T220" s="123">
        <v>48.235788112327782</v>
      </c>
      <c r="U220" s="127">
        <v>73.012352502471188</v>
      </c>
      <c r="V220" s="128">
        <v>111.49383095565021</v>
      </c>
      <c r="W220" s="123">
        <v>46.942976911561438</v>
      </c>
      <c r="X220" s="127">
        <v>68.830198113972017</v>
      </c>
      <c r="Y220" s="128">
        <v>103.95980102210896</v>
      </c>
      <c r="Z220" s="123">
        <v>56.325191157872581</v>
      </c>
      <c r="AA220" s="127">
        <v>81.777057780726906</v>
      </c>
      <c r="AB220" s="128">
        <v>124.58906624078871</v>
      </c>
      <c r="AC220" s="123">
        <v>55.103621010557148</v>
      </c>
      <c r="AD220" s="127">
        <v>82.434826251523177</v>
      </c>
      <c r="AE220" s="128">
        <v>130.01230815519821</v>
      </c>
    </row>
    <row r="221" spans="1:31" ht="14.4" customHeight="1" x14ac:dyDescent="0.3">
      <c r="A221" s="41">
        <v>2031</v>
      </c>
      <c r="B221" s="123">
        <v>111.08682953916346</v>
      </c>
      <c r="C221" s="127">
        <v>177.11466058668515</v>
      </c>
      <c r="D221" s="128">
        <v>321.77797444863666</v>
      </c>
      <c r="E221" s="123">
        <v>95.783757570017642</v>
      </c>
      <c r="F221" s="127">
        <v>186.4513964452654</v>
      </c>
      <c r="G221" s="128">
        <v>400.03403141124329</v>
      </c>
      <c r="H221" s="123">
        <v>73.902822904678231</v>
      </c>
      <c r="I221" s="127">
        <v>131.88421604628829</v>
      </c>
      <c r="J221" s="128">
        <v>204.20845122849232</v>
      </c>
      <c r="K221" s="231">
        <v>66.356458259322309</v>
      </c>
      <c r="L221" s="236">
        <v>118.38366289684387</v>
      </c>
      <c r="M221" s="232">
        <v>180.14457349637411</v>
      </c>
      <c r="N221" s="123">
        <v>46.637158969886457</v>
      </c>
      <c r="O221" s="127">
        <v>85.225921933558311</v>
      </c>
      <c r="P221" s="128">
        <v>150.97794987072447</v>
      </c>
      <c r="Q221" s="123">
        <v>50.534661830897548</v>
      </c>
      <c r="R221" s="127">
        <v>78.451830025113495</v>
      </c>
      <c r="S221" s="128">
        <v>118.55857144987382</v>
      </c>
      <c r="T221" s="123">
        <v>47.868933094227316</v>
      </c>
      <c r="U221" s="127">
        <v>72.531768284078694</v>
      </c>
      <c r="V221" s="128">
        <v>111.49383095565021</v>
      </c>
      <c r="W221" s="123">
        <v>46.586219596424613</v>
      </c>
      <c r="X221" s="127">
        <v>68.61225431017894</v>
      </c>
      <c r="Y221" s="128">
        <v>103.95980102210896</v>
      </c>
      <c r="Z221" s="123">
        <v>55.713763271343907</v>
      </c>
      <c r="AA221" s="127">
        <v>81.401457546704947</v>
      </c>
      <c r="AB221" s="128">
        <v>124.58906624078871</v>
      </c>
      <c r="AC221" s="123">
        <v>54.518947231592591</v>
      </c>
      <c r="AD221" s="127">
        <v>82.066332578206101</v>
      </c>
      <c r="AE221" s="128">
        <v>130.01230815519821</v>
      </c>
    </row>
    <row r="222" spans="1:31" ht="14.4" customHeight="1" x14ac:dyDescent="0.3">
      <c r="A222" s="41">
        <v>2032</v>
      </c>
      <c r="B222" s="123">
        <v>111.08682953916346</v>
      </c>
      <c r="C222" s="127">
        <v>177.11466058668515</v>
      </c>
      <c r="D222" s="128">
        <v>321.77797444863666</v>
      </c>
      <c r="E222" s="123">
        <v>94.779273391049358</v>
      </c>
      <c r="F222" s="127">
        <v>185.98804475344079</v>
      </c>
      <c r="G222" s="128">
        <v>400.03403141124329</v>
      </c>
      <c r="H222" s="123">
        <v>73.158681933642569</v>
      </c>
      <c r="I222" s="127">
        <v>131.16722449708143</v>
      </c>
      <c r="J222" s="128">
        <v>204.20845122849232</v>
      </c>
      <c r="K222" s="231">
        <v>65.831096439531379</v>
      </c>
      <c r="L222" s="236">
        <v>117.81464428989339</v>
      </c>
      <c r="M222" s="232">
        <v>180.14457349637411</v>
      </c>
      <c r="N222" s="123">
        <v>46.300402390730625</v>
      </c>
      <c r="O222" s="127">
        <v>84.693738067232943</v>
      </c>
      <c r="P222" s="128">
        <v>150.97794987072447</v>
      </c>
      <c r="Q222" s="123">
        <v>50.158817164335161</v>
      </c>
      <c r="R222" s="127">
        <v>77.880801730935545</v>
      </c>
      <c r="S222" s="128">
        <v>118.55857144987382</v>
      </c>
      <c r="T222" s="123">
        <v>47.502078076126871</v>
      </c>
      <c r="U222" s="127">
        <v>72.11161766997445</v>
      </c>
      <c r="V222" s="128">
        <v>111.49383095565021</v>
      </c>
      <c r="W222" s="123">
        <v>46.22946228128778</v>
      </c>
      <c r="X222" s="127">
        <v>68.394310506385864</v>
      </c>
      <c r="Y222" s="128">
        <v>103.95980102210896</v>
      </c>
      <c r="Z222" s="123">
        <v>55.102335384815227</v>
      </c>
      <c r="AA222" s="127">
        <v>81.025857312683016</v>
      </c>
      <c r="AB222" s="128">
        <v>124.58906624078871</v>
      </c>
      <c r="AC222" s="123">
        <v>53.934273452628034</v>
      </c>
      <c r="AD222" s="127">
        <v>81.697838904889025</v>
      </c>
      <c r="AE222" s="128">
        <v>130.01230815519821</v>
      </c>
    </row>
    <row r="223" spans="1:31" ht="14.4" customHeight="1" x14ac:dyDescent="0.3">
      <c r="A223" s="41">
        <v>2033</v>
      </c>
      <c r="B223" s="123">
        <v>111.08682953916346</v>
      </c>
      <c r="C223" s="127">
        <v>177.11466058668515</v>
      </c>
      <c r="D223" s="128">
        <v>321.77797444863666</v>
      </c>
      <c r="E223" s="123">
        <v>93.831862387331896</v>
      </c>
      <c r="F223" s="127">
        <v>185.55109372569112</v>
      </c>
      <c r="G223" s="128">
        <v>400.03403141124329</v>
      </c>
      <c r="H223" s="123">
        <v>72.414540962606921</v>
      </c>
      <c r="I223" s="127">
        <v>130.44738774331427</v>
      </c>
      <c r="J223" s="128">
        <v>204.20845122849232</v>
      </c>
      <c r="K223" s="231">
        <v>65.30573461974042</v>
      </c>
      <c r="L223" s="236">
        <v>117.2456256829429</v>
      </c>
      <c r="M223" s="232">
        <v>180.14457349637411</v>
      </c>
      <c r="N223" s="123">
        <v>45.963645811574793</v>
      </c>
      <c r="O223" s="127">
        <v>84.208739138350097</v>
      </c>
      <c r="P223" s="128">
        <v>150.97794987072447</v>
      </c>
      <c r="Q223" s="123">
        <v>49.782972497772768</v>
      </c>
      <c r="R223" s="127">
        <v>77.359975441450558</v>
      </c>
      <c r="S223" s="128">
        <v>118.55857144987382</v>
      </c>
      <c r="T223" s="123">
        <v>47.135223058026405</v>
      </c>
      <c r="U223" s="127">
        <v>71.74667280584292</v>
      </c>
      <c r="V223" s="128">
        <v>111.49383095565021</v>
      </c>
      <c r="W223" s="123">
        <v>45.872704966150948</v>
      </c>
      <c r="X223" s="127">
        <v>68.176366702592816</v>
      </c>
      <c r="Y223" s="128">
        <v>103.95980102210896</v>
      </c>
      <c r="Z223" s="123">
        <v>54.490907498286553</v>
      </c>
      <c r="AA223" s="127">
        <v>80.65025707866107</v>
      </c>
      <c r="AB223" s="128">
        <v>124.58906624078871</v>
      </c>
      <c r="AC223" s="123">
        <v>53.349599673663491</v>
      </c>
      <c r="AD223" s="127">
        <v>81.329345231571949</v>
      </c>
      <c r="AE223" s="128">
        <v>130.01230815519821</v>
      </c>
    </row>
    <row r="224" spans="1:31" ht="14.4" customHeight="1" x14ac:dyDescent="0.3">
      <c r="A224" s="41">
        <v>2034</v>
      </c>
      <c r="B224" s="123">
        <v>111.08682953916346</v>
      </c>
      <c r="C224" s="127">
        <v>177.11466058668515</v>
      </c>
      <c r="D224" s="128">
        <v>321.77797444863666</v>
      </c>
      <c r="E224" s="123">
        <v>92.935793134374961</v>
      </c>
      <c r="F224" s="127">
        <v>185.13788867216374</v>
      </c>
      <c r="G224" s="128">
        <v>400.03403141124329</v>
      </c>
      <c r="H224" s="123">
        <v>71.751848257057745</v>
      </c>
      <c r="I224" s="127">
        <v>129.8570077970428</v>
      </c>
      <c r="J224" s="128">
        <v>204.20845122849232</v>
      </c>
      <c r="K224" s="231">
        <v>64.78037279994949</v>
      </c>
      <c r="L224" s="236">
        <v>116.67660707599241</v>
      </c>
      <c r="M224" s="232">
        <v>180.14457349637411</v>
      </c>
      <c r="N224" s="123">
        <v>45.626889232418954</v>
      </c>
      <c r="O224" s="127">
        <v>83.759535679251186</v>
      </c>
      <c r="P224" s="128">
        <v>150.97794987072447</v>
      </c>
      <c r="Q224" s="123">
        <v>49.407127831210381</v>
      </c>
      <c r="R224" s="127">
        <v>76.874818895761848</v>
      </c>
      <c r="S224" s="128">
        <v>118.55857144987382</v>
      </c>
      <c r="T224" s="123">
        <v>46.768368039925939</v>
      </c>
      <c r="U224" s="127">
        <v>71.431705837368526</v>
      </c>
      <c r="V224" s="128">
        <v>111.49383095565021</v>
      </c>
      <c r="W224" s="123">
        <v>45.515947651014123</v>
      </c>
      <c r="X224" s="127">
        <v>67.958422898799739</v>
      </c>
      <c r="Y224" s="128">
        <v>103.95980102210896</v>
      </c>
      <c r="Z224" s="123">
        <v>53.879479611757858</v>
      </c>
      <c r="AA224" s="127">
        <v>80.274656844639111</v>
      </c>
      <c r="AB224" s="128">
        <v>124.58906624078871</v>
      </c>
      <c r="AC224" s="123">
        <v>52.764925894698948</v>
      </c>
      <c r="AD224" s="127">
        <v>80.960851558254888</v>
      </c>
      <c r="AE224" s="128">
        <v>130.01230815519821</v>
      </c>
    </row>
    <row r="225" spans="1:31" ht="14.4" customHeight="1" x14ac:dyDescent="0.3">
      <c r="A225" s="41">
        <v>2035</v>
      </c>
      <c r="B225" s="123">
        <v>111.08682953916346</v>
      </c>
      <c r="C225" s="127">
        <v>177.11466058668515</v>
      </c>
      <c r="D225" s="128">
        <v>321.77797444863666</v>
      </c>
      <c r="E225" s="123">
        <v>92.086150873761781</v>
      </c>
      <c r="F225" s="127">
        <v>184.7461534495838</v>
      </c>
      <c r="G225" s="128">
        <v>400.03403141124329</v>
      </c>
      <c r="H225" s="123">
        <v>71.107666520937315</v>
      </c>
      <c r="I225" s="127">
        <v>129.21683677096524</v>
      </c>
      <c r="J225" s="128">
        <v>204.20845122849232</v>
      </c>
      <c r="K225" s="231">
        <v>64.255010980158545</v>
      </c>
      <c r="L225" s="236">
        <v>116.1075884690419</v>
      </c>
      <c r="M225" s="232">
        <v>180.14457349637411</v>
      </c>
      <c r="N225" s="123">
        <v>45.290132653263122</v>
      </c>
      <c r="O225" s="127">
        <v>83.355890090786417</v>
      </c>
      <c r="P225" s="128">
        <v>150.97794987072447</v>
      </c>
      <c r="Q225" s="123">
        <v>49.031283164648002</v>
      </c>
      <c r="R225" s="127">
        <v>76.439405581306218</v>
      </c>
      <c r="S225" s="128">
        <v>118.55857144987382</v>
      </c>
      <c r="T225" s="123">
        <v>46.401513021825473</v>
      </c>
      <c r="U225" s="127">
        <v>71.161488910235775</v>
      </c>
      <c r="V225" s="128">
        <v>111.49383095565021</v>
      </c>
      <c r="W225" s="123">
        <v>45.159190335877277</v>
      </c>
      <c r="X225" s="127">
        <v>67.740479095006677</v>
      </c>
      <c r="Y225" s="128">
        <v>103.95980102210896</v>
      </c>
      <c r="Z225" s="123">
        <v>53.268051725229192</v>
      </c>
      <c r="AA225" s="127">
        <v>79.899056610617166</v>
      </c>
      <c r="AB225" s="128">
        <v>124.58906624078871</v>
      </c>
      <c r="AC225" s="123">
        <v>52.180252115734376</v>
      </c>
      <c r="AD225" s="127">
        <v>80.592357884937812</v>
      </c>
      <c r="AE225" s="128">
        <v>130.01230815519821</v>
      </c>
    </row>
    <row r="226" spans="1:31" ht="14.4" customHeight="1" x14ac:dyDescent="0.3">
      <c r="A226" s="41">
        <v>2036</v>
      </c>
      <c r="B226" s="123">
        <v>111.08682953916346</v>
      </c>
      <c r="C226" s="127">
        <v>177.11466058668515</v>
      </c>
      <c r="D226" s="128">
        <v>321.77797444863666</v>
      </c>
      <c r="E226" s="123">
        <v>91.278689248553718</v>
      </c>
      <c r="F226" s="127">
        <v>184.37392170314519</v>
      </c>
      <c r="G226" s="128">
        <v>400.03403141124329</v>
      </c>
      <c r="H226" s="123">
        <v>70.526422080874667</v>
      </c>
      <c r="I226" s="127">
        <v>128.61792121101274</v>
      </c>
      <c r="J226" s="128">
        <v>204.20845122849232</v>
      </c>
      <c r="K226" s="231">
        <v>63.729649160367615</v>
      </c>
      <c r="L226" s="236">
        <v>115.53856986209142</v>
      </c>
      <c r="M226" s="232">
        <v>180.14457349637411</v>
      </c>
      <c r="N226" s="123">
        <v>44.953376074107275</v>
      </c>
      <c r="O226" s="127">
        <v>82.981531704872168</v>
      </c>
      <c r="P226" s="128">
        <v>150.97794987072447</v>
      </c>
      <c r="Q226" s="123">
        <v>48.655438498085616</v>
      </c>
      <c r="R226" s="127">
        <v>76.034262946556993</v>
      </c>
      <c r="S226" s="128">
        <v>118.55857144987382</v>
      </c>
      <c r="T226" s="123">
        <v>46.034658003725028</v>
      </c>
      <c r="U226" s="127">
        <v>70.930794170129047</v>
      </c>
      <c r="V226" s="128">
        <v>111.49383095565021</v>
      </c>
      <c r="W226" s="123">
        <v>44.802433020740459</v>
      </c>
      <c r="X226" s="127">
        <v>67.522535291213615</v>
      </c>
      <c r="Y226" s="128">
        <v>103.95980102210896</v>
      </c>
      <c r="Z226" s="123">
        <v>52.656623838700504</v>
      </c>
      <c r="AA226" s="127">
        <v>79.523456376595206</v>
      </c>
      <c r="AB226" s="128">
        <v>124.58906624078871</v>
      </c>
      <c r="AC226" s="123">
        <v>51.595578336769847</v>
      </c>
      <c r="AD226" s="127">
        <v>80.22386421162075</v>
      </c>
      <c r="AE226" s="128">
        <v>130.01230815519821</v>
      </c>
    </row>
    <row r="227" spans="1:31" ht="14.4" customHeight="1" x14ac:dyDescent="0.3">
      <c r="A227" s="41">
        <v>2037</v>
      </c>
      <c r="B227" s="123">
        <v>111.08682953916346</v>
      </c>
      <c r="C227" s="127">
        <v>177.11466058668515</v>
      </c>
      <c r="D227" s="128">
        <v>321.77797444863666</v>
      </c>
      <c r="E227" s="123">
        <v>90.509714254811371</v>
      </c>
      <c r="F227" s="127">
        <v>184.01948305402331</v>
      </c>
      <c r="G227" s="128">
        <v>400.03403141124329</v>
      </c>
      <c r="H227" s="123">
        <v>69.963688610240723</v>
      </c>
      <c r="I227" s="127">
        <v>128.10436178787054</v>
      </c>
      <c r="J227" s="128">
        <v>204.20845122849232</v>
      </c>
      <c r="K227" s="231">
        <v>63.204287340576677</v>
      </c>
      <c r="L227" s="236">
        <v>114.96955125514093</v>
      </c>
      <c r="M227" s="232">
        <v>180.14457349637411</v>
      </c>
      <c r="N227" s="123">
        <v>44.616619494951451</v>
      </c>
      <c r="O227" s="127">
        <v>82.638901121721005</v>
      </c>
      <c r="P227" s="128">
        <v>150.97794987072447</v>
      </c>
      <c r="Q227" s="123">
        <v>48.279593831523229</v>
      </c>
      <c r="R227" s="127">
        <v>75.663538299299915</v>
      </c>
      <c r="S227" s="128">
        <v>118.55857144987382</v>
      </c>
      <c r="T227" s="123">
        <v>45.667802985624562</v>
      </c>
      <c r="U227" s="127">
        <v>70.734393762732779</v>
      </c>
      <c r="V227" s="128">
        <v>111.49383095565021</v>
      </c>
      <c r="W227" s="123">
        <v>44.445675705603612</v>
      </c>
      <c r="X227" s="127">
        <v>67.304591487420538</v>
      </c>
      <c r="Y227" s="128">
        <v>103.95980102210896</v>
      </c>
      <c r="Z227" s="123">
        <v>52.045195952171824</v>
      </c>
      <c r="AA227" s="127">
        <v>79.147856142573275</v>
      </c>
      <c r="AB227" s="128">
        <v>124.58906624078871</v>
      </c>
      <c r="AC227" s="123">
        <v>51.01090455780529</v>
      </c>
      <c r="AD227" s="127">
        <v>79.85537053830366</v>
      </c>
      <c r="AE227" s="128">
        <v>130.01230815519821</v>
      </c>
    </row>
    <row r="228" spans="1:31" x14ac:dyDescent="0.3">
      <c r="A228" s="41">
        <v>2038</v>
      </c>
      <c r="B228" s="123">
        <v>111.08682953916346</v>
      </c>
      <c r="C228" s="127">
        <v>177.11466058668515</v>
      </c>
      <c r="D228" s="128">
        <v>321.77797444863666</v>
      </c>
      <c r="E228" s="123">
        <v>89.77599235796778</v>
      </c>
      <c r="F228" s="127">
        <v>183.68134049634065</v>
      </c>
      <c r="G228" s="128">
        <v>400.03403141124329</v>
      </c>
      <c r="H228" s="123">
        <v>69.419466109035525</v>
      </c>
      <c r="I228" s="127">
        <v>127.52678526212061</v>
      </c>
      <c r="J228" s="128">
        <v>204.20845122849232</v>
      </c>
      <c r="K228" s="231">
        <v>62.678925520785725</v>
      </c>
      <c r="L228" s="236">
        <v>114.40053264819043</v>
      </c>
      <c r="M228" s="232">
        <v>180.14457349637411</v>
      </c>
      <c r="N228" s="123">
        <v>44.279862915795619</v>
      </c>
      <c r="O228" s="127">
        <v>82.328811874737056</v>
      </c>
      <c r="P228" s="128">
        <v>150.97794987072447</v>
      </c>
      <c r="Q228" s="123">
        <v>47.903749164960843</v>
      </c>
      <c r="R228" s="127">
        <v>75.327775494228192</v>
      </c>
      <c r="S228" s="128">
        <v>118.55857144987382</v>
      </c>
      <c r="T228" s="123">
        <v>45.300947967524095</v>
      </c>
      <c r="U228" s="127">
        <v>70.567059833731463</v>
      </c>
      <c r="V228" s="128">
        <v>111.49383095565021</v>
      </c>
      <c r="W228" s="123">
        <v>44.088918390466802</v>
      </c>
      <c r="X228" s="127">
        <v>67.086647683627476</v>
      </c>
      <c r="Y228" s="128">
        <v>103.95980102210896</v>
      </c>
      <c r="Z228" s="123">
        <v>51.433768065643143</v>
      </c>
      <c r="AA228" s="127">
        <v>78.772255908551315</v>
      </c>
      <c r="AB228" s="128">
        <v>124.58906624078871</v>
      </c>
      <c r="AC228" s="123">
        <v>50.426230778840733</v>
      </c>
      <c r="AD228" s="127">
        <v>79.486876864986584</v>
      </c>
      <c r="AE228" s="128">
        <v>130.01230815519821</v>
      </c>
    </row>
    <row r="229" spans="1:31" x14ac:dyDescent="0.3">
      <c r="A229" s="41">
        <v>2039</v>
      </c>
      <c r="B229" s="123">
        <v>111.08682953916346</v>
      </c>
      <c r="C229" s="127">
        <v>177.11466058668515</v>
      </c>
      <c r="D229" s="128">
        <v>321.77797444863666</v>
      </c>
      <c r="E229" s="123">
        <v>89.074676974986318</v>
      </c>
      <c r="F229" s="127">
        <v>183.35817631278528</v>
      </c>
      <c r="G229" s="128">
        <v>400.03403141124329</v>
      </c>
      <c r="H229" s="123">
        <v>68.875243607830342</v>
      </c>
      <c r="I229" s="127">
        <v>127.06159431650427</v>
      </c>
      <c r="J229" s="128">
        <v>204.20845122849232</v>
      </c>
      <c r="K229" s="231">
        <v>62.153563700994788</v>
      </c>
      <c r="L229" s="236">
        <v>113.83151404123994</v>
      </c>
      <c r="M229" s="232">
        <v>180.14457349637411</v>
      </c>
      <c r="N229" s="123">
        <v>43.943106336639772</v>
      </c>
      <c r="O229" s="127">
        <v>82.042315096474368</v>
      </c>
      <c r="P229" s="128">
        <v>150.97794987072447</v>
      </c>
      <c r="Q229" s="123">
        <v>47.527904498398449</v>
      </c>
      <c r="R229" s="127">
        <v>75.017218514157364</v>
      </c>
      <c r="S229" s="128">
        <v>118.55857144987382</v>
      </c>
      <c r="T229" s="123">
        <v>44.934092949423629</v>
      </c>
      <c r="U229" s="127">
        <v>70.423564528809507</v>
      </c>
      <c r="V229" s="128">
        <v>111.49383095565021</v>
      </c>
      <c r="W229" s="123">
        <v>43.732161075329955</v>
      </c>
      <c r="X229" s="127">
        <v>66.868703879834399</v>
      </c>
      <c r="Y229" s="128">
        <v>103.95980102210896</v>
      </c>
      <c r="Z229" s="123">
        <v>50.822340179114455</v>
      </c>
      <c r="AA229" s="127">
        <v>78.396655674529356</v>
      </c>
      <c r="AB229" s="128">
        <v>124.58906624078871</v>
      </c>
      <c r="AC229" s="123">
        <v>49.84155699987619</v>
      </c>
      <c r="AD229" s="127">
        <v>79.118383191669537</v>
      </c>
      <c r="AE229" s="128">
        <v>130.01230815519821</v>
      </c>
    </row>
    <row r="230" spans="1:31" x14ac:dyDescent="0.3">
      <c r="A230" s="41">
        <v>2040</v>
      </c>
      <c r="B230" s="123">
        <v>111.08682953916346</v>
      </c>
      <c r="C230" s="127">
        <v>177.11466058668515</v>
      </c>
      <c r="D230" s="128">
        <v>321.77797444863666</v>
      </c>
      <c r="E230" s="123">
        <v>88.403249084619773</v>
      </c>
      <c r="F230" s="127">
        <v>183.04882454274286</v>
      </c>
      <c r="G230" s="128">
        <v>400.03403141124329</v>
      </c>
      <c r="H230" s="123">
        <v>68.393958402682927</v>
      </c>
      <c r="I230" s="127">
        <v>126.55657050704311</v>
      </c>
      <c r="J230" s="128">
        <v>204.20845122849232</v>
      </c>
      <c r="K230" s="231">
        <v>61.628201881203836</v>
      </c>
      <c r="L230" s="236">
        <v>113.26249543428943</v>
      </c>
      <c r="M230" s="232">
        <v>180.14457349637411</v>
      </c>
      <c r="N230" s="123">
        <v>43.606349757483947</v>
      </c>
      <c r="O230" s="127">
        <v>81.778597253528744</v>
      </c>
      <c r="P230" s="128">
        <v>150.97794987072447</v>
      </c>
      <c r="Q230" s="123">
        <v>47.152059831836077</v>
      </c>
      <c r="R230" s="127">
        <v>74.730065632541198</v>
      </c>
      <c r="S230" s="128">
        <v>118.55857144987382</v>
      </c>
      <c r="T230" s="123">
        <v>44.567237931323184</v>
      </c>
      <c r="U230" s="127">
        <v>70.280069223887551</v>
      </c>
      <c r="V230" s="128">
        <v>111.49383095565021</v>
      </c>
      <c r="W230" s="123">
        <v>43.375403760193123</v>
      </c>
      <c r="X230" s="127">
        <v>66.650760076041337</v>
      </c>
      <c r="Y230" s="128">
        <v>103.95980102210896</v>
      </c>
      <c r="Z230" s="123">
        <v>50.210912292585775</v>
      </c>
      <c r="AA230" s="127">
        <v>78.021055440507425</v>
      </c>
      <c r="AB230" s="128">
        <v>124.58906624078871</v>
      </c>
      <c r="AC230" s="123">
        <v>49.256883220911632</v>
      </c>
      <c r="AD230" s="127">
        <v>78.749889518352447</v>
      </c>
      <c r="AE230" s="128">
        <v>130.01230815519821</v>
      </c>
    </row>
    <row r="231" spans="1:31" ht="14.4" customHeight="1" x14ac:dyDescent="0.3">
      <c r="A231" s="41">
        <v>2041</v>
      </c>
      <c r="B231" s="123">
        <v>111.08682953916346</v>
      </c>
      <c r="C231" s="127">
        <v>177.11466058668515</v>
      </c>
      <c r="D231" s="128">
        <v>321.77797444863666</v>
      </c>
      <c r="E231" s="123">
        <v>87.759468825962941</v>
      </c>
      <c r="F231" s="127">
        <v>182.75224854630019</v>
      </c>
      <c r="G231" s="128">
        <v>400.03403141124329</v>
      </c>
      <c r="H231" s="123">
        <v>67.912673197535469</v>
      </c>
      <c r="I231" s="127">
        <v>126.12267681159055</v>
      </c>
      <c r="J231" s="128">
        <v>204.20845122849232</v>
      </c>
      <c r="K231" s="231">
        <v>61.102840061412913</v>
      </c>
      <c r="L231" s="236">
        <v>112.69347682733894</v>
      </c>
      <c r="M231" s="232">
        <v>180.14457349637411</v>
      </c>
      <c r="N231" s="123">
        <v>43.269593178328108</v>
      </c>
      <c r="O231" s="127">
        <v>81.531150078666741</v>
      </c>
      <c r="P231" s="128">
        <v>150.97794987072447</v>
      </c>
      <c r="Q231" s="123">
        <v>46.776215165273683</v>
      </c>
      <c r="R231" s="127">
        <v>74.460708139980937</v>
      </c>
      <c r="S231" s="128">
        <v>118.55857144987382</v>
      </c>
      <c r="T231" s="123">
        <v>44.200382913222697</v>
      </c>
      <c r="U231" s="127">
        <v>70.136573918965567</v>
      </c>
      <c r="V231" s="128">
        <v>111.49383095565021</v>
      </c>
      <c r="W231" s="123">
        <v>43.018646445056298</v>
      </c>
      <c r="X231" s="127">
        <v>66.432816272248274</v>
      </c>
      <c r="Y231" s="128">
        <v>103.95980102210896</v>
      </c>
      <c r="Z231" s="123">
        <v>49.599484406057101</v>
      </c>
      <c r="AA231" s="127">
        <v>77.645455206485479</v>
      </c>
      <c r="AB231" s="128">
        <v>124.58906624078871</v>
      </c>
      <c r="AC231" s="123">
        <v>48.672209441947089</v>
      </c>
      <c r="AD231" s="127">
        <v>78.381395845035357</v>
      </c>
      <c r="AE231" s="128">
        <v>130.01230815519821</v>
      </c>
    </row>
    <row r="232" spans="1:31" ht="14.4" customHeight="1" x14ac:dyDescent="0.3">
      <c r="A232" s="41">
        <v>2042</v>
      </c>
      <c r="B232" s="123">
        <v>111.08682953916346</v>
      </c>
      <c r="C232" s="127">
        <v>177.11466058668515</v>
      </c>
      <c r="D232" s="128">
        <v>321.77797444863666</v>
      </c>
      <c r="E232" s="123">
        <v>87.141335730871432</v>
      </c>
      <c r="F232" s="127">
        <v>182.46752257192438</v>
      </c>
      <c r="G232" s="128">
        <v>400.03403141124329</v>
      </c>
      <c r="H232" s="123">
        <v>67.468409931245532</v>
      </c>
      <c r="I232" s="127">
        <v>125.72719337770268</v>
      </c>
      <c r="J232" s="128">
        <v>204.20845122849232</v>
      </c>
      <c r="K232" s="231">
        <v>60.577478241621961</v>
      </c>
      <c r="L232" s="236">
        <v>112.12445822038845</v>
      </c>
      <c r="M232" s="232">
        <v>180.14457349637411</v>
      </c>
      <c r="N232" s="123">
        <v>42.932836599172269</v>
      </c>
      <c r="O232" s="127">
        <v>81.301600638696712</v>
      </c>
      <c r="P232" s="128">
        <v>150.97794987072447</v>
      </c>
      <c r="Q232" s="123">
        <v>46.400370498711297</v>
      </c>
      <c r="R232" s="127">
        <v>74.210443391171907</v>
      </c>
      <c r="S232" s="128">
        <v>118.55857144987382</v>
      </c>
      <c r="T232" s="123">
        <v>43.833527895122252</v>
      </c>
      <c r="U232" s="127">
        <v>69.993078614043625</v>
      </c>
      <c r="V232" s="128">
        <v>111.49383095565021</v>
      </c>
      <c r="W232" s="123">
        <v>42.661889129919466</v>
      </c>
      <c r="X232" s="127">
        <v>66.214872468455212</v>
      </c>
      <c r="Y232" s="128">
        <v>103.95980102210896</v>
      </c>
      <c r="Z232" s="123">
        <v>48.988056519528421</v>
      </c>
      <c r="AA232" s="127">
        <v>77.269854972463506</v>
      </c>
      <c r="AB232" s="128">
        <v>124.58906624078871</v>
      </c>
      <c r="AC232" s="123">
        <v>48.087535662982532</v>
      </c>
      <c r="AD232" s="127">
        <v>78.012902171718295</v>
      </c>
      <c r="AE232" s="128">
        <v>130.01230815519821</v>
      </c>
    </row>
    <row r="233" spans="1:31" ht="14.4" customHeight="1" x14ac:dyDescent="0.3">
      <c r="A233" s="41">
        <v>2043</v>
      </c>
      <c r="B233" s="123">
        <v>111.08682953916346</v>
      </c>
      <c r="C233" s="127">
        <v>177.11466058668515</v>
      </c>
      <c r="D233" s="128">
        <v>321.77797444863666</v>
      </c>
      <c r="E233" s="123">
        <v>86.547055804143355</v>
      </c>
      <c r="F233" s="127">
        <v>182.19381649932382</v>
      </c>
      <c r="G233" s="128">
        <v>400.03403141124329</v>
      </c>
      <c r="H233" s="123">
        <v>67.005635695526834</v>
      </c>
      <c r="I233" s="127">
        <v>125.27765105716823</v>
      </c>
      <c r="J233" s="128">
        <v>204.20845122849232</v>
      </c>
      <c r="K233" s="231">
        <v>60.05211642183103</v>
      </c>
      <c r="L233" s="236">
        <v>111.55543961343797</v>
      </c>
      <c r="M233" s="232">
        <v>180.14457349637411</v>
      </c>
      <c r="N233" s="123">
        <v>42.596080020016444</v>
      </c>
      <c r="O233" s="127">
        <v>81.088321866810304</v>
      </c>
      <c r="P233" s="128">
        <v>150.97794987072447</v>
      </c>
      <c r="Q233" s="123">
        <v>46.02452583214891</v>
      </c>
      <c r="R233" s="127">
        <v>73.977764386109925</v>
      </c>
      <c r="S233" s="128">
        <v>118.55857144987382</v>
      </c>
      <c r="T233" s="123">
        <v>43.466672877021786</v>
      </c>
      <c r="U233" s="127">
        <v>69.849583309121684</v>
      </c>
      <c r="V233" s="128">
        <v>111.49383095565021</v>
      </c>
      <c r="W233" s="123">
        <v>42.305131814782619</v>
      </c>
      <c r="X233" s="127">
        <v>65.99692866466215</v>
      </c>
      <c r="Y233" s="128">
        <v>103.95980102210896</v>
      </c>
      <c r="Z233" s="123">
        <v>48.37662863299974</v>
      </c>
      <c r="AA233" s="127">
        <v>76.894254738441575</v>
      </c>
      <c r="AB233" s="128">
        <v>124.58906624078871</v>
      </c>
      <c r="AC233" s="123">
        <v>47.502861884017989</v>
      </c>
      <c r="AD233" s="127">
        <v>77.644408498401219</v>
      </c>
      <c r="AE233" s="128">
        <v>130.01230815519821</v>
      </c>
    </row>
    <row r="234" spans="1:31" ht="14.4" customHeight="1" x14ac:dyDescent="0.3">
      <c r="A234" s="41">
        <v>2044</v>
      </c>
      <c r="B234" s="123">
        <v>111.08682953916346</v>
      </c>
      <c r="C234" s="127">
        <v>177.11466058668515</v>
      </c>
      <c r="D234" s="128">
        <v>321.77797444863666</v>
      </c>
      <c r="E234" s="123">
        <v>85.975014082019371</v>
      </c>
      <c r="F234" s="127">
        <v>181.93038312231513</v>
      </c>
      <c r="G234" s="128">
        <v>400.03403141124329</v>
      </c>
      <c r="H234" s="123">
        <v>66.605798755865877</v>
      </c>
      <c r="I234" s="127">
        <v>124.92342308940533</v>
      </c>
      <c r="J234" s="128">
        <v>204.20845122849232</v>
      </c>
      <c r="K234" s="231">
        <v>59.526754602040086</v>
      </c>
      <c r="L234" s="236">
        <v>110.98642100648746</v>
      </c>
      <c r="M234" s="232">
        <v>180.14457349637411</v>
      </c>
      <c r="N234" s="123">
        <v>42.259323440860605</v>
      </c>
      <c r="O234" s="127">
        <v>80.882364895561537</v>
      </c>
      <c r="P234" s="128">
        <v>150.97794987072447</v>
      </c>
      <c r="Q234" s="123">
        <v>45.648681165586531</v>
      </c>
      <c r="R234" s="127">
        <v>73.752495816992976</v>
      </c>
      <c r="S234" s="128">
        <v>118.55857144987382</v>
      </c>
      <c r="T234" s="123">
        <v>43.099817858921341</v>
      </c>
      <c r="U234" s="127">
        <v>69.706088004199728</v>
      </c>
      <c r="V234" s="128">
        <v>111.49383095565021</v>
      </c>
      <c r="W234" s="123">
        <v>41.948374499645794</v>
      </c>
      <c r="X234" s="127">
        <v>65.778984860869073</v>
      </c>
      <c r="Y234" s="128">
        <v>103.95980102210896</v>
      </c>
      <c r="Z234" s="123">
        <v>47.765200746471052</v>
      </c>
      <c r="AA234" s="127">
        <v>76.518654504419615</v>
      </c>
      <c r="AB234" s="128">
        <v>124.58906624078871</v>
      </c>
      <c r="AC234" s="123">
        <v>46.918188105053432</v>
      </c>
      <c r="AD234" s="127">
        <v>77.275914825084158</v>
      </c>
      <c r="AE234" s="128">
        <v>130.01230815519821</v>
      </c>
    </row>
    <row r="235" spans="1:31" ht="14.4" customHeight="1" x14ac:dyDescent="0.3">
      <c r="A235" s="41">
        <v>2045</v>
      </c>
      <c r="B235" s="123">
        <v>111.08682953916346</v>
      </c>
      <c r="C235" s="127">
        <v>177.11466058668515</v>
      </c>
      <c r="D235" s="128">
        <v>321.77797444863666</v>
      </c>
      <c r="E235" s="123">
        <v>85.423751609173067</v>
      </c>
      <c r="F235" s="127">
        <v>181.67654748016034</v>
      </c>
      <c r="G235" s="128">
        <v>400.03403141124329</v>
      </c>
      <c r="H235" s="123">
        <v>66.180046459004686</v>
      </c>
      <c r="I235" s="127">
        <v>124.51229103043553</v>
      </c>
      <c r="J235" s="128">
        <v>204.20845122849232</v>
      </c>
      <c r="K235" s="231">
        <v>59.001392782249134</v>
      </c>
      <c r="L235" s="236">
        <v>110.41740239953697</v>
      </c>
      <c r="M235" s="232">
        <v>180.14457349637411</v>
      </c>
      <c r="N235" s="123">
        <v>41.922566861704766</v>
      </c>
      <c r="O235" s="127">
        <v>80.680475591333661</v>
      </c>
      <c r="P235" s="128">
        <v>150.97794987072447</v>
      </c>
      <c r="Q235" s="123">
        <v>45.272836499024152</v>
      </c>
      <c r="R235" s="127">
        <v>73.531623683812754</v>
      </c>
      <c r="S235" s="128">
        <v>118.55857144987382</v>
      </c>
      <c r="T235" s="123">
        <v>42.732962840820875</v>
      </c>
      <c r="U235" s="127">
        <v>69.562592699277758</v>
      </c>
      <c r="V235" s="128">
        <v>111.49383095565021</v>
      </c>
      <c r="W235" s="123">
        <v>41.591617184508962</v>
      </c>
      <c r="X235" s="127">
        <v>65.561041057076025</v>
      </c>
      <c r="Y235" s="128">
        <v>103.95980102210896</v>
      </c>
      <c r="Z235" s="123">
        <v>47.153772859942372</v>
      </c>
      <c r="AA235" s="127">
        <v>76.143054270397684</v>
      </c>
      <c r="AB235" s="128">
        <v>124.58906624078871</v>
      </c>
      <c r="AC235" s="123">
        <v>46.333514326088874</v>
      </c>
      <c r="AD235" s="127">
        <v>76.907421151767082</v>
      </c>
      <c r="AE235" s="128">
        <v>130.01230815519821</v>
      </c>
    </row>
    <row r="236" spans="1:31" ht="14.4" customHeight="1" x14ac:dyDescent="0.3">
      <c r="A236" s="41">
        <v>2046</v>
      </c>
      <c r="B236" s="123">
        <v>111.08682953916346</v>
      </c>
      <c r="C236" s="127">
        <v>177.11466058668515</v>
      </c>
      <c r="D236" s="128">
        <v>321.77797444863666</v>
      </c>
      <c r="E236" s="123">
        <v>84.891946005951553</v>
      </c>
      <c r="F236" s="127">
        <v>181.4316978532735</v>
      </c>
      <c r="G236" s="128">
        <v>400.03403141124329</v>
      </c>
      <c r="H236" s="123">
        <v>65.798720488772489</v>
      </c>
      <c r="I236" s="127">
        <v>124.1964733242373</v>
      </c>
      <c r="J236" s="128">
        <v>204.20845122849232</v>
      </c>
      <c r="K236" s="231">
        <v>58.476030962458196</v>
      </c>
      <c r="L236" s="236">
        <v>109.84838379258647</v>
      </c>
      <c r="M236" s="232">
        <v>180.14457349637411</v>
      </c>
      <c r="N236" s="123">
        <v>41.585810282548934</v>
      </c>
      <c r="O236" s="127">
        <v>80.488348687955977</v>
      </c>
      <c r="P236" s="128">
        <v>150.97794987072447</v>
      </c>
      <c r="Q236" s="123">
        <v>44.896991832461758</v>
      </c>
      <c r="R236" s="127">
        <v>73.321051422510166</v>
      </c>
      <c r="S236" s="128">
        <v>118.55857144987382</v>
      </c>
      <c r="T236" s="123">
        <v>42.366107822720409</v>
      </c>
      <c r="U236" s="127">
        <v>69.419097394355788</v>
      </c>
      <c r="V236" s="128">
        <v>111.49383095565021</v>
      </c>
      <c r="W236" s="123">
        <v>41.234859869372144</v>
      </c>
      <c r="X236" s="127">
        <v>65.343097253282963</v>
      </c>
      <c r="Y236" s="128">
        <v>103.95980102210896</v>
      </c>
      <c r="Z236" s="123">
        <v>46.542344973413691</v>
      </c>
      <c r="AA236" s="127">
        <v>75.767454036375725</v>
      </c>
      <c r="AB236" s="128">
        <v>124.58906624078871</v>
      </c>
      <c r="AC236" s="123">
        <v>45.748840547124331</v>
      </c>
      <c r="AD236" s="127">
        <v>76.538927478450006</v>
      </c>
      <c r="AE236" s="128">
        <v>130.01230815519821</v>
      </c>
    </row>
    <row r="237" spans="1:31" ht="14.4" customHeight="1" x14ac:dyDescent="0.3">
      <c r="A237" s="41">
        <v>2047</v>
      </c>
      <c r="B237" s="123">
        <v>111.08682953916346</v>
      </c>
      <c r="C237" s="127">
        <v>177.11466058668515</v>
      </c>
      <c r="D237" s="128">
        <v>321.77797444863666</v>
      </c>
      <c r="E237" s="123">
        <v>84.378394973616807</v>
      </c>
      <c r="F237" s="127">
        <v>181.19527812083251</v>
      </c>
      <c r="G237" s="128">
        <v>400.03403141124329</v>
      </c>
      <c r="H237" s="123">
        <v>65.417394518540291</v>
      </c>
      <c r="I237" s="127">
        <v>123.89772684540112</v>
      </c>
      <c r="J237" s="128">
        <v>204.20845122849232</v>
      </c>
      <c r="K237" s="231">
        <v>57.950669142667266</v>
      </c>
      <c r="L237" s="236">
        <v>109.27936518563597</v>
      </c>
      <c r="M237" s="232">
        <v>180.14457349637411</v>
      </c>
      <c r="N237" s="123">
        <v>41.249053703393081</v>
      </c>
      <c r="O237" s="127">
        <v>80.29052705074902</v>
      </c>
      <c r="P237" s="128">
        <v>150.97794987072447</v>
      </c>
      <c r="Q237" s="123">
        <v>44.521147165899372</v>
      </c>
      <c r="R237" s="127">
        <v>73.104575725266741</v>
      </c>
      <c r="S237" s="128">
        <v>118.55857144987382</v>
      </c>
      <c r="T237" s="123">
        <v>41.999252804619942</v>
      </c>
      <c r="U237" s="127">
        <v>69.275602089433846</v>
      </c>
      <c r="V237" s="128">
        <v>111.49383095565021</v>
      </c>
      <c r="W237" s="123">
        <v>40.878102554235298</v>
      </c>
      <c r="X237" s="127">
        <v>65.125153449489886</v>
      </c>
      <c r="Y237" s="128">
        <v>103.95980102210896</v>
      </c>
      <c r="Z237" s="123">
        <v>45.930917086885017</v>
      </c>
      <c r="AA237" s="127">
        <v>75.391853802353779</v>
      </c>
      <c r="AB237" s="128">
        <v>124.58906624078871</v>
      </c>
      <c r="AC237" s="123">
        <v>45.164166768159774</v>
      </c>
      <c r="AD237" s="127">
        <v>76.17043380513293</v>
      </c>
      <c r="AE237" s="128">
        <v>130.01230815519821</v>
      </c>
    </row>
    <row r="238" spans="1:31" ht="14.4" customHeight="1" x14ac:dyDescent="0.3">
      <c r="A238" s="41">
        <v>2048</v>
      </c>
      <c r="B238" s="123">
        <v>111.08682953916346</v>
      </c>
      <c r="C238" s="127">
        <v>177.11466058668515</v>
      </c>
      <c r="D238" s="128">
        <v>321.77797444863666</v>
      </c>
      <c r="E238" s="123">
        <v>83.882002219412627</v>
      </c>
      <c r="F238" s="127">
        <v>180.96678124002096</v>
      </c>
      <c r="G238" s="128">
        <v>400.03403141124329</v>
      </c>
      <c r="H238" s="123">
        <v>65.010153191107833</v>
      </c>
      <c r="I238" s="127">
        <v>123.58902215060374</v>
      </c>
      <c r="J238" s="128">
        <v>204.20845122849232</v>
      </c>
      <c r="K238" s="231">
        <v>57.425307322876307</v>
      </c>
      <c r="L238" s="236">
        <v>108.71034657868549</v>
      </c>
      <c r="M238" s="232">
        <v>180.14457349637411</v>
      </c>
      <c r="N238" s="123">
        <v>40.912297124237263</v>
      </c>
      <c r="O238" s="127">
        <v>80.094332480350417</v>
      </c>
      <c r="P238" s="128">
        <v>150.97794987072447</v>
      </c>
      <c r="Q238" s="123">
        <v>44.145302499336985</v>
      </c>
      <c r="R238" s="127">
        <v>72.889607028027399</v>
      </c>
      <c r="S238" s="128">
        <v>118.55857144987382</v>
      </c>
      <c r="T238" s="123">
        <v>41.632397786519476</v>
      </c>
      <c r="U238" s="127">
        <v>69.132106784511876</v>
      </c>
      <c r="V238" s="128">
        <v>111.49383095565021</v>
      </c>
      <c r="W238" s="123">
        <v>40.521345239098473</v>
      </c>
      <c r="X238" s="127">
        <v>64.90720964569681</v>
      </c>
      <c r="Y238" s="128">
        <v>103.95980102210896</v>
      </c>
      <c r="Z238" s="123">
        <v>45.319489200356337</v>
      </c>
      <c r="AA238" s="127">
        <v>75.016253568331834</v>
      </c>
      <c r="AB238" s="128">
        <v>124.58906624078871</v>
      </c>
      <c r="AC238" s="123">
        <v>44.579492989195231</v>
      </c>
      <c r="AD238" s="127">
        <v>75.801940131815869</v>
      </c>
      <c r="AE238" s="128">
        <v>130.01230815519821</v>
      </c>
    </row>
    <row r="239" spans="1:31" ht="14.4" customHeight="1" x14ac:dyDescent="0.3">
      <c r="A239" s="41">
        <v>2049</v>
      </c>
      <c r="B239" s="123">
        <v>111.08682953916346</v>
      </c>
      <c r="C239" s="127">
        <v>177.11466058668515</v>
      </c>
      <c r="D239" s="128">
        <v>321.77797444863666</v>
      </c>
      <c r="E239" s="123">
        <v>83.401765387151485</v>
      </c>
      <c r="F239" s="127">
        <v>180.74574365480146</v>
      </c>
      <c r="G239" s="128">
        <v>400.03403141124329</v>
      </c>
      <c r="H239" s="123">
        <v>64.691764516933375</v>
      </c>
      <c r="I239" s="127">
        <v>123.27462704668568</v>
      </c>
      <c r="J239" s="128">
        <v>204.20845122849232</v>
      </c>
      <c r="K239" s="231">
        <v>56.899945503085377</v>
      </c>
      <c r="L239" s="236">
        <v>108.141327971735</v>
      </c>
      <c r="M239" s="232">
        <v>180.14457349637411</v>
      </c>
      <c r="N239" s="123">
        <v>40.575540545081424</v>
      </c>
      <c r="O239" s="127">
        <v>79.894070242930923</v>
      </c>
      <c r="P239" s="128">
        <v>150.97794987072447</v>
      </c>
      <c r="Q239" s="123">
        <v>43.769457832774606</v>
      </c>
      <c r="R239" s="127">
        <v>72.670241894851287</v>
      </c>
      <c r="S239" s="128">
        <v>118.55857144987382</v>
      </c>
      <c r="T239" s="123">
        <v>41.265542768419031</v>
      </c>
      <c r="U239" s="127">
        <v>68.98861147958992</v>
      </c>
      <c r="V239" s="128">
        <v>111.49383095565021</v>
      </c>
      <c r="W239" s="123">
        <v>40.164587923961641</v>
      </c>
      <c r="X239" s="127">
        <v>64.689265841903747</v>
      </c>
      <c r="Y239" s="128">
        <v>103.95980102210896</v>
      </c>
      <c r="Z239" s="123">
        <v>44.708061313827656</v>
      </c>
      <c r="AA239" s="127">
        <v>74.640653334309889</v>
      </c>
      <c r="AB239" s="128">
        <v>124.58906624078871</v>
      </c>
      <c r="AC239" s="123">
        <v>43.994819210230673</v>
      </c>
      <c r="AD239" s="127">
        <v>75.433446458498778</v>
      </c>
      <c r="AE239" s="128">
        <v>130.01230815519821</v>
      </c>
    </row>
    <row r="240" spans="1:31" ht="15" thickBot="1" x14ac:dyDescent="0.35">
      <c r="A240" s="42">
        <v>2050</v>
      </c>
      <c r="B240" s="124">
        <v>111.08682953916346</v>
      </c>
      <c r="C240" s="129">
        <v>177.11466058668515</v>
      </c>
      <c r="D240" s="130">
        <v>321.77797444863666</v>
      </c>
      <c r="E240" s="124">
        <v>82.936765659364582</v>
      </c>
      <c r="F240" s="129">
        <v>180.53174047938575</v>
      </c>
      <c r="G240" s="130">
        <v>400.03403141124329</v>
      </c>
      <c r="H240" s="124">
        <v>64.34746048555867</v>
      </c>
      <c r="I240" s="129">
        <v>123.03847506817706</v>
      </c>
      <c r="J240" s="130">
        <v>204.20845122849232</v>
      </c>
      <c r="K240" s="233">
        <v>56.374583683294446</v>
      </c>
      <c r="L240" s="234">
        <v>107.57230936478449</v>
      </c>
      <c r="M240" s="235">
        <v>180.14457349637411</v>
      </c>
      <c r="N240" s="124">
        <v>40.238783965925599</v>
      </c>
      <c r="O240" s="129">
        <v>79.679977937640331</v>
      </c>
      <c r="P240" s="130">
        <v>150.97794987072447</v>
      </c>
      <c r="Q240" s="124">
        <v>43.393613166212219</v>
      </c>
      <c r="R240" s="129">
        <v>72.436180453860757</v>
      </c>
      <c r="S240" s="130">
        <v>118.55857144987382</v>
      </c>
      <c r="T240" s="124">
        <v>40.898687750318565</v>
      </c>
      <c r="U240" s="129">
        <v>68.845116174667965</v>
      </c>
      <c r="V240" s="130">
        <v>111.49383095565021</v>
      </c>
      <c r="W240" s="124">
        <v>39.807830608824794</v>
      </c>
      <c r="X240" s="129">
        <v>64.471322038110685</v>
      </c>
      <c r="Y240" s="130">
        <v>103.95980102210896</v>
      </c>
      <c r="Z240" s="124">
        <v>44.09663342729894</v>
      </c>
      <c r="AA240" s="129">
        <v>74.265053100287943</v>
      </c>
      <c r="AB240" s="130">
        <v>124.58906624078871</v>
      </c>
      <c r="AC240" s="124">
        <v>43.410145431266102</v>
      </c>
      <c r="AD240" s="129">
        <v>75.064952785181731</v>
      </c>
      <c r="AE240" s="130">
        <v>130.01230815519821</v>
      </c>
    </row>
    <row r="241" spans="1:68" ht="15" thickBot="1" x14ac:dyDescent="0.35">
      <c r="A241" s="121"/>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row>
    <row r="242" spans="1:68" ht="18.600000000000001" thickBot="1" x14ac:dyDescent="0.4">
      <c r="A242" s="289" t="s">
        <v>0</v>
      </c>
      <c r="B242" s="345" t="s">
        <v>423</v>
      </c>
      <c r="C242" s="346"/>
      <c r="D242" s="346"/>
      <c r="E242" s="346"/>
      <c r="F242" s="346"/>
      <c r="G242" s="346"/>
      <c r="H242" s="346"/>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46"/>
      <c r="AE242" s="347"/>
      <c r="AG242" s="345" t="s">
        <v>72</v>
      </c>
      <c r="AH242" s="346"/>
      <c r="AI242" s="347"/>
      <c r="AJ242" s="345" t="s">
        <v>73</v>
      </c>
      <c r="AK242" s="346"/>
      <c r="AL242" s="347"/>
      <c r="AM242" s="345" t="s">
        <v>74</v>
      </c>
      <c r="AN242" s="346"/>
      <c r="AO242" s="347"/>
      <c r="AP242" s="345" t="s">
        <v>75</v>
      </c>
      <c r="AQ242" s="346"/>
      <c r="AR242" s="347"/>
      <c r="AS242" s="345" t="s">
        <v>72</v>
      </c>
      <c r="AT242" s="346"/>
      <c r="AU242" s="347"/>
      <c r="AV242" s="345" t="s">
        <v>73</v>
      </c>
      <c r="AW242" s="346"/>
      <c r="AX242" s="347"/>
      <c r="AY242" s="345" t="s">
        <v>74</v>
      </c>
      <c r="AZ242" s="346"/>
      <c r="BA242" s="347"/>
      <c r="BB242" s="345" t="s">
        <v>75</v>
      </c>
      <c r="BC242" s="346"/>
      <c r="BD242" s="347"/>
      <c r="BE242" s="345" t="s">
        <v>72</v>
      </c>
      <c r="BF242" s="346"/>
      <c r="BG242" s="347"/>
      <c r="BH242" s="345" t="s">
        <v>73</v>
      </c>
      <c r="BI242" s="346"/>
      <c r="BJ242" s="347"/>
      <c r="BK242" s="345" t="s">
        <v>74</v>
      </c>
      <c r="BL242" s="346"/>
      <c r="BM242" s="347"/>
      <c r="BN242" s="345" t="s">
        <v>75</v>
      </c>
      <c r="BO242" s="346"/>
      <c r="BP242" s="347"/>
    </row>
    <row r="243" spans="1:68" ht="18.600000000000001" thickBot="1" x14ac:dyDescent="0.35">
      <c r="A243" s="344"/>
      <c r="B243" s="338" t="s">
        <v>412</v>
      </c>
      <c r="C243" s="339"/>
      <c r="D243" s="340"/>
      <c r="E243" s="338" t="s">
        <v>413</v>
      </c>
      <c r="F243" s="339"/>
      <c r="G243" s="340"/>
      <c r="H243" s="338" t="s">
        <v>414</v>
      </c>
      <c r="I243" s="339"/>
      <c r="J243" s="340"/>
      <c r="K243" s="338" t="s">
        <v>415</v>
      </c>
      <c r="L243" s="339"/>
      <c r="M243" s="340"/>
      <c r="N243" s="338" t="s">
        <v>416</v>
      </c>
      <c r="O243" s="339"/>
      <c r="P243" s="340"/>
      <c r="Q243" s="338" t="s">
        <v>406</v>
      </c>
      <c r="R243" s="339"/>
      <c r="S243" s="340"/>
      <c r="T243" s="338" t="s">
        <v>407</v>
      </c>
      <c r="U243" s="339"/>
      <c r="V243" s="340"/>
      <c r="W243" s="338" t="s">
        <v>408</v>
      </c>
      <c r="X243" s="339"/>
      <c r="Y243" s="340"/>
      <c r="Z243" s="338" t="s">
        <v>312</v>
      </c>
      <c r="AA243" s="339"/>
      <c r="AB243" s="340"/>
      <c r="AC243" s="338" t="s">
        <v>409</v>
      </c>
      <c r="AD243" s="339"/>
      <c r="AE243" s="340"/>
      <c r="AG243" s="338" t="s">
        <v>408</v>
      </c>
      <c r="AH243" s="339"/>
      <c r="AI243" s="340"/>
      <c r="AJ243" s="338" t="s">
        <v>408</v>
      </c>
      <c r="AK243" s="339"/>
      <c r="AL243" s="340"/>
      <c r="AM243" s="338" t="s">
        <v>408</v>
      </c>
      <c r="AN243" s="339"/>
      <c r="AO243" s="340"/>
      <c r="AP243" s="338" t="s">
        <v>408</v>
      </c>
      <c r="AQ243" s="339"/>
      <c r="AR243" s="340"/>
      <c r="AS243" s="338" t="s">
        <v>312</v>
      </c>
      <c r="AT243" s="339"/>
      <c r="AU243" s="340"/>
      <c r="AV243" s="338" t="s">
        <v>312</v>
      </c>
      <c r="AW243" s="339"/>
      <c r="AX243" s="340"/>
      <c r="AY243" s="338" t="s">
        <v>312</v>
      </c>
      <c r="AZ243" s="339"/>
      <c r="BA243" s="340"/>
      <c r="BB243" s="338" t="s">
        <v>312</v>
      </c>
      <c r="BC243" s="339"/>
      <c r="BD243" s="340"/>
      <c r="BE243" s="338" t="s">
        <v>409</v>
      </c>
      <c r="BF243" s="339"/>
      <c r="BG243" s="340"/>
      <c r="BH243" s="338" t="s">
        <v>409</v>
      </c>
      <c r="BI243" s="339"/>
      <c r="BJ243" s="340"/>
      <c r="BK243" s="338" t="s">
        <v>409</v>
      </c>
      <c r="BL243" s="339"/>
      <c r="BM243" s="340"/>
      <c r="BN243" s="338" t="s">
        <v>409</v>
      </c>
      <c r="BO243" s="339"/>
      <c r="BP243" s="340"/>
    </row>
    <row r="244" spans="1:68" ht="18.600000000000001" customHeight="1" thickBot="1" x14ac:dyDescent="0.35">
      <c r="A244" s="290"/>
      <c r="B244" s="78" t="s">
        <v>69</v>
      </c>
      <c r="C244" s="79" t="s">
        <v>70</v>
      </c>
      <c r="D244" s="80" t="s">
        <v>71</v>
      </c>
      <c r="E244" s="78" t="s">
        <v>69</v>
      </c>
      <c r="F244" s="79" t="s">
        <v>70</v>
      </c>
      <c r="G244" s="80" t="s">
        <v>71</v>
      </c>
      <c r="H244" s="78" t="s">
        <v>69</v>
      </c>
      <c r="I244" s="79" t="s">
        <v>70</v>
      </c>
      <c r="J244" s="80" t="s">
        <v>71</v>
      </c>
      <c r="K244" s="78" t="s">
        <v>69</v>
      </c>
      <c r="L244" s="79" t="s">
        <v>70</v>
      </c>
      <c r="M244" s="80" t="s">
        <v>71</v>
      </c>
      <c r="N244" s="78" t="s">
        <v>69</v>
      </c>
      <c r="O244" s="79" t="s">
        <v>70</v>
      </c>
      <c r="P244" s="80" t="s">
        <v>71</v>
      </c>
      <c r="Q244" s="78" t="s">
        <v>69</v>
      </c>
      <c r="R244" s="79" t="s">
        <v>70</v>
      </c>
      <c r="S244" s="80" t="s">
        <v>71</v>
      </c>
      <c r="T244" s="78" t="s">
        <v>69</v>
      </c>
      <c r="U244" s="79" t="s">
        <v>70</v>
      </c>
      <c r="V244" s="80" t="s">
        <v>71</v>
      </c>
      <c r="W244" s="78" t="s">
        <v>69</v>
      </c>
      <c r="X244" s="79" t="s">
        <v>70</v>
      </c>
      <c r="Y244" s="80" t="s">
        <v>71</v>
      </c>
      <c r="Z244" s="78" t="s">
        <v>69</v>
      </c>
      <c r="AA244" s="79" t="s">
        <v>70</v>
      </c>
      <c r="AB244" s="80" t="s">
        <v>71</v>
      </c>
      <c r="AC244" s="78" t="s">
        <v>69</v>
      </c>
      <c r="AD244" s="79" t="s">
        <v>70</v>
      </c>
      <c r="AE244" s="80" t="s">
        <v>71</v>
      </c>
      <c r="AG244" s="78" t="s">
        <v>69</v>
      </c>
      <c r="AH244" s="79" t="s">
        <v>70</v>
      </c>
      <c r="AI244" s="80" t="s">
        <v>71</v>
      </c>
      <c r="AJ244" s="78" t="s">
        <v>69</v>
      </c>
      <c r="AK244" s="79" t="s">
        <v>70</v>
      </c>
      <c r="AL244" s="80" t="s">
        <v>71</v>
      </c>
      <c r="AM244" s="78" t="s">
        <v>69</v>
      </c>
      <c r="AN244" s="79" t="s">
        <v>70</v>
      </c>
      <c r="AO244" s="80" t="s">
        <v>71</v>
      </c>
      <c r="AP244" s="78" t="s">
        <v>69</v>
      </c>
      <c r="AQ244" s="79" t="s">
        <v>70</v>
      </c>
      <c r="AR244" s="80" t="s">
        <v>71</v>
      </c>
      <c r="AS244" s="78" t="s">
        <v>69</v>
      </c>
      <c r="AT244" s="79" t="s">
        <v>70</v>
      </c>
      <c r="AU244" s="80" t="s">
        <v>71</v>
      </c>
      <c r="AV244" s="78" t="s">
        <v>69</v>
      </c>
      <c r="AW244" s="79" t="s">
        <v>70</v>
      </c>
      <c r="AX244" s="80" t="s">
        <v>71</v>
      </c>
      <c r="AY244" s="78" t="s">
        <v>69</v>
      </c>
      <c r="AZ244" s="79" t="s">
        <v>70</v>
      </c>
      <c r="BA244" s="80" t="s">
        <v>71</v>
      </c>
      <c r="BB244" s="78" t="s">
        <v>69</v>
      </c>
      <c r="BC244" s="79" t="s">
        <v>70</v>
      </c>
      <c r="BD244" s="80" t="s">
        <v>71</v>
      </c>
      <c r="BE244" s="78" t="s">
        <v>69</v>
      </c>
      <c r="BF244" s="79" t="s">
        <v>70</v>
      </c>
      <c r="BG244" s="80" t="s">
        <v>71</v>
      </c>
      <c r="BH244" s="78" t="s">
        <v>69</v>
      </c>
      <c r="BI244" s="79" t="s">
        <v>70</v>
      </c>
      <c r="BJ244" s="80" t="s">
        <v>71</v>
      </c>
      <c r="BK244" s="78" t="s">
        <v>69</v>
      </c>
      <c r="BL244" s="79" t="s">
        <v>70</v>
      </c>
      <c r="BM244" s="80" t="s">
        <v>71</v>
      </c>
      <c r="BN244" s="78" t="s">
        <v>69</v>
      </c>
      <c r="BO244" s="79" t="s">
        <v>70</v>
      </c>
      <c r="BP244" s="80" t="s">
        <v>71</v>
      </c>
    </row>
    <row r="245" spans="1:68" x14ac:dyDescent="0.3">
      <c r="A245" s="52">
        <v>2015</v>
      </c>
      <c r="B245" s="122">
        <v>2145.8245544221113</v>
      </c>
      <c r="C245" s="125">
        <v>2345.6618208127411</v>
      </c>
      <c r="D245" s="126">
        <v>2356.1995107380044</v>
      </c>
      <c r="E245" s="125">
        <v>2475.658331445291</v>
      </c>
      <c r="F245" s="125">
        <v>2475.658331445291</v>
      </c>
      <c r="G245" s="125">
        <v>2475.658331445291</v>
      </c>
      <c r="H245" s="122">
        <v>2120.5839453675071</v>
      </c>
      <c r="I245" s="125">
        <v>2120.5839453675071</v>
      </c>
      <c r="J245" s="126">
        <v>2120.5839453675071</v>
      </c>
      <c r="K245" s="125"/>
      <c r="L245" s="125"/>
      <c r="M245" s="125"/>
      <c r="N245" s="122"/>
      <c r="O245" s="125"/>
      <c r="P245" s="126"/>
      <c r="Q245" s="125"/>
      <c r="R245" s="125"/>
      <c r="S245" s="125"/>
      <c r="T245" s="122"/>
      <c r="U245" s="125"/>
      <c r="V245" s="126"/>
      <c r="W245" s="125"/>
      <c r="X245" s="125"/>
      <c r="Y245" s="125"/>
      <c r="Z245" s="122"/>
      <c r="AA245" s="125"/>
      <c r="AB245" s="126"/>
      <c r="AC245" s="122"/>
      <c r="AD245" s="125"/>
      <c r="AE245" s="126"/>
      <c r="AG245" s="122"/>
      <c r="AH245" s="125"/>
      <c r="AI245" s="126"/>
      <c r="AJ245" s="122"/>
      <c r="AK245" s="125"/>
      <c r="AL245" s="126"/>
      <c r="AM245" s="122"/>
      <c r="AN245" s="125"/>
      <c r="AO245" s="126"/>
      <c r="AP245" s="122"/>
      <c r="AQ245" s="125"/>
      <c r="AR245" s="126"/>
      <c r="AS245" s="122"/>
      <c r="AT245" s="125"/>
      <c r="AU245" s="126"/>
      <c r="AV245" s="122"/>
      <c r="AW245" s="125"/>
      <c r="AX245" s="126"/>
      <c r="AY245" s="122"/>
      <c r="AZ245" s="125"/>
      <c r="BA245" s="126"/>
      <c r="BB245" s="122"/>
      <c r="BC245" s="125"/>
      <c r="BD245" s="126"/>
      <c r="BE245" s="122"/>
      <c r="BF245" s="125"/>
      <c r="BG245" s="126"/>
      <c r="BH245" s="122"/>
      <c r="BI245" s="125"/>
      <c r="BJ245" s="126"/>
      <c r="BK245" s="122"/>
      <c r="BL245" s="125"/>
      <c r="BM245" s="126"/>
      <c r="BN245" s="122"/>
      <c r="BO245" s="125"/>
      <c r="BP245" s="126"/>
    </row>
    <row r="246" spans="1:68" x14ac:dyDescent="0.3">
      <c r="A246" s="24">
        <v>2016</v>
      </c>
      <c r="B246" s="123">
        <v>2125.7281895925194</v>
      </c>
      <c r="C246" s="127">
        <v>2334.5686044772574</v>
      </c>
      <c r="D246" s="128">
        <v>2356.1995107380044</v>
      </c>
      <c r="E246" s="127">
        <v>2473.410165842824</v>
      </c>
      <c r="F246" s="127">
        <v>2473.410165842824</v>
      </c>
      <c r="G246" s="127">
        <v>2473.410165842824</v>
      </c>
      <c r="H246" s="123">
        <v>2016.5547933257885</v>
      </c>
      <c r="I246" s="127">
        <v>2068.8638446343343</v>
      </c>
      <c r="J246" s="128">
        <v>2120.5839453675071</v>
      </c>
      <c r="K246" s="127">
        <v>2050.1233807489116</v>
      </c>
      <c r="L246" s="127">
        <v>2050.1233807489116</v>
      </c>
      <c r="M246" s="127">
        <v>2050.1233807489116</v>
      </c>
      <c r="N246" s="123"/>
      <c r="O246" s="127"/>
      <c r="P246" s="128"/>
      <c r="Q246" s="127"/>
      <c r="R246" s="127"/>
      <c r="S246" s="127"/>
      <c r="T246" s="123"/>
      <c r="U246" s="127"/>
      <c r="V246" s="128"/>
      <c r="W246" s="127"/>
      <c r="X246" s="127"/>
      <c r="Y246" s="127"/>
      <c r="Z246" s="123"/>
      <c r="AA246" s="127"/>
      <c r="AB246" s="128"/>
      <c r="AC246" s="123"/>
      <c r="AD246" s="127"/>
      <c r="AE246" s="128"/>
      <c r="AG246" s="123"/>
      <c r="AH246" s="127"/>
      <c r="AI246" s="128"/>
      <c r="AJ246" s="123"/>
      <c r="AK246" s="127"/>
      <c r="AL246" s="128"/>
      <c r="AM246" s="123"/>
      <c r="AN246" s="127"/>
      <c r="AO246" s="128"/>
      <c r="AP246" s="123"/>
      <c r="AQ246" s="127"/>
      <c r="AR246" s="128"/>
      <c r="AS246" s="123"/>
      <c r="AT246" s="127"/>
      <c r="AU246" s="128"/>
      <c r="AV246" s="123"/>
      <c r="AW246" s="127"/>
      <c r="AX246" s="128"/>
      <c r="AY246" s="123"/>
      <c r="AZ246" s="127"/>
      <c r="BA246" s="128"/>
      <c r="BB246" s="123"/>
      <c r="BC246" s="127"/>
      <c r="BD246" s="128"/>
      <c r="BE246" s="123"/>
      <c r="BF246" s="127"/>
      <c r="BG246" s="128"/>
      <c r="BH246" s="123"/>
      <c r="BI246" s="127"/>
      <c r="BJ246" s="128"/>
      <c r="BK246" s="123"/>
      <c r="BL246" s="127"/>
      <c r="BM246" s="128"/>
      <c r="BN246" s="123"/>
      <c r="BO246" s="127"/>
      <c r="BP246" s="128"/>
    </row>
    <row r="247" spans="1:68" x14ac:dyDescent="0.3">
      <c r="A247" s="24">
        <v>2017</v>
      </c>
      <c r="B247" s="123">
        <v>2105.6472689259035</v>
      </c>
      <c r="C247" s="127">
        <v>2323.41696812993</v>
      </c>
      <c r="D247" s="128">
        <v>2356.1995107380044</v>
      </c>
      <c r="E247" s="127">
        <v>2386.1550828842051</v>
      </c>
      <c r="F247" s="127">
        <v>2473.4449137869697</v>
      </c>
      <c r="G247" s="127">
        <v>2473.410165842824</v>
      </c>
      <c r="H247" s="123">
        <v>2006.301693544533</v>
      </c>
      <c r="I247" s="127">
        <v>2066.6084602933656</v>
      </c>
      <c r="J247" s="128">
        <v>2120.5839453675071</v>
      </c>
      <c r="K247" s="127">
        <v>2007.293643054725</v>
      </c>
      <c r="L247" s="127">
        <v>2043.2627981692867</v>
      </c>
      <c r="M247" s="127">
        <v>2101.8100014998777</v>
      </c>
      <c r="N247" s="123">
        <v>1980.4335783194899</v>
      </c>
      <c r="O247" s="127">
        <v>1980.4335783194899</v>
      </c>
      <c r="P247" s="128">
        <v>1980.4335783194899</v>
      </c>
      <c r="Q247" s="127"/>
      <c r="R247" s="127"/>
      <c r="S247" s="127"/>
      <c r="T247" s="123"/>
      <c r="U247" s="127"/>
      <c r="V247" s="128"/>
      <c r="W247" s="127"/>
      <c r="X247" s="127"/>
      <c r="Y247" s="127"/>
      <c r="Z247" s="123"/>
      <c r="AA247" s="127"/>
      <c r="AB247" s="128"/>
      <c r="AC247" s="123"/>
      <c r="AD247" s="127"/>
      <c r="AE247" s="128"/>
      <c r="AG247" s="123"/>
      <c r="AH247" s="127"/>
      <c r="AI247" s="128"/>
      <c r="AJ247" s="123"/>
      <c r="AK247" s="127"/>
      <c r="AL247" s="128"/>
      <c r="AM247" s="123"/>
      <c r="AN247" s="127"/>
      <c r="AO247" s="128"/>
      <c r="AP247" s="123"/>
      <c r="AQ247" s="127"/>
      <c r="AR247" s="128"/>
      <c r="AS247" s="123"/>
      <c r="AT247" s="127"/>
      <c r="AU247" s="128"/>
      <c r="AV247" s="123"/>
      <c r="AW247" s="127"/>
      <c r="AX247" s="128"/>
      <c r="AY247" s="123"/>
      <c r="AZ247" s="127"/>
      <c r="BA247" s="128"/>
      <c r="BB247" s="123"/>
      <c r="BC247" s="127"/>
      <c r="BD247" s="128"/>
      <c r="BE247" s="123"/>
      <c r="BF247" s="127"/>
      <c r="BG247" s="128"/>
      <c r="BH247" s="123"/>
      <c r="BI247" s="127"/>
      <c r="BJ247" s="128"/>
      <c r="BK247" s="123"/>
      <c r="BL247" s="127"/>
      <c r="BM247" s="128"/>
      <c r="BN247" s="123"/>
      <c r="BO247" s="127"/>
      <c r="BP247" s="128"/>
    </row>
    <row r="248" spans="1:68" x14ac:dyDescent="0.3">
      <c r="A248" s="24">
        <v>2018</v>
      </c>
      <c r="B248" s="123">
        <v>2085.5817321900277</v>
      </c>
      <c r="C248" s="127">
        <v>2312.205582823638</v>
      </c>
      <c r="D248" s="128">
        <v>2356.1995107380044</v>
      </c>
      <c r="E248" s="127">
        <v>2353.8354622898164</v>
      </c>
      <c r="F248" s="127">
        <v>2468.5443440473964</v>
      </c>
      <c r="G248" s="127">
        <v>2473.410165842824</v>
      </c>
      <c r="H248" s="123">
        <v>1987.9239378159118</v>
      </c>
      <c r="I248" s="127">
        <v>2061.9824059186999</v>
      </c>
      <c r="J248" s="128">
        <v>2120.5839453675071</v>
      </c>
      <c r="K248" s="127">
        <v>2001.7722219088798</v>
      </c>
      <c r="L248" s="127">
        <v>2036.7506173290199</v>
      </c>
      <c r="M248" s="127">
        <v>2101.8100014998777</v>
      </c>
      <c r="N248" s="123">
        <v>1934.4894537919317</v>
      </c>
      <c r="O248" s="127">
        <v>1946.5800128781311</v>
      </c>
      <c r="P248" s="128">
        <v>1980.4335783194899</v>
      </c>
      <c r="Q248" s="127">
        <v>2386.569385514862</v>
      </c>
      <c r="R248" s="127">
        <v>2386.569385514862</v>
      </c>
      <c r="S248" s="127">
        <v>2386.569385514862</v>
      </c>
      <c r="T248" s="123"/>
      <c r="U248" s="127"/>
      <c r="V248" s="128"/>
      <c r="W248" s="127"/>
      <c r="X248" s="127"/>
      <c r="Y248" s="127"/>
      <c r="Z248" s="123"/>
      <c r="AA248" s="127"/>
      <c r="AB248" s="128"/>
      <c r="AC248" s="123"/>
      <c r="AD248" s="127"/>
      <c r="AE248" s="128"/>
      <c r="AG248" s="123"/>
      <c r="AH248" s="127"/>
      <c r="AI248" s="128"/>
      <c r="AJ248" s="123"/>
      <c r="AK248" s="127"/>
      <c r="AL248" s="128"/>
      <c r="AM248" s="123"/>
      <c r="AN248" s="127"/>
      <c r="AO248" s="128"/>
      <c r="AP248" s="123"/>
      <c r="AQ248" s="127"/>
      <c r="AR248" s="128"/>
      <c r="AS248" s="123"/>
      <c r="AT248" s="127"/>
      <c r="AU248" s="128"/>
      <c r="AV248" s="123"/>
      <c r="AW248" s="127"/>
      <c r="AX248" s="128"/>
      <c r="AY248" s="123"/>
      <c r="AZ248" s="127"/>
      <c r="BA248" s="128"/>
      <c r="BB248" s="123"/>
      <c r="BC248" s="127"/>
      <c r="BD248" s="128"/>
      <c r="BE248" s="123"/>
      <c r="BF248" s="127"/>
      <c r="BG248" s="128"/>
      <c r="BH248" s="123"/>
      <c r="BI248" s="127"/>
      <c r="BJ248" s="128"/>
      <c r="BK248" s="123"/>
      <c r="BL248" s="127"/>
      <c r="BM248" s="128"/>
      <c r="BN248" s="123"/>
      <c r="BO248" s="127"/>
      <c r="BP248" s="128"/>
    </row>
    <row r="249" spans="1:68" x14ac:dyDescent="0.3">
      <c r="A249" s="24">
        <v>2019</v>
      </c>
      <c r="B249" s="123">
        <v>2065.5315193875608</v>
      </c>
      <c r="C249" s="127">
        <v>2300.9330719142181</v>
      </c>
      <c r="D249" s="128">
        <v>2356.1995107380044</v>
      </c>
      <c r="E249" s="127">
        <v>2321.0105911385053</v>
      </c>
      <c r="F249" s="127">
        <v>2465.9992569013571</v>
      </c>
      <c r="G249" s="127">
        <v>2473.410165842824</v>
      </c>
      <c r="H249" s="123">
        <v>1961.6804767042593</v>
      </c>
      <c r="I249" s="127">
        <v>2055.0301386600695</v>
      </c>
      <c r="J249" s="128">
        <v>2120.5839453675071</v>
      </c>
      <c r="K249" s="127">
        <v>1982.8368319658475</v>
      </c>
      <c r="L249" s="127">
        <v>2030.5868382281121</v>
      </c>
      <c r="M249" s="127">
        <v>2101.8100014998777</v>
      </c>
      <c r="N249" s="123">
        <v>1888.5453292643726</v>
      </c>
      <c r="O249" s="127">
        <v>1912.7264474367723</v>
      </c>
      <c r="P249" s="128">
        <v>1980.4335783194899</v>
      </c>
      <c r="Q249" s="127">
        <v>2309.3641231753168</v>
      </c>
      <c r="R249" s="127">
        <v>2347.5475698366595</v>
      </c>
      <c r="S249" s="127">
        <v>2353.3879726289592</v>
      </c>
      <c r="T249" s="123">
        <v>1665.76</v>
      </c>
      <c r="U249" s="127">
        <v>1665.76</v>
      </c>
      <c r="V249" s="128">
        <v>1665.76</v>
      </c>
      <c r="W249" s="127"/>
      <c r="X249" s="127"/>
      <c r="Y249" s="127"/>
      <c r="Z249" s="123"/>
      <c r="AA249" s="127"/>
      <c r="AB249" s="128"/>
      <c r="AC249" s="123"/>
      <c r="AD249" s="127"/>
      <c r="AE249" s="128"/>
      <c r="AG249" s="123"/>
      <c r="AH249" s="127"/>
      <c r="AI249" s="128"/>
      <c r="AJ249" s="123"/>
      <c r="AK249" s="127"/>
      <c r="AL249" s="128"/>
      <c r="AM249" s="123"/>
      <c r="AN249" s="127"/>
      <c r="AO249" s="128"/>
      <c r="AP249" s="123"/>
      <c r="AQ249" s="127"/>
      <c r="AR249" s="128"/>
      <c r="AS249" s="123"/>
      <c r="AT249" s="127"/>
      <c r="AU249" s="128"/>
      <c r="AV249" s="123"/>
      <c r="AW249" s="127"/>
      <c r="AX249" s="128"/>
      <c r="AY249" s="123"/>
      <c r="AZ249" s="127"/>
      <c r="BA249" s="128"/>
      <c r="BB249" s="123"/>
      <c r="BC249" s="127"/>
      <c r="BD249" s="128"/>
      <c r="BE249" s="123"/>
      <c r="BF249" s="127"/>
      <c r="BG249" s="128"/>
      <c r="BH249" s="123"/>
      <c r="BI249" s="127"/>
      <c r="BJ249" s="128"/>
      <c r="BK249" s="123"/>
      <c r="BL249" s="127"/>
      <c r="BM249" s="128"/>
      <c r="BN249" s="123"/>
      <c r="BO249" s="127"/>
      <c r="BP249" s="128"/>
    </row>
    <row r="250" spans="1:68" x14ac:dyDescent="0.3">
      <c r="A250" s="24">
        <v>2020</v>
      </c>
      <c r="B250" s="123">
        <v>2045.4965707551639</v>
      </c>
      <c r="C250" s="127">
        <v>2291.5909867546184</v>
      </c>
      <c r="D250" s="128">
        <v>2356.1995107380044</v>
      </c>
      <c r="E250" s="127">
        <v>2294.2022254594799</v>
      </c>
      <c r="F250" s="127">
        <v>2462.9310602223131</v>
      </c>
      <c r="G250" s="127">
        <v>2473.410165842824</v>
      </c>
      <c r="H250" s="123">
        <v>1927.8302607745225</v>
      </c>
      <c r="I250" s="127">
        <v>2045.7961156655213</v>
      </c>
      <c r="J250" s="128">
        <v>2120.5839453675071</v>
      </c>
      <c r="K250" s="127">
        <v>1951.3406355626373</v>
      </c>
      <c r="L250" s="127">
        <v>2024.7714608665622</v>
      </c>
      <c r="M250" s="127">
        <v>2101.8100014998777</v>
      </c>
      <c r="N250" s="123">
        <v>1842.6012047368147</v>
      </c>
      <c r="O250" s="127">
        <v>1878.8728819954131</v>
      </c>
      <c r="P250" s="128">
        <v>1980.4335783194899</v>
      </c>
      <c r="Q250" s="127">
        <v>2227.8770161581297</v>
      </c>
      <c r="R250" s="127">
        <v>2307.1262335870033</v>
      </c>
      <c r="S250" s="127">
        <v>2319.9235566353605</v>
      </c>
      <c r="T250" s="123">
        <v>1588.1454545454542</v>
      </c>
      <c r="U250" s="127">
        <v>1614.5090909090907</v>
      </c>
      <c r="V250" s="128">
        <v>1619.7818181818179</v>
      </c>
      <c r="W250" s="127">
        <v>1578.96</v>
      </c>
      <c r="X250" s="127">
        <v>1578.96</v>
      </c>
      <c r="Y250" s="127">
        <v>1578.96</v>
      </c>
      <c r="Z250" s="123"/>
      <c r="AA250" s="127"/>
      <c r="AB250" s="128"/>
      <c r="AC250" s="123"/>
      <c r="AD250" s="127"/>
      <c r="AE250" s="128"/>
      <c r="AG250" s="123">
        <v>6273.3532497147944</v>
      </c>
      <c r="AH250" s="127">
        <v>6273.353249714798</v>
      </c>
      <c r="AI250" s="128">
        <v>6273.3532497147944</v>
      </c>
      <c r="AJ250" s="123">
        <v>4710.4345694337026</v>
      </c>
      <c r="AK250" s="127">
        <v>4710.4345694337044</v>
      </c>
      <c r="AL250" s="128">
        <v>4710.4345694337026</v>
      </c>
      <c r="AM250" s="123">
        <v>3058.3940614614698</v>
      </c>
      <c r="AN250" s="127">
        <v>3058.3940614614698</v>
      </c>
      <c r="AO250" s="128">
        <v>3058.3940614614698</v>
      </c>
      <c r="AP250" s="123">
        <v>2434.5735142515537</v>
      </c>
      <c r="AQ250" s="127">
        <v>2434.5735142515541</v>
      </c>
      <c r="AR250" s="128">
        <v>2434.5735142515537</v>
      </c>
      <c r="AS250" s="123"/>
      <c r="AT250" s="127"/>
      <c r="AU250" s="128"/>
      <c r="AV250" s="123"/>
      <c r="AW250" s="127"/>
      <c r="AX250" s="128"/>
      <c r="AY250" s="123"/>
      <c r="AZ250" s="127"/>
      <c r="BA250" s="128"/>
      <c r="BB250" s="123"/>
      <c r="BC250" s="127"/>
      <c r="BD250" s="128"/>
      <c r="BE250" s="123"/>
      <c r="BF250" s="127"/>
      <c r="BG250" s="128"/>
      <c r="BH250" s="123"/>
      <c r="BI250" s="127"/>
      <c r="BJ250" s="128"/>
      <c r="BK250" s="123"/>
      <c r="BL250" s="127"/>
      <c r="BM250" s="128"/>
      <c r="BN250" s="123"/>
      <c r="BO250" s="127"/>
      <c r="BP250" s="128"/>
    </row>
    <row r="251" spans="1:68" x14ac:dyDescent="0.3">
      <c r="A251" s="24">
        <v>2021</v>
      </c>
      <c r="B251" s="123">
        <v>2028.9967817502811</v>
      </c>
      <c r="C251" s="127">
        <v>2284.5831766595416</v>
      </c>
      <c r="D251" s="128">
        <v>2356.1995107380044</v>
      </c>
      <c r="E251" s="127">
        <v>2256.1690498193343</v>
      </c>
      <c r="F251" s="127">
        <v>2458.6751031159069</v>
      </c>
      <c r="G251" s="127">
        <v>2473.410165842824</v>
      </c>
      <c r="H251" s="123">
        <v>1919.7765261206223</v>
      </c>
      <c r="I251" s="127">
        <v>2045.1172466378375</v>
      </c>
      <c r="J251" s="128">
        <v>2120.5839453675071</v>
      </c>
      <c r="K251" s="127">
        <v>1882.7768253280899</v>
      </c>
      <c r="L251" s="127">
        <v>2019.3044852443718</v>
      </c>
      <c r="M251" s="127">
        <v>2101.8100014998777</v>
      </c>
      <c r="N251" s="123">
        <v>1796.6570802092565</v>
      </c>
      <c r="O251" s="127">
        <v>1845.0193165540547</v>
      </c>
      <c r="P251" s="128">
        <v>1980.4335783194899</v>
      </c>
      <c r="Q251" s="127">
        <v>2142.1080644632993</v>
      </c>
      <c r="R251" s="127">
        <v>2265.3053767658935</v>
      </c>
      <c r="S251" s="127">
        <v>2286.1761375340657</v>
      </c>
      <c r="T251" s="123">
        <v>1510.5309090909091</v>
      </c>
      <c r="U251" s="127">
        <v>1563.2581818181818</v>
      </c>
      <c r="V251" s="128">
        <v>1573.8036363636361</v>
      </c>
      <c r="W251" s="127">
        <v>1496.6639999999998</v>
      </c>
      <c r="X251" s="127">
        <v>1523.6639999999998</v>
      </c>
      <c r="Y251" s="127">
        <v>1529.0639999999999</v>
      </c>
      <c r="Z251" s="123">
        <v>1498.3280000000041</v>
      </c>
      <c r="AA251" s="127">
        <v>1498.3280000000041</v>
      </c>
      <c r="AB251" s="128">
        <v>1498.3280000000041</v>
      </c>
      <c r="AC251" s="123"/>
      <c r="AD251" s="127"/>
      <c r="AE251" s="128"/>
      <c r="AG251" s="123">
        <v>5510.7982153293115</v>
      </c>
      <c r="AH251" s="127">
        <v>5911.7684306178508</v>
      </c>
      <c r="AI251" s="128">
        <v>6160.0564900249456</v>
      </c>
      <c r="AJ251" s="123">
        <v>4137.859512349457</v>
      </c>
      <c r="AK251" s="127">
        <v>4438.9335772435816</v>
      </c>
      <c r="AL251" s="128">
        <v>4625.3641211097292</v>
      </c>
      <c r="AM251" s="123">
        <v>2686.6321510656003</v>
      </c>
      <c r="AN251" s="127">
        <v>2882.1137183306264</v>
      </c>
      <c r="AO251" s="128">
        <v>3003.1594647114757</v>
      </c>
      <c r="AP251" s="123">
        <v>2138.6398698392159</v>
      </c>
      <c r="AQ251" s="127">
        <v>2294.2490675501213</v>
      </c>
      <c r="AR251" s="128">
        <v>2390.6051165841704</v>
      </c>
      <c r="AS251" s="123">
        <v>6187.6269748349869</v>
      </c>
      <c r="AT251" s="127">
        <v>6187.6269748349914</v>
      </c>
      <c r="AU251" s="128">
        <v>6187.6269748349869</v>
      </c>
      <c r="AV251" s="123">
        <v>4646.0658032206802</v>
      </c>
      <c r="AW251" s="127">
        <v>4646.0658032206829</v>
      </c>
      <c r="AX251" s="128">
        <v>4646.0658032206802</v>
      </c>
      <c r="AY251" s="123">
        <v>3016.6006665150726</v>
      </c>
      <c r="AZ251" s="127">
        <v>3016.6006665150717</v>
      </c>
      <c r="BA251" s="128">
        <v>3016.6006665150726</v>
      </c>
      <c r="BB251" s="123">
        <v>2401.3047168492508</v>
      </c>
      <c r="BC251" s="127">
        <v>2401.3047168492499</v>
      </c>
      <c r="BD251" s="128">
        <v>2401.3047168492508</v>
      </c>
      <c r="BE251" s="123"/>
      <c r="BF251" s="127"/>
      <c r="BG251" s="128"/>
      <c r="BH251" s="123"/>
      <c r="BI251" s="127"/>
      <c r="BJ251" s="128"/>
      <c r="BK251" s="123"/>
      <c r="BL251" s="127"/>
      <c r="BM251" s="128"/>
      <c r="BN251" s="123"/>
      <c r="BO251" s="127"/>
      <c r="BP251" s="128"/>
    </row>
    <row r="252" spans="1:68" x14ac:dyDescent="0.3">
      <c r="A252" s="24">
        <v>2022</v>
      </c>
      <c r="B252" s="123">
        <v>2016.6846207852941</v>
      </c>
      <c r="C252" s="127">
        <v>2277.5507906725561</v>
      </c>
      <c r="D252" s="128">
        <v>2356.1995107380044</v>
      </c>
      <c r="E252" s="127">
        <v>2225.5379487669188</v>
      </c>
      <c r="F252" s="127">
        <v>2455.7602564298777</v>
      </c>
      <c r="G252" s="127">
        <v>2473.410165842824</v>
      </c>
      <c r="H252" s="123">
        <v>1906.2733224303913</v>
      </c>
      <c r="I252" s="127">
        <v>2042.5142849501794</v>
      </c>
      <c r="J252" s="128">
        <v>2120.5839453675071</v>
      </c>
      <c r="K252" s="127">
        <v>1810.4043224837196</v>
      </c>
      <c r="L252" s="127">
        <v>2014.1859113615396</v>
      </c>
      <c r="M252" s="127">
        <v>2101.8100014998777</v>
      </c>
      <c r="N252" s="123">
        <v>1750.7129556816978</v>
      </c>
      <c r="O252" s="127">
        <v>1811.1657511126957</v>
      </c>
      <c r="P252" s="128">
        <v>1980.4335783194899</v>
      </c>
      <c r="Q252" s="127">
        <v>2052.0572680908276</v>
      </c>
      <c r="R252" s="127">
        <v>2222.0849993733295</v>
      </c>
      <c r="S252" s="127">
        <v>2252.1457153250753</v>
      </c>
      <c r="T252" s="123">
        <v>1432.9163636363635</v>
      </c>
      <c r="U252" s="127">
        <v>1512.0072727272729</v>
      </c>
      <c r="V252" s="128">
        <v>1527.825454545454</v>
      </c>
      <c r="W252" s="127">
        <v>1414.3680000000002</v>
      </c>
      <c r="X252" s="127">
        <v>1468.3680000000002</v>
      </c>
      <c r="Y252" s="127">
        <v>1479.1680000000003</v>
      </c>
      <c r="Z252" s="123">
        <v>1683.9362641018538</v>
      </c>
      <c r="AA252" s="127">
        <v>1691.7951555555544</v>
      </c>
      <c r="AB252" s="128">
        <v>1710.1966166099678</v>
      </c>
      <c r="AC252" s="123">
        <v>1753.3776103675468</v>
      </c>
      <c r="AD252" s="127">
        <v>1753.3776103675468</v>
      </c>
      <c r="AE252" s="128">
        <v>1753.3776103675468</v>
      </c>
      <c r="AG252" s="123">
        <v>4881.1254868896985</v>
      </c>
      <c r="AH252" s="127">
        <v>5597.4785795578855</v>
      </c>
      <c r="AI252" s="128">
        <v>6048.8058698150953</v>
      </c>
      <c r="AJ252" s="123">
        <v>3665.0609834914749</v>
      </c>
      <c r="AK252" s="127">
        <v>4202.9446698243582</v>
      </c>
      <c r="AL252" s="128">
        <v>4541.8300450824881</v>
      </c>
      <c r="AM252" s="123">
        <v>2379.6532106701252</v>
      </c>
      <c r="AN252" s="127">
        <v>2728.8906850026215</v>
      </c>
      <c r="AO252" s="128">
        <v>2948.922404778787</v>
      </c>
      <c r="AP252" s="123">
        <v>1894.2754149322188</v>
      </c>
      <c r="AQ252" s="127">
        <v>2172.2789318458322</v>
      </c>
      <c r="AR252" s="128">
        <v>2347.4307881786604</v>
      </c>
      <c r="AS252" s="123">
        <v>7177.6472908085843</v>
      </c>
      <c r="AT252" s="127">
        <v>7706.89565138947</v>
      </c>
      <c r="AU252" s="128">
        <v>8035.2523895207141</v>
      </c>
      <c r="AV252" s="123">
        <v>5389.4363317359885</v>
      </c>
      <c r="AW252" s="127">
        <v>5786.8298267714654</v>
      </c>
      <c r="AX252" s="128">
        <v>6033.3810520623747</v>
      </c>
      <c r="AY252" s="123">
        <v>3499.2567731574836</v>
      </c>
      <c r="AZ252" s="127">
        <v>3757.2766835000753</v>
      </c>
      <c r="BA252" s="128">
        <v>3917.3576255364733</v>
      </c>
      <c r="BB252" s="123">
        <v>2785.5134715451313</v>
      </c>
      <c r="BC252" s="127">
        <v>2990.9050683263044</v>
      </c>
      <c r="BD252" s="128">
        <v>3118.3343053004369</v>
      </c>
      <c r="BE252" s="123">
        <v>8291.660442472079</v>
      </c>
      <c r="BF252" s="127">
        <v>8291.6604424720845</v>
      </c>
      <c r="BG252" s="128">
        <v>8291.660442472079</v>
      </c>
      <c r="BH252" s="123">
        <v>6225.9086060556428</v>
      </c>
      <c r="BI252" s="127">
        <v>6225.9086060556392</v>
      </c>
      <c r="BJ252" s="128">
        <v>6225.9086060556428</v>
      </c>
      <c r="BK252" s="123">
        <v>4042.3620426706452</v>
      </c>
      <c r="BL252" s="127">
        <v>4042.3620426706466</v>
      </c>
      <c r="BM252" s="128">
        <v>4042.3620426706452</v>
      </c>
      <c r="BN252" s="123">
        <v>3217.8415751301068</v>
      </c>
      <c r="BO252" s="127">
        <v>3217.8415751301068</v>
      </c>
      <c r="BP252" s="128">
        <v>3217.8415751301068</v>
      </c>
    </row>
    <row r="253" spans="1:68" x14ac:dyDescent="0.3">
      <c r="A253" s="24">
        <v>2023</v>
      </c>
      <c r="B253" s="123">
        <v>2004.3781768987465</v>
      </c>
      <c r="C253" s="127">
        <v>2270.4934661800626</v>
      </c>
      <c r="D253" s="128">
        <v>2356.1995107380044</v>
      </c>
      <c r="E253" s="127">
        <v>2202.1084639346673</v>
      </c>
      <c r="F253" s="127">
        <v>2455.1850895425764</v>
      </c>
      <c r="G253" s="127">
        <v>2473.410165842824</v>
      </c>
      <c r="H253" s="123">
        <v>1887.2726601377562</v>
      </c>
      <c r="I253" s="127">
        <v>2038.0231813416638</v>
      </c>
      <c r="J253" s="128">
        <v>2120.5839453675071</v>
      </c>
      <c r="K253" s="127">
        <v>1734.1980802795449</v>
      </c>
      <c r="L253" s="127">
        <v>2009.4157392180655</v>
      </c>
      <c r="M253" s="127">
        <v>2101.8100014998777</v>
      </c>
      <c r="N253" s="123">
        <v>1704.7688311541394</v>
      </c>
      <c r="O253" s="127">
        <v>1777.3121856713374</v>
      </c>
      <c r="P253" s="128">
        <v>1980.4335783194899</v>
      </c>
      <c r="Q253" s="127">
        <v>1957.7246270407134</v>
      </c>
      <c r="R253" s="127">
        <v>2177.4651014093124</v>
      </c>
      <c r="S253" s="127">
        <v>2217.8322900083886</v>
      </c>
      <c r="T253" s="123">
        <v>1355.3018181818179</v>
      </c>
      <c r="U253" s="127">
        <v>1460.7563636363639</v>
      </c>
      <c r="V253" s="128">
        <v>1481.8472727272729</v>
      </c>
      <c r="W253" s="127">
        <v>1332.0719999999999</v>
      </c>
      <c r="X253" s="127">
        <v>1413.0719999999999</v>
      </c>
      <c r="Y253" s="127">
        <v>1429.2719999999999</v>
      </c>
      <c r="Z253" s="123">
        <v>1573.282487847029</v>
      </c>
      <c r="AA253" s="127">
        <v>1588.316888888894</v>
      </c>
      <c r="AB253" s="128">
        <v>1623.519683949494</v>
      </c>
      <c r="AC253" s="123">
        <v>1869.3313005744581</v>
      </c>
      <c r="AD253" s="127">
        <v>1881.0398182981651</v>
      </c>
      <c r="AE253" s="128">
        <v>1904.9028172363676</v>
      </c>
      <c r="AG253" s="123">
        <v>4359.8704845178863</v>
      </c>
      <c r="AH253" s="127">
        <v>5322.2393021244752</v>
      </c>
      <c r="AI253" s="128">
        <v>5939.5644358062355</v>
      </c>
      <c r="AJ253" s="123">
        <v>3273.6694126797961</v>
      </c>
      <c r="AK253" s="127">
        <v>3996.2774289277559</v>
      </c>
      <c r="AL253" s="128">
        <v>4459.8045944682981</v>
      </c>
      <c r="AM253" s="123">
        <v>2125.5302336428858</v>
      </c>
      <c r="AN253" s="127">
        <v>2594.705642637668</v>
      </c>
      <c r="AO253" s="128">
        <v>2895.6648661484819</v>
      </c>
      <c r="AP253" s="123">
        <v>1691.9858940921104</v>
      </c>
      <c r="AQ253" s="127">
        <v>2065.4636086450255</v>
      </c>
      <c r="AR253" s="128">
        <v>2305.036188144154</v>
      </c>
      <c r="AS253" s="123">
        <v>5816.3693563448869</v>
      </c>
      <c r="AT253" s="127">
        <v>6674.3869635220062</v>
      </c>
      <c r="AU253" s="128">
        <v>7214.7730526575942</v>
      </c>
      <c r="AV253" s="123">
        <v>4367.3018550274392</v>
      </c>
      <c r="AW253" s="127">
        <v>5093.2361145178338</v>
      </c>
      <c r="AX253" s="128">
        <v>5662.3521308866893</v>
      </c>
      <c r="AY253" s="123">
        <v>2938.0128981015841</v>
      </c>
      <c r="AZ253" s="127">
        <v>3288.0426761400649</v>
      </c>
      <c r="BA253" s="128">
        <v>3517.3563771565746</v>
      </c>
      <c r="BB253" s="123">
        <v>2257.2264338382956</v>
      </c>
      <c r="BC253" s="127">
        <v>2590.2073545747248</v>
      </c>
      <c r="BD253" s="128">
        <v>2799.9212998462262</v>
      </c>
      <c r="BE253" s="123">
        <v>6708.5891216871123</v>
      </c>
      <c r="BF253" s="127">
        <v>7698.2249637515934</v>
      </c>
      <c r="BG253" s="128">
        <v>8321.5052296672075</v>
      </c>
      <c r="BH253" s="123">
        <v>5037.237479390873</v>
      </c>
      <c r="BI253" s="127">
        <v>5874.5286447060053</v>
      </c>
      <c r="BJ253" s="128">
        <v>6530.9459529062024</v>
      </c>
      <c r="BK253" s="123">
        <v>3388.6983717909538</v>
      </c>
      <c r="BL253" s="127">
        <v>3792.4220381110663</v>
      </c>
      <c r="BM253" s="128">
        <v>4056.912015594186</v>
      </c>
      <c r="BN253" s="123">
        <v>2603.4805858251416</v>
      </c>
      <c r="BO253" s="127">
        <v>2987.5401332376437</v>
      </c>
      <c r="BP253" s="128">
        <v>3229.4237905022496</v>
      </c>
    </row>
    <row r="254" spans="1:68" x14ac:dyDescent="0.3">
      <c r="A254" s="24">
        <v>2024</v>
      </c>
      <c r="B254" s="123">
        <v>1992.0774363696514</v>
      </c>
      <c r="C254" s="127">
        <v>2263.410832083795</v>
      </c>
      <c r="D254" s="128">
        <v>2356.1995107380044</v>
      </c>
      <c r="E254" s="127">
        <v>2181.4115197566907</v>
      </c>
      <c r="F254" s="127">
        <v>2456.4706075072281</v>
      </c>
      <c r="G254" s="127">
        <v>2473.410165842824</v>
      </c>
      <c r="H254" s="123">
        <v>1862.9609838381068</v>
      </c>
      <c r="I254" s="127">
        <v>2031.6798865533592</v>
      </c>
      <c r="J254" s="128">
        <v>2120.5839453675071</v>
      </c>
      <c r="K254" s="127">
        <v>1654.3493576155729</v>
      </c>
      <c r="L254" s="127">
        <v>2004.9939688139511</v>
      </c>
      <c r="M254" s="127">
        <v>2101.8100014998777</v>
      </c>
      <c r="N254" s="123">
        <v>1658.8247066265817</v>
      </c>
      <c r="O254" s="127">
        <v>1743.4586202299781</v>
      </c>
      <c r="P254" s="128">
        <v>1980.4335783194899</v>
      </c>
      <c r="Q254" s="127">
        <v>1859.1101413129572</v>
      </c>
      <c r="R254" s="127">
        <v>2131.4456828738421</v>
      </c>
      <c r="S254" s="127">
        <v>2183.2358615840053</v>
      </c>
      <c r="T254" s="123">
        <v>1277.687272727273</v>
      </c>
      <c r="U254" s="127">
        <v>1409.5054545454541</v>
      </c>
      <c r="V254" s="128">
        <v>1435.8690909090908</v>
      </c>
      <c r="W254" s="127">
        <v>1249.7760000000003</v>
      </c>
      <c r="X254" s="127">
        <v>1357.7760000000003</v>
      </c>
      <c r="Y254" s="127">
        <v>1379.3760000000004</v>
      </c>
      <c r="Z254" s="123">
        <v>1396.2212107004896</v>
      </c>
      <c r="AA254" s="127">
        <v>1416.7226666666629</v>
      </c>
      <c r="AB254" s="128">
        <v>1464.7264781129484</v>
      </c>
      <c r="AC254" s="123">
        <v>1742.6127024958446</v>
      </c>
      <c r="AD254" s="127">
        <v>1764.9653272410956</v>
      </c>
      <c r="AE254" s="128">
        <v>1810.5219615776707</v>
      </c>
      <c r="AG254" s="123">
        <v>3927.6671561702929</v>
      </c>
      <c r="AH254" s="127">
        <v>5079.5085069599072</v>
      </c>
      <c r="AI254" s="128">
        <v>5832.2959020955741</v>
      </c>
      <c r="AJ254" s="123">
        <v>2949.1435302953837</v>
      </c>
      <c r="AK254" s="127">
        <v>3814.0196342369682</v>
      </c>
      <c r="AL254" s="128">
        <v>4379.2605234922012</v>
      </c>
      <c r="AM254" s="123">
        <v>1914.821854862804</v>
      </c>
      <c r="AN254" s="127">
        <v>2476.3691815912766</v>
      </c>
      <c r="AO254" s="128">
        <v>2843.3691586658397</v>
      </c>
      <c r="AP254" s="123">
        <v>1524.2556971652502</v>
      </c>
      <c r="AQ254" s="127">
        <v>1971.264232095054</v>
      </c>
      <c r="AR254" s="128">
        <v>2263.407234586271</v>
      </c>
      <c r="AS254" s="123">
        <v>4540.5653879751762</v>
      </c>
      <c r="AT254" s="127">
        <v>5983.4513835219459</v>
      </c>
      <c r="AU254" s="128">
        <v>6880.3737664373048</v>
      </c>
      <c r="AV254" s="123">
        <v>3771.4272213217469</v>
      </c>
      <c r="AW254" s="127">
        <v>4708.5370864028355</v>
      </c>
      <c r="AX254" s="128">
        <v>5448.6784655702113</v>
      </c>
      <c r="AY254" s="123">
        <v>2777.7576491142254</v>
      </c>
      <c r="AZ254" s="127">
        <v>3136.3343737653636</v>
      </c>
      <c r="BA254" s="128">
        <v>3399.8358612325114</v>
      </c>
      <c r="BB254" s="123">
        <v>1962.9403806797548</v>
      </c>
      <c r="BC254" s="127">
        <v>2383.8222534939837</v>
      </c>
      <c r="BD254" s="128">
        <v>2730.4773586183705</v>
      </c>
      <c r="BE254" s="123">
        <v>4999.0302426833487</v>
      </c>
      <c r="BF254" s="127">
        <v>6587.605697974649</v>
      </c>
      <c r="BG254" s="128">
        <v>7575.0911176115587</v>
      </c>
      <c r="BH254" s="123">
        <v>4152.2315232804476</v>
      </c>
      <c r="BI254" s="127">
        <v>5183.9621902726367</v>
      </c>
      <c r="BJ254" s="128">
        <v>5998.8362912200191</v>
      </c>
      <c r="BK254" s="123">
        <v>3058.2302661121666</v>
      </c>
      <c r="BL254" s="127">
        <v>3453.0127959707988</v>
      </c>
      <c r="BM254" s="128">
        <v>3743.1202588715223</v>
      </c>
      <c r="BN254" s="123">
        <v>2161.1401861076138</v>
      </c>
      <c r="BO254" s="127">
        <v>2624.5188693807568</v>
      </c>
      <c r="BP254" s="128">
        <v>3006.1760433720701</v>
      </c>
    </row>
    <row r="255" spans="1:68" x14ac:dyDescent="0.3">
      <c r="A255" s="24">
        <v>2025</v>
      </c>
      <c r="B255" s="123">
        <v>1979.7823855099493</v>
      </c>
      <c r="C255" s="127">
        <v>2256.3025085156219</v>
      </c>
      <c r="D255" s="128">
        <v>2356.1995107380044</v>
      </c>
      <c r="E255" s="127">
        <v>2165.7993213385471</v>
      </c>
      <c r="F255" s="127">
        <v>2459.8104484285132</v>
      </c>
      <c r="G255" s="127">
        <v>2473.410165842824</v>
      </c>
      <c r="H255" s="123">
        <v>1833.5247381236441</v>
      </c>
      <c r="I255" s="127">
        <v>2023.5203513254983</v>
      </c>
      <c r="J255" s="128">
        <v>2120.5839453675071</v>
      </c>
      <c r="K255" s="127">
        <v>1571.0494133911634</v>
      </c>
      <c r="L255" s="127">
        <v>2000.9206001491948</v>
      </c>
      <c r="M255" s="127">
        <v>2101.8100014998777</v>
      </c>
      <c r="N255" s="123">
        <v>1612.8805820990226</v>
      </c>
      <c r="O255" s="127">
        <v>1709.6050547886189</v>
      </c>
      <c r="P255" s="128">
        <v>1980.4335783194899</v>
      </c>
      <c r="Q255" s="127">
        <v>1756.213810907559</v>
      </c>
      <c r="R255" s="127">
        <v>2084.0267437669172</v>
      </c>
      <c r="S255" s="127">
        <v>2148.3564300519265</v>
      </c>
      <c r="T255" s="123">
        <v>1200.072727272727</v>
      </c>
      <c r="U255" s="127">
        <v>1358.2545454545457</v>
      </c>
      <c r="V255" s="128">
        <v>1389.890909090909</v>
      </c>
      <c r="W255" s="127">
        <v>1167.48</v>
      </c>
      <c r="X255" s="127">
        <v>1302.48</v>
      </c>
      <c r="Y255" s="127">
        <v>1329.48</v>
      </c>
      <c r="Z255" s="123">
        <v>1362.1856142673239</v>
      </c>
      <c r="AA255" s="127">
        <v>1389.5208888888851</v>
      </c>
      <c r="AB255" s="128">
        <v>1453.5259708172671</v>
      </c>
      <c r="AC255" s="123">
        <v>1620.3290562220732</v>
      </c>
      <c r="AD255" s="127">
        <v>1652.2613772867257</v>
      </c>
      <c r="AE255" s="128">
        <v>1717.3422834818218</v>
      </c>
      <c r="AG255" s="123">
        <v>3569.1477199263591</v>
      </c>
      <c r="AH255" s="127">
        <v>4864.0795635463028</v>
      </c>
      <c r="AI255" s="128">
        <v>5726.9646381037282</v>
      </c>
      <c r="AJ255" s="123">
        <v>2679.9442234694716</v>
      </c>
      <c r="AK255" s="127">
        <v>3652.2618147871926</v>
      </c>
      <c r="AL255" s="128">
        <v>4300.1710784379311</v>
      </c>
      <c r="AM255" s="123">
        <v>1740.035951522065</v>
      </c>
      <c r="AN255" s="127">
        <v>2371.3429579790404</v>
      </c>
      <c r="AO255" s="128">
        <v>2792.0179116603358</v>
      </c>
      <c r="AP255" s="123">
        <v>1385.1208694136715</v>
      </c>
      <c r="AQ255" s="127">
        <v>1887.6602042393286</v>
      </c>
      <c r="AR255" s="128">
        <v>2222.5300999296428</v>
      </c>
      <c r="AS255" s="123">
        <v>4087.4361598909509</v>
      </c>
      <c r="AT255" s="127">
        <v>5566.7407169503813</v>
      </c>
      <c r="AU255" s="128">
        <v>6545.9744802170153</v>
      </c>
      <c r="AV255" s="123">
        <v>3332.3520330394285</v>
      </c>
      <c r="AW255" s="127">
        <v>4360.0790151968931</v>
      </c>
      <c r="AX255" s="128">
        <v>5235.0048002537324</v>
      </c>
      <c r="AY255" s="123">
        <v>2555.5370371850872</v>
      </c>
      <c r="AZ255" s="127">
        <v>2963.9709504100697</v>
      </c>
      <c r="BA255" s="128">
        <v>3282.3153453084483</v>
      </c>
      <c r="BB255" s="123">
        <v>1668.6543275212141</v>
      </c>
      <c r="BC255" s="127">
        <v>2177.4371524132443</v>
      </c>
      <c r="BD255" s="128">
        <v>2661.0334173905148</v>
      </c>
      <c r="BE255" s="123">
        <v>4285.8553909536186</v>
      </c>
      <c r="BF255" s="127">
        <v>5836.9708488411761</v>
      </c>
      <c r="BG255" s="128">
        <v>6863.7402316838616</v>
      </c>
      <c r="BH255" s="123">
        <v>3494.1166948374598</v>
      </c>
      <c r="BI255" s="127">
        <v>4571.7333363229554</v>
      </c>
      <c r="BJ255" s="128">
        <v>5489.1312468679907</v>
      </c>
      <c r="BK255" s="123">
        <v>2679.5922331649458</v>
      </c>
      <c r="BL255" s="127">
        <v>3107.853035381434</v>
      </c>
      <c r="BM255" s="128">
        <v>3441.651041682645</v>
      </c>
      <c r="BN255" s="123">
        <v>1749.6569647795254</v>
      </c>
      <c r="BO255" s="127">
        <v>2283.1379850546637</v>
      </c>
      <c r="BP255" s="128">
        <v>2790.2097968754915</v>
      </c>
    </row>
    <row r="256" spans="1:68" x14ac:dyDescent="0.3">
      <c r="A256" s="24">
        <v>2026</v>
      </c>
      <c r="B256" s="123">
        <v>1967.4930106644351</v>
      </c>
      <c r="C256" s="127">
        <v>2252.7353075277128</v>
      </c>
      <c r="D256" s="128">
        <v>2356.1995107380044</v>
      </c>
      <c r="E256" s="127">
        <v>2164.9740188459218</v>
      </c>
      <c r="F256" s="127">
        <v>2459.7411046530933</v>
      </c>
      <c r="G256" s="127">
        <v>2473.410165842824</v>
      </c>
      <c r="H256" s="123">
        <v>1799.1503675875597</v>
      </c>
      <c r="I256" s="127">
        <v>2013.5805263978439</v>
      </c>
      <c r="J256" s="128">
        <v>2120.5839453675071</v>
      </c>
      <c r="K256" s="127">
        <v>1484.4895065028627</v>
      </c>
      <c r="L256" s="127">
        <v>1997.1956332237969</v>
      </c>
      <c r="M256" s="127">
        <v>2101.8100014998777</v>
      </c>
      <c r="N256" s="123">
        <v>1566.9364575714644</v>
      </c>
      <c r="O256" s="127">
        <v>1675.7514893472605</v>
      </c>
      <c r="P256" s="128">
        <v>1980.4335783194899</v>
      </c>
      <c r="Q256" s="127">
        <v>1649.0356358245183</v>
      </c>
      <c r="R256" s="127">
        <v>2035.2082840885387</v>
      </c>
      <c r="S256" s="127">
        <v>2113.1939954121522</v>
      </c>
      <c r="T256" s="123">
        <v>1122.4581818181819</v>
      </c>
      <c r="U256" s="127">
        <v>1307.0036363636361</v>
      </c>
      <c r="V256" s="128">
        <v>1343.9127272727269</v>
      </c>
      <c r="W256" s="127">
        <v>1086.5345337685835</v>
      </c>
      <c r="X256" s="127">
        <v>1248.7361460947056</v>
      </c>
      <c r="Y256" s="127">
        <v>1281.1764685599294</v>
      </c>
      <c r="Z256" s="123">
        <v>1328.1500178341489</v>
      </c>
      <c r="AA256" s="127">
        <v>1362.3191111111078</v>
      </c>
      <c r="AB256" s="128">
        <v>1442.3254635215847</v>
      </c>
      <c r="AC256" s="123">
        <v>1575.9795381735819</v>
      </c>
      <c r="AD256" s="127">
        <v>1618.5559662597866</v>
      </c>
      <c r="AE256" s="128">
        <v>1705.3305078532478</v>
      </c>
      <c r="AG256" s="123">
        <v>3245.8421350486446</v>
      </c>
      <c r="AH256" s="127">
        <v>4665.794811744523</v>
      </c>
      <c r="AI256" s="128">
        <v>5627.8495397900297</v>
      </c>
      <c r="AJ256" s="123">
        <v>2437.1857268762492</v>
      </c>
      <c r="AK256" s="127">
        <v>3503.3769501382699</v>
      </c>
      <c r="AL256" s="128">
        <v>4225.7491278693278</v>
      </c>
      <c r="AM256" s="123">
        <v>1582.4175548739436</v>
      </c>
      <c r="AN256" s="127">
        <v>2274.6748949432963</v>
      </c>
      <c r="AO256" s="128">
        <v>2743.6971785504052</v>
      </c>
      <c r="AP256" s="123">
        <v>1268.5715753420629</v>
      </c>
      <c r="AQ256" s="127">
        <v>1813.6827508002586</v>
      </c>
      <c r="AR256" s="128">
        <v>2184.0653453379996</v>
      </c>
      <c r="AS256" s="123">
        <v>3595.029521493087</v>
      </c>
      <c r="AT256" s="127">
        <v>5136.9375802742707</v>
      </c>
      <c r="AU256" s="128">
        <v>6211.5751939967267</v>
      </c>
      <c r="AV256" s="123">
        <v>2962.1832132537211</v>
      </c>
      <c r="AW256" s="127">
        <v>4034.5897334898214</v>
      </c>
      <c r="AX256" s="128">
        <v>5021.3311349372534</v>
      </c>
      <c r="AY256" s="123">
        <v>2333.3164252559495</v>
      </c>
      <c r="AZ256" s="127">
        <v>2791.6075270547776</v>
      </c>
      <c r="BA256" s="128">
        <v>3164.7948293843847</v>
      </c>
      <c r="BB256" s="123">
        <v>1630.0114451487286</v>
      </c>
      <c r="BC256" s="127">
        <v>2124.4053429692367</v>
      </c>
      <c r="BD256" s="128">
        <v>2591.5894761626591</v>
      </c>
      <c r="BE256" s="123">
        <v>3769.5455176820724</v>
      </c>
      <c r="BF256" s="127">
        <v>5386.3034822293348</v>
      </c>
      <c r="BG256" s="128">
        <v>6513.107970404335</v>
      </c>
      <c r="BH256" s="123">
        <v>3105.9785148679794</v>
      </c>
      <c r="BI256" s="127">
        <v>4230.4436040475803</v>
      </c>
      <c r="BJ256" s="128">
        <v>5265.0850735264403</v>
      </c>
      <c r="BK256" s="123">
        <v>2446.5842128897334</v>
      </c>
      <c r="BL256" s="127">
        <v>2927.1224555525832</v>
      </c>
      <c r="BM256" s="128">
        <v>3318.4256463447919</v>
      </c>
      <c r="BN256" s="123">
        <v>1709.1382143307058</v>
      </c>
      <c r="BO256" s="127">
        <v>2227.5318159289086</v>
      </c>
      <c r="BP256" s="128">
        <v>2717.3947905394875</v>
      </c>
    </row>
    <row r="257" spans="1:68" x14ac:dyDescent="0.3">
      <c r="A257" s="24">
        <v>2027</v>
      </c>
      <c r="B257" s="123">
        <v>1961.3511544375544</v>
      </c>
      <c r="C257" s="127">
        <v>2249.1615208497396</v>
      </c>
      <c r="D257" s="128">
        <v>2356.1995107380044</v>
      </c>
      <c r="E257" s="127">
        <v>2165.2890189450263</v>
      </c>
      <c r="F257" s="127">
        <v>2461.5101331298074</v>
      </c>
      <c r="G257" s="127">
        <v>2473.410165842824</v>
      </c>
      <c r="H257" s="123">
        <v>1760.024316825064</v>
      </c>
      <c r="I257" s="127">
        <v>2001.896362511153</v>
      </c>
      <c r="J257" s="128">
        <v>2120.5839453675071</v>
      </c>
      <c r="K257" s="127">
        <v>1394.8608958507953</v>
      </c>
      <c r="L257" s="127">
        <v>1993.8190680377577</v>
      </c>
      <c r="M257" s="127">
        <v>2101.8100014998777</v>
      </c>
      <c r="N257" s="123">
        <v>1520.9923330439055</v>
      </c>
      <c r="O257" s="127">
        <v>1641.8979239059015</v>
      </c>
      <c r="P257" s="128">
        <v>1980.4335783194899</v>
      </c>
      <c r="Q257" s="127">
        <v>1537.5756160638359</v>
      </c>
      <c r="R257" s="127">
        <v>1984.9903038387072</v>
      </c>
      <c r="S257" s="127">
        <v>2077.7485576646818</v>
      </c>
      <c r="T257" s="123">
        <v>1044.8436363636363</v>
      </c>
      <c r="U257" s="127">
        <v>1255.7527272727268</v>
      </c>
      <c r="V257" s="128">
        <v>1297.9345454545457</v>
      </c>
      <c r="W257" s="127">
        <v>1005.3850502939274</v>
      </c>
      <c r="X257" s="127">
        <v>1194.8556337544453</v>
      </c>
      <c r="Y257" s="127">
        <v>1232.7497504465493</v>
      </c>
      <c r="Z257" s="123">
        <v>1294.1144214009821</v>
      </c>
      <c r="AA257" s="127">
        <v>1335.1173333333295</v>
      </c>
      <c r="AB257" s="128">
        <v>1431.1249562259034</v>
      </c>
      <c r="AC257" s="123">
        <v>1531.6300201250911</v>
      </c>
      <c r="AD257" s="127">
        <v>1584.8505552328393</v>
      </c>
      <c r="AE257" s="128">
        <v>1693.3187322246802</v>
      </c>
      <c r="AG257" s="123">
        <v>2951.8187601920117</v>
      </c>
      <c r="AH257" s="127">
        <v>4479.709337294169</v>
      </c>
      <c r="AI257" s="128">
        <v>5530.4424685543245</v>
      </c>
      <c r="AJ257" s="123">
        <v>2216.414185084112</v>
      </c>
      <c r="AK257" s="127">
        <v>3363.6520826186106</v>
      </c>
      <c r="AL257" s="128">
        <v>4152.6096731962134</v>
      </c>
      <c r="AM257" s="123">
        <v>1439.0748627286753</v>
      </c>
      <c r="AN257" s="127">
        <v>2183.9542408801635</v>
      </c>
      <c r="AO257" s="128">
        <v>2696.2091452206741</v>
      </c>
      <c r="AP257" s="123">
        <v>1214.7647404773329</v>
      </c>
      <c r="AQ257" s="127">
        <v>1761.5658034109381</v>
      </c>
      <c r="AR257" s="128">
        <v>2146.2634447767582</v>
      </c>
      <c r="AS257" s="123">
        <v>3167.6644331780822</v>
      </c>
      <c r="AT257" s="127">
        <v>4728.8149602924495</v>
      </c>
      <c r="AU257" s="128">
        <v>5877.1759077764364</v>
      </c>
      <c r="AV257" s="123">
        <v>2643.1836699429959</v>
      </c>
      <c r="AW257" s="127">
        <v>3726.6198368825931</v>
      </c>
      <c r="AX257" s="128">
        <v>4821.5462578663455</v>
      </c>
      <c r="AY257" s="123">
        <v>2111.0958133268109</v>
      </c>
      <c r="AZ257" s="127">
        <v>2619.2441036994846</v>
      </c>
      <c r="BA257" s="128">
        <v>3047.2743134603211</v>
      </c>
      <c r="BB257" s="123">
        <v>1591.3685627762434</v>
      </c>
      <c r="BC257" s="127">
        <v>2071.3735335252295</v>
      </c>
      <c r="BD257" s="128">
        <v>2522.1455349348039</v>
      </c>
      <c r="BE257" s="123">
        <v>3321.4345512935229</v>
      </c>
      <c r="BF257" s="127">
        <v>4958.3690845784895</v>
      </c>
      <c r="BG257" s="128">
        <v>6162.4757091248084</v>
      </c>
      <c r="BH257" s="123">
        <v>2771.4935568334331</v>
      </c>
      <c r="BI257" s="127">
        <v>3907.5237124594205</v>
      </c>
      <c r="BJ257" s="128">
        <v>5055.6019014520907</v>
      </c>
      <c r="BK257" s="123">
        <v>2213.5761926145206</v>
      </c>
      <c r="BL257" s="127">
        <v>2746.3918757237316</v>
      </c>
      <c r="BM257" s="128">
        <v>3195.2002510069392</v>
      </c>
      <c r="BN257" s="123">
        <v>1668.6194638818863</v>
      </c>
      <c r="BO257" s="127">
        <v>2171.9256468031531</v>
      </c>
      <c r="BP257" s="128">
        <v>2644.5797842034835</v>
      </c>
    </row>
    <row r="258" spans="1:68" x14ac:dyDescent="0.3">
      <c r="A258" s="24">
        <v>2028</v>
      </c>
      <c r="B258" s="123">
        <v>1955.2107104111772</v>
      </c>
      <c r="C258" s="127">
        <v>2246.4762038742251</v>
      </c>
      <c r="D258" s="128">
        <v>2356.1995107380044</v>
      </c>
      <c r="E258" s="127">
        <v>2163.849713952734</v>
      </c>
      <c r="F258" s="127">
        <v>2460.4953861033359</v>
      </c>
      <c r="G258" s="127">
        <v>2473.410165842824</v>
      </c>
      <c r="H258" s="123">
        <v>1716.3330304284914</v>
      </c>
      <c r="I258" s="127">
        <v>1988.5038104051675</v>
      </c>
      <c r="J258" s="128">
        <v>2120.5839453675071</v>
      </c>
      <c r="K258" s="127">
        <v>1270.1129462722142</v>
      </c>
      <c r="L258" s="127">
        <v>1990.7909045910774</v>
      </c>
      <c r="M258" s="127">
        <v>2101.8100014998777</v>
      </c>
      <c r="N258" s="123">
        <v>1475.0482085163478</v>
      </c>
      <c r="O258" s="127">
        <v>1608.0443584645432</v>
      </c>
      <c r="P258" s="128">
        <v>1980.4335783194899</v>
      </c>
      <c r="Q258" s="127">
        <v>1421.8337516255108</v>
      </c>
      <c r="R258" s="127">
        <v>1933.3728030174216</v>
      </c>
      <c r="S258" s="127">
        <v>2042.020116809515</v>
      </c>
      <c r="T258" s="123">
        <v>967.22909090909081</v>
      </c>
      <c r="U258" s="127">
        <v>1204.501818181818</v>
      </c>
      <c r="V258" s="128">
        <v>1251.9563636363641</v>
      </c>
      <c r="W258" s="127">
        <v>924.0313498831415</v>
      </c>
      <c r="X258" s="127">
        <v>1140.8383301466665</v>
      </c>
      <c r="Y258" s="127">
        <v>1184.1997261993711</v>
      </c>
      <c r="Z258" s="123">
        <v>1260.0788249678085</v>
      </c>
      <c r="AA258" s="127">
        <v>1307.9155555555526</v>
      </c>
      <c r="AB258" s="128">
        <v>1419.924448930213</v>
      </c>
      <c r="AC258" s="123">
        <v>1487.2805020766007</v>
      </c>
      <c r="AD258" s="127">
        <v>1551.1451442058992</v>
      </c>
      <c r="AE258" s="128">
        <v>1681.3069565961043</v>
      </c>
      <c r="AG258" s="123">
        <v>2684.4258345067778</v>
      </c>
      <c r="AH258" s="127">
        <v>4304.8687516501441</v>
      </c>
      <c r="AI258" s="128">
        <v>5434.7141435028434</v>
      </c>
      <c r="AJ258" s="123">
        <v>2015.6384865648231</v>
      </c>
      <c r="AK258" s="127">
        <v>3232.3705963106167</v>
      </c>
      <c r="AL258" s="128">
        <v>4080.7307284521107</v>
      </c>
      <c r="AM258" s="123">
        <v>1308.7150848810456</v>
      </c>
      <c r="AN258" s="127">
        <v>2098.7157109344062</v>
      </c>
      <c r="AO258" s="128">
        <v>2649.5395366083399</v>
      </c>
      <c r="AP258" s="123">
        <v>1160.7340422427139</v>
      </c>
      <c r="AQ258" s="127">
        <v>1710.2932404371475</v>
      </c>
      <c r="AR258" s="128">
        <v>2109.1130348672573</v>
      </c>
      <c r="AS258" s="123">
        <v>2898.9067156450287</v>
      </c>
      <c r="AT258" s="127">
        <v>4373.5614639046089</v>
      </c>
      <c r="AU258" s="128">
        <v>5542.7766215561478</v>
      </c>
      <c r="AV258" s="123">
        <v>2456.0787795584984</v>
      </c>
      <c r="AW258" s="127">
        <v>3461.6889053677405</v>
      </c>
      <c r="AX258" s="128">
        <v>4593.9838043042955</v>
      </c>
      <c r="AY258" s="123">
        <v>1888.8752013976732</v>
      </c>
      <c r="AZ258" s="127">
        <v>2446.8806803441917</v>
      </c>
      <c r="BA258" s="128">
        <v>2929.7537975362579</v>
      </c>
      <c r="BB258" s="123">
        <v>1552.7256804037581</v>
      </c>
      <c r="BC258" s="127">
        <v>2018.3417240812219</v>
      </c>
      <c r="BD258" s="128">
        <v>2452.7015937069482</v>
      </c>
      <c r="BE258" s="123">
        <v>3039.6303426180884</v>
      </c>
      <c r="BF258" s="127">
        <v>4585.8702728320168</v>
      </c>
      <c r="BG258" s="128">
        <v>5811.84344784528</v>
      </c>
      <c r="BH258" s="123">
        <v>2575.3059047797847</v>
      </c>
      <c r="BI258" s="127">
        <v>3629.7320561137485</v>
      </c>
      <c r="BJ258" s="128">
        <v>4816.9927268433394</v>
      </c>
      <c r="BK258" s="123">
        <v>1980.5681723393077</v>
      </c>
      <c r="BL258" s="127">
        <v>2565.6612958948808</v>
      </c>
      <c r="BM258" s="128">
        <v>3071.9748556690861</v>
      </c>
      <c r="BN258" s="123">
        <v>1628.1007134330669</v>
      </c>
      <c r="BO258" s="127">
        <v>2116.3194776773985</v>
      </c>
      <c r="BP258" s="128">
        <v>2571.7647778674796</v>
      </c>
    </row>
    <row r="259" spans="1:68" x14ac:dyDescent="0.3">
      <c r="A259" s="24">
        <v>2029</v>
      </c>
      <c r="B259" s="123">
        <v>1950.6064352707913</v>
      </c>
      <c r="C259" s="127">
        <v>2243.7871303517554</v>
      </c>
      <c r="D259" s="128">
        <v>2356.1995107380044</v>
      </c>
      <c r="E259" s="127">
        <v>2164.9945040574999</v>
      </c>
      <c r="F259" s="127">
        <v>2461.0649200523094</v>
      </c>
      <c r="G259" s="127">
        <v>2473.410165842824</v>
      </c>
      <c r="H259" s="123">
        <v>1668.2629529911082</v>
      </c>
      <c r="I259" s="127">
        <v>1973.4388208199443</v>
      </c>
      <c r="J259" s="128">
        <v>2120.5839453675071</v>
      </c>
      <c r="K259" s="127">
        <v>1186.1088486887147</v>
      </c>
      <c r="L259" s="127">
        <v>1988.1111428837555</v>
      </c>
      <c r="M259" s="127">
        <v>2101.8100014998777</v>
      </c>
      <c r="N259" s="123">
        <v>1429.1040839887894</v>
      </c>
      <c r="O259" s="127">
        <v>1574.1907930231841</v>
      </c>
      <c r="P259" s="128">
        <v>1980.4335783194899</v>
      </c>
      <c r="Q259" s="127">
        <v>1301.8100425095442</v>
      </c>
      <c r="R259" s="127">
        <v>1880.3557816246816</v>
      </c>
      <c r="S259" s="127">
        <v>2006.0086728466526</v>
      </c>
      <c r="T259" s="123">
        <v>889.61454545454535</v>
      </c>
      <c r="U259" s="127">
        <v>1153.2509090909091</v>
      </c>
      <c r="V259" s="128">
        <v>1205.9781818181818</v>
      </c>
      <c r="W259" s="127">
        <v>842.47323198194965</v>
      </c>
      <c r="X259" s="127">
        <v>1086.6841018556147</v>
      </c>
      <c r="Y259" s="127">
        <v>1135.5262758303479</v>
      </c>
      <c r="Z259" s="123">
        <v>1226.0432285346424</v>
      </c>
      <c r="AA259" s="127">
        <v>1280.7137777777748</v>
      </c>
      <c r="AB259" s="128">
        <v>1408.7239416345305</v>
      </c>
      <c r="AC259" s="123">
        <v>1442.9309840281094</v>
      </c>
      <c r="AD259" s="127">
        <v>1517.4397331789592</v>
      </c>
      <c r="AE259" s="128">
        <v>1669.2951809675294</v>
      </c>
      <c r="AG259" s="123">
        <v>2441.2517028587795</v>
      </c>
      <c r="AH259" s="127">
        <v>4140.4008365676882</v>
      </c>
      <c r="AI259" s="128">
        <v>5340.6357824672896</v>
      </c>
      <c r="AJ259" s="123">
        <v>1833.0478065072589</v>
      </c>
      <c r="AK259" s="127">
        <v>3108.8775740099331</v>
      </c>
      <c r="AL259" s="128">
        <v>4010.0906821455069</v>
      </c>
      <c r="AM259" s="123">
        <v>1190.162487804339</v>
      </c>
      <c r="AN259" s="127">
        <v>2018.5340800319859</v>
      </c>
      <c r="AO259" s="128">
        <v>2603.6743207899503</v>
      </c>
      <c r="AP259" s="123">
        <v>1106.4791494695751</v>
      </c>
      <c r="AQ259" s="127">
        <v>1659.8384326257699</v>
      </c>
      <c r="AR259" s="128">
        <v>2072.6029457770619</v>
      </c>
      <c r="AS259" s="123">
        <v>2624.4592079688455</v>
      </c>
      <c r="AT259" s="127">
        <v>4016.411370802392</v>
      </c>
      <c r="AU259" s="128">
        <v>5208.3773353358574</v>
      </c>
      <c r="AV259" s="123">
        <v>2265.7290972006908</v>
      </c>
      <c r="AW259" s="127">
        <v>3194.2986241946533</v>
      </c>
      <c r="AX259" s="128">
        <v>4325.0887807283762</v>
      </c>
      <c r="AY259" s="123">
        <v>1666.6545894685351</v>
      </c>
      <c r="AZ259" s="127">
        <v>2274.5172569888996</v>
      </c>
      <c r="BA259" s="128">
        <v>2812.2332816121943</v>
      </c>
      <c r="BB259" s="123">
        <v>1514.0827980312729</v>
      </c>
      <c r="BC259" s="127">
        <v>1965.3099146372144</v>
      </c>
      <c r="BD259" s="128">
        <v>2383.2576524790925</v>
      </c>
      <c r="BE259" s="123">
        <v>2751.8601403945177</v>
      </c>
      <c r="BF259" s="127">
        <v>4211.3827965694991</v>
      </c>
      <c r="BG259" s="128">
        <v>5461.2111865657535</v>
      </c>
      <c r="BH259" s="123">
        <v>2375.7159465793652</v>
      </c>
      <c r="BI259" s="127">
        <v>3349.3616642041025</v>
      </c>
      <c r="BJ259" s="128">
        <v>4535.0445467831514</v>
      </c>
      <c r="BK259" s="123">
        <v>1747.5601520640953</v>
      </c>
      <c r="BL259" s="127">
        <v>2384.9307160660292</v>
      </c>
      <c r="BM259" s="128">
        <v>2948.749460331233</v>
      </c>
      <c r="BN259" s="123">
        <v>1587.5819629842472</v>
      </c>
      <c r="BO259" s="127">
        <v>2060.7133085516421</v>
      </c>
      <c r="BP259" s="128">
        <v>2498.9497715314751</v>
      </c>
    </row>
    <row r="260" spans="1:68" x14ac:dyDescent="0.3">
      <c r="A260" s="24">
        <v>2030</v>
      </c>
      <c r="B260" s="123">
        <v>1946.0029525878613</v>
      </c>
      <c r="C260" s="127">
        <v>2241.9918958752478</v>
      </c>
      <c r="D260" s="128">
        <v>2356.1995107380044</v>
      </c>
      <c r="E260" s="127">
        <v>2168.2626648802834</v>
      </c>
      <c r="F260" s="127">
        <v>2459.9346279925771</v>
      </c>
      <c r="G260" s="127">
        <v>2473.410165842824</v>
      </c>
      <c r="H260" s="123">
        <v>1616.0005291075336</v>
      </c>
      <c r="I260" s="127">
        <v>1956.7373444969344</v>
      </c>
      <c r="J260" s="128">
        <v>2120.5839453675071</v>
      </c>
      <c r="K260" s="127">
        <v>1148.9292900036273</v>
      </c>
      <c r="L260" s="127">
        <v>1985.7797829157926</v>
      </c>
      <c r="M260" s="127">
        <v>2101.8100014998777</v>
      </c>
      <c r="N260" s="123">
        <v>1383.1599594612305</v>
      </c>
      <c r="O260" s="127">
        <v>1540.3372275818251</v>
      </c>
      <c r="P260" s="128">
        <v>1980.4335783194899</v>
      </c>
      <c r="Q260" s="127">
        <v>1177.5044887159349</v>
      </c>
      <c r="R260" s="127">
        <v>1825.939239660489</v>
      </c>
      <c r="S260" s="127">
        <v>1969.7142257760938</v>
      </c>
      <c r="T260" s="123">
        <v>812</v>
      </c>
      <c r="U260" s="127">
        <v>1102</v>
      </c>
      <c r="V260" s="128">
        <v>1160</v>
      </c>
      <c r="W260" s="127">
        <v>760.71049517824031</v>
      </c>
      <c r="X260" s="127">
        <v>1032.3928148847547</v>
      </c>
      <c r="Y260" s="127">
        <v>1086.7292788260572</v>
      </c>
      <c r="Z260" s="123">
        <v>1192.0076321014676</v>
      </c>
      <c r="AA260" s="127">
        <v>1253.5119999999968</v>
      </c>
      <c r="AB260" s="128">
        <v>1397.5234343388479</v>
      </c>
      <c r="AC260" s="123">
        <v>1398.5814659796183</v>
      </c>
      <c r="AD260" s="127">
        <v>1483.7343221520182</v>
      </c>
      <c r="AE260" s="128">
        <v>1657.2834053389556</v>
      </c>
      <c r="AG260" s="123">
        <v>2220.1030785123762</v>
      </c>
      <c r="AH260" s="127">
        <v>3985.5082317748215</v>
      </c>
      <c r="AI260" s="128">
        <v>5248.1790935799272</v>
      </c>
      <c r="AJ260" s="123">
        <v>1666.9952850505142</v>
      </c>
      <c r="AK260" s="127">
        <v>2992.5743066625828</v>
      </c>
      <c r="AL260" s="128">
        <v>3940.6682909338833</v>
      </c>
      <c r="AM260" s="123">
        <v>1082.3477972427697</v>
      </c>
      <c r="AN260" s="127">
        <v>1943.0206179637782</v>
      </c>
      <c r="AO260" s="128">
        <v>2558.5997048740746</v>
      </c>
      <c r="AP260" s="123">
        <v>1051.9997301189371</v>
      </c>
      <c r="AQ260" s="127">
        <v>1610.1755531831093</v>
      </c>
      <c r="AR260" s="128">
        <v>2036.7221979504029</v>
      </c>
      <c r="AS260" s="123">
        <v>2343.1943825838898</v>
      </c>
      <c r="AT260" s="127">
        <v>3655.3832368308686</v>
      </c>
      <c r="AU260" s="128">
        <v>4873.8443157744905</v>
      </c>
      <c r="AV260" s="123">
        <v>2071.5108606679423</v>
      </c>
      <c r="AW260" s="127">
        <v>2950.4779626296481</v>
      </c>
      <c r="AX260" s="128">
        <v>4141.7338763470289</v>
      </c>
      <c r="AY260" s="123">
        <v>1599.8900143512456</v>
      </c>
      <c r="AZ260" s="127">
        <v>2191.9812332026454</v>
      </c>
      <c r="BA260" s="128">
        <v>2714.2111010491035</v>
      </c>
      <c r="BB260" s="123">
        <v>1475.4399156587874</v>
      </c>
      <c r="BC260" s="127">
        <v>1912.2781051932077</v>
      </c>
      <c r="BD260" s="128">
        <v>2313.8137112512368</v>
      </c>
      <c r="BE260" s="123">
        <v>2456.9416827093214</v>
      </c>
      <c r="BF260" s="127">
        <v>3832.8290250265418</v>
      </c>
      <c r="BG260" s="128">
        <v>5110.438700035389</v>
      </c>
      <c r="BH260" s="123">
        <v>2172.0696403120173</v>
      </c>
      <c r="BI260" s="127">
        <v>3093.7050481941947</v>
      </c>
      <c r="BJ260" s="128">
        <v>4342.7889188881472</v>
      </c>
      <c r="BK260" s="123">
        <v>1677.5545781547041</v>
      </c>
      <c r="BL260" s="127">
        <v>2298.3880891833564</v>
      </c>
      <c r="BM260" s="128">
        <v>2845.9689214883806</v>
      </c>
      <c r="BN260" s="123">
        <v>1547.0632125354277</v>
      </c>
      <c r="BO260" s="127">
        <v>2005.1071394258875</v>
      </c>
      <c r="BP260" s="128">
        <v>2426.1347651954716</v>
      </c>
    </row>
    <row r="261" spans="1:68" x14ac:dyDescent="0.3">
      <c r="A261" s="24">
        <v>2031</v>
      </c>
      <c r="B261" s="123">
        <v>1942.9344919620717</v>
      </c>
      <c r="C261" s="127">
        <v>2240.1949746594078</v>
      </c>
      <c r="D261" s="128">
        <v>2356.1995107380044</v>
      </c>
      <c r="E261" s="127">
        <v>2165.6374297617185</v>
      </c>
      <c r="F261" s="127">
        <v>2457.8769517075925</v>
      </c>
      <c r="G261" s="127">
        <v>2473.410165842824</v>
      </c>
      <c r="H261" s="123">
        <v>1632.9231340944903</v>
      </c>
      <c r="I261" s="127">
        <v>1967.8289294510316</v>
      </c>
      <c r="J261" s="128">
        <v>2120.5839453675071</v>
      </c>
      <c r="K261" s="127">
        <v>1115.0149542746537</v>
      </c>
      <c r="L261" s="127">
        <v>1983.7968246871872</v>
      </c>
      <c r="M261" s="127">
        <v>2101.8100014998777</v>
      </c>
      <c r="N261" s="123">
        <v>1369.7798638435629</v>
      </c>
      <c r="O261" s="127">
        <v>1526.524377468801</v>
      </c>
      <c r="P261" s="128">
        <v>1980.4335783194899</v>
      </c>
      <c r="Q261" s="127">
        <v>1165.5813886906496</v>
      </c>
      <c r="R261" s="127">
        <v>1809.801595506081</v>
      </c>
      <c r="S261" s="127">
        <v>1960.6417537060622</v>
      </c>
      <c r="T261" s="123">
        <v>801.84999999999991</v>
      </c>
      <c r="U261" s="127">
        <v>1090.98</v>
      </c>
      <c r="V261" s="128">
        <v>1154.1999999999998</v>
      </c>
      <c r="W261" s="127">
        <v>751.20161398851212</v>
      </c>
      <c r="X261" s="127">
        <v>1022.0688867359071</v>
      </c>
      <c r="Y261" s="127">
        <v>1081.2956324319273</v>
      </c>
      <c r="Z261" s="123">
        <v>1178.5585004555578</v>
      </c>
      <c r="AA261" s="127">
        <v>1241.2663576872801</v>
      </c>
      <c r="AB261" s="128">
        <v>1388.1446518204764</v>
      </c>
      <c r="AC261" s="123">
        <v>1381.1995804625126</v>
      </c>
      <c r="AD261" s="127">
        <v>1468.0825051265242</v>
      </c>
      <c r="AE261" s="128">
        <v>1645.6796710579779</v>
      </c>
      <c r="AG261" s="123">
        <v>2017.4509513174194</v>
      </c>
      <c r="AH261" s="127">
        <v>3836.5439925586061</v>
      </c>
      <c r="AI261" s="128">
        <v>5153.396979149873</v>
      </c>
      <c r="AJ261" s="123">
        <v>1514.831115823825</v>
      </c>
      <c r="AK261" s="127">
        <v>2880.7224350904935</v>
      </c>
      <c r="AL261" s="128">
        <v>3869.4998215996179</v>
      </c>
      <c r="AM261" s="123">
        <v>1041.4797328177478</v>
      </c>
      <c r="AN261" s="127">
        <v>1889.707090294065</v>
      </c>
      <c r="AO261" s="128">
        <v>2512.391394204049</v>
      </c>
      <c r="AP261" s="123">
        <v>1041.4797328177478</v>
      </c>
      <c r="AQ261" s="127">
        <v>1575.0737872649563</v>
      </c>
      <c r="AR261" s="128">
        <v>1999.9389950554184</v>
      </c>
      <c r="AS261" s="123">
        <v>2179.5241019688988</v>
      </c>
      <c r="AT261" s="127">
        <v>3400.0575990714815</v>
      </c>
      <c r="AU261" s="128">
        <v>4533.4101320953096</v>
      </c>
      <c r="AV261" s="123">
        <v>1925.0706610071795</v>
      </c>
      <c r="AW261" s="127">
        <v>2854.8763306618403</v>
      </c>
      <c r="AX261" s="128">
        <v>3993.1238421194175</v>
      </c>
      <c r="AY261" s="123">
        <v>1505.7396788853916</v>
      </c>
      <c r="AZ261" s="127">
        <v>2132.1578231937378</v>
      </c>
      <c r="BA261" s="128">
        <v>2667.6729767431743</v>
      </c>
      <c r="BB261" s="123">
        <v>1436.7970332863022</v>
      </c>
      <c r="BC261" s="127">
        <v>1869.7518726499088</v>
      </c>
      <c r="BD261" s="128">
        <v>2275.8865007255026</v>
      </c>
      <c r="BE261" s="123">
        <v>2285.3262428411758</v>
      </c>
      <c r="BF261" s="127">
        <v>3565.1089388322316</v>
      </c>
      <c r="BG261" s="128">
        <v>4753.4785851096449</v>
      </c>
      <c r="BH261" s="123">
        <v>2018.5206930949066</v>
      </c>
      <c r="BI261" s="127">
        <v>2993.4625603056179</v>
      </c>
      <c r="BJ261" s="128">
        <v>4186.9648053290985</v>
      </c>
      <c r="BK261" s="123">
        <v>1578.8338380545854</v>
      </c>
      <c r="BL261" s="127">
        <v>2235.6606301448896</v>
      </c>
      <c r="BM261" s="128">
        <v>2797.1716649345908</v>
      </c>
      <c r="BN261" s="123">
        <v>1506.5444620866083</v>
      </c>
      <c r="BO261" s="127">
        <v>1960.5165266620388</v>
      </c>
      <c r="BP261" s="128">
        <v>2386.3664279451873</v>
      </c>
    </row>
    <row r="262" spans="1:68" x14ac:dyDescent="0.3">
      <c r="A262" s="24">
        <v>2032</v>
      </c>
      <c r="B262" s="123">
        <v>1939.8663829059144</v>
      </c>
      <c r="C262" s="127">
        <v>2238.3963601966047</v>
      </c>
      <c r="D262" s="128">
        <v>2356.1995107380044</v>
      </c>
      <c r="E262" s="127">
        <v>2164.1432150147248</v>
      </c>
      <c r="F262" s="127">
        <v>2454.7520352925126</v>
      </c>
      <c r="G262" s="127">
        <v>2473.410165842824</v>
      </c>
      <c r="H262" s="123">
        <v>1647.9513645936895</v>
      </c>
      <c r="I262" s="127">
        <v>1977.8749405431656</v>
      </c>
      <c r="J262" s="128">
        <v>2120.5839453675071</v>
      </c>
      <c r="K262" s="127">
        <v>1102.9591649400684</v>
      </c>
      <c r="L262" s="127">
        <v>1982.1622681979413</v>
      </c>
      <c r="M262" s="127">
        <v>2101.8100014998777</v>
      </c>
      <c r="N262" s="123">
        <v>1356.1753833393691</v>
      </c>
      <c r="O262" s="127">
        <v>1512.6291033115131</v>
      </c>
      <c r="P262" s="128">
        <v>1980.4335783194899</v>
      </c>
      <c r="Q262" s="127">
        <v>1153.4837892672401</v>
      </c>
      <c r="R262" s="127">
        <v>1793.5778921009087</v>
      </c>
      <c r="S262" s="127">
        <v>1951.5470782819195</v>
      </c>
      <c r="T262" s="123">
        <v>791.69999999999982</v>
      </c>
      <c r="U262" s="127">
        <v>1079.96</v>
      </c>
      <c r="V262" s="128">
        <v>1148.3999999999999</v>
      </c>
      <c r="W262" s="127">
        <v>741.69273279878405</v>
      </c>
      <c r="X262" s="127">
        <v>1011.7449585870594</v>
      </c>
      <c r="Y262" s="127">
        <v>1075.8619860377969</v>
      </c>
      <c r="Z262" s="123">
        <v>1165.10936880964</v>
      </c>
      <c r="AA262" s="127">
        <v>1229.0207153745546</v>
      </c>
      <c r="AB262" s="128">
        <v>1378.7658693021037</v>
      </c>
      <c r="AC262" s="123">
        <v>1363.8176949454057</v>
      </c>
      <c r="AD262" s="127">
        <v>1452.4306881010282</v>
      </c>
      <c r="AE262" s="128">
        <v>1634.0759367770079</v>
      </c>
      <c r="AG262" s="123">
        <v>1833.2970123616133</v>
      </c>
      <c r="AH262" s="127">
        <v>3695.9753935015078</v>
      </c>
      <c r="AI262" s="128">
        <v>5060.3266297064256</v>
      </c>
      <c r="AJ262" s="123">
        <v>1376.5565686039231</v>
      </c>
      <c r="AK262" s="127">
        <v>2775.1745467413821</v>
      </c>
      <c r="AL262" s="128">
        <v>3799.6166548215288</v>
      </c>
      <c r="AM262" s="123">
        <v>1030.9597355165586</v>
      </c>
      <c r="AN262" s="127">
        <v>1847.5965517370432</v>
      </c>
      <c r="AO262" s="128">
        <v>2467.0176056247246</v>
      </c>
      <c r="AP262" s="123">
        <v>1030.9597355165586</v>
      </c>
      <c r="AQ262" s="127">
        <v>1540.8372795111284</v>
      </c>
      <c r="AR262" s="128">
        <v>1963.8200968047177</v>
      </c>
      <c r="AS262" s="123">
        <v>2110.5209953069848</v>
      </c>
      <c r="AT262" s="127">
        <v>3292.4127526788943</v>
      </c>
      <c r="AU262" s="128">
        <v>4389.8836702385279</v>
      </c>
      <c r="AV262" s="123">
        <v>1862.3161751768014</v>
      </c>
      <c r="AW262" s="127">
        <v>2771.5162798035444</v>
      </c>
      <c r="AX262" s="128">
        <v>3844.5138078918062</v>
      </c>
      <c r="AY262" s="123">
        <v>1476.2787425118677</v>
      </c>
      <c r="AZ262" s="127">
        <v>2093.8975462156063</v>
      </c>
      <c r="BA262" s="128">
        <v>2621.1348524372452</v>
      </c>
      <c r="BB262" s="123">
        <v>1422.4290629534394</v>
      </c>
      <c r="BC262" s="127">
        <v>1851.0543539234088</v>
      </c>
      <c r="BD262" s="128">
        <v>2253.1276357182478</v>
      </c>
      <c r="BE262" s="123">
        <v>2212.9734708073238</v>
      </c>
      <c r="BF262" s="127">
        <v>3452.2386144594252</v>
      </c>
      <c r="BG262" s="128">
        <v>4602.9848192792342</v>
      </c>
      <c r="BH262" s="123">
        <v>1952.7198730009179</v>
      </c>
      <c r="BI262" s="127">
        <v>2906.0559050367256</v>
      </c>
      <c r="BJ262" s="128">
        <v>4031.1406917700492</v>
      </c>
      <c r="BK262" s="123">
        <v>1547.9427591386575</v>
      </c>
      <c r="BL262" s="127">
        <v>2195.5430581678188</v>
      </c>
      <c r="BM262" s="128">
        <v>2748.374408380801</v>
      </c>
      <c r="BN262" s="123">
        <v>1491.4790174657423</v>
      </c>
      <c r="BO262" s="127">
        <v>1940.9113613954185</v>
      </c>
      <c r="BP262" s="128">
        <v>2362.5027636657355</v>
      </c>
    </row>
    <row r="263" spans="1:68" x14ac:dyDescent="0.3">
      <c r="A263" s="24">
        <v>2033</v>
      </c>
      <c r="B263" s="123">
        <v>1936.798625208449</v>
      </c>
      <c r="C263" s="127">
        <v>2237.496203067974</v>
      </c>
      <c r="D263" s="128">
        <v>2356.1995107380044</v>
      </c>
      <c r="E263" s="127">
        <v>2164.2321674413784</v>
      </c>
      <c r="F263" s="127">
        <v>2452.6707152136673</v>
      </c>
      <c r="G263" s="127">
        <v>2473.410165842824</v>
      </c>
      <c r="H263" s="123">
        <v>1661.1201789678014</v>
      </c>
      <c r="I263" s="127">
        <v>1986.8905072742023</v>
      </c>
      <c r="J263" s="128">
        <v>2120.5839453675071</v>
      </c>
      <c r="K263" s="127">
        <v>1099.1284295725179</v>
      </c>
      <c r="L263" s="127">
        <v>1980.8761134480537</v>
      </c>
      <c r="M263" s="127">
        <v>2101.8100014998777</v>
      </c>
      <c r="N263" s="123">
        <v>1342.34651794865</v>
      </c>
      <c r="O263" s="127">
        <v>1498.6514051099609</v>
      </c>
      <c r="P263" s="128">
        <v>1980.4335783194899</v>
      </c>
      <c r="Q263" s="127">
        <v>1141.2116904457059</v>
      </c>
      <c r="R263" s="127">
        <v>1777.2681294449726</v>
      </c>
      <c r="S263" s="127">
        <v>1942.4301995036665</v>
      </c>
      <c r="T263" s="123">
        <v>781.55</v>
      </c>
      <c r="U263" s="127">
        <v>1068.9399999999998</v>
      </c>
      <c r="V263" s="128">
        <v>1142.5999999999999</v>
      </c>
      <c r="W263" s="127">
        <v>732.18385160905632</v>
      </c>
      <c r="X263" s="127">
        <v>1001.4210304382119</v>
      </c>
      <c r="Y263" s="127">
        <v>1070.4283396436663</v>
      </c>
      <c r="Z263" s="123">
        <v>1151.6602371637312</v>
      </c>
      <c r="AA263" s="127">
        <v>1216.7750730618375</v>
      </c>
      <c r="AB263" s="128">
        <v>1369.3870867837327</v>
      </c>
      <c r="AC263" s="123">
        <v>1346.4358094283082</v>
      </c>
      <c r="AD263" s="127">
        <v>1436.778871075526</v>
      </c>
      <c r="AE263" s="128">
        <v>1622.4722024960295</v>
      </c>
      <c r="AG263" s="123">
        <v>1665.9527377055983</v>
      </c>
      <c r="AH263" s="127">
        <v>3563.174044128692</v>
      </c>
      <c r="AI263" s="128">
        <v>4968.9371307739275</v>
      </c>
      <c r="AJ263" s="123">
        <v>1250.9037916983123</v>
      </c>
      <c r="AK263" s="127">
        <v>2675.4588058843551</v>
      </c>
      <c r="AL263" s="128">
        <v>3730.9955780354517</v>
      </c>
      <c r="AM263" s="123">
        <v>1020.4397382153692</v>
      </c>
      <c r="AN263" s="127">
        <v>1806.5410232979441</v>
      </c>
      <c r="AO263" s="128">
        <v>2422.4632676671417</v>
      </c>
      <c r="AP263" s="123">
        <v>1020.4397382153692</v>
      </c>
      <c r="AQ263" s="127">
        <v>1507.440591492347</v>
      </c>
      <c r="AR263" s="128">
        <v>1928.3535058564246</v>
      </c>
      <c r="AS263" s="123">
        <v>2041.374272641938</v>
      </c>
      <c r="AT263" s="127">
        <v>3184.5438653214233</v>
      </c>
      <c r="AU263" s="128">
        <v>4246.0584870952316</v>
      </c>
      <c r="AV263" s="123">
        <v>1799.4293419333846</v>
      </c>
      <c r="AW263" s="127">
        <v>2688.1121131409027</v>
      </c>
      <c r="AX263" s="128">
        <v>3695.9037736641953</v>
      </c>
      <c r="AY263" s="123">
        <v>1446.7739876187393</v>
      </c>
      <c r="AZ263" s="127">
        <v>2055.6226630642723</v>
      </c>
      <c r="BA263" s="128">
        <v>2574.596728131316</v>
      </c>
      <c r="BB263" s="123">
        <v>1408.0610926205761</v>
      </c>
      <c r="BC263" s="127">
        <v>1832.3568351969097</v>
      </c>
      <c r="BD263" s="128">
        <v>2230.3687707109925</v>
      </c>
      <c r="BE263" s="123">
        <v>2140.4701111197023</v>
      </c>
      <c r="BF263" s="127">
        <v>3339.1333733467359</v>
      </c>
      <c r="BG263" s="128">
        <v>4452.1778311289809</v>
      </c>
      <c r="BH263" s="123">
        <v>1886.7802808621898</v>
      </c>
      <c r="BI263" s="127">
        <v>2818.6029924195859</v>
      </c>
      <c r="BJ263" s="128">
        <v>3875.3165782110013</v>
      </c>
      <c r="BK263" s="123">
        <v>1517.0057345905227</v>
      </c>
      <c r="BL263" s="127">
        <v>2155.4101709800143</v>
      </c>
      <c r="BM263" s="128">
        <v>2699.5771518270117</v>
      </c>
      <c r="BN263" s="123">
        <v>1476.4135728448762</v>
      </c>
      <c r="BO263" s="127">
        <v>1921.3061961287976</v>
      </c>
      <c r="BP263" s="128">
        <v>2338.6390993862833</v>
      </c>
    </row>
    <row r="264" spans="1:68" x14ac:dyDescent="0.3">
      <c r="A264" s="24">
        <v>2034</v>
      </c>
      <c r="B264" s="123">
        <v>1935.2649219336543</v>
      </c>
      <c r="C264" s="127">
        <v>2236.5956198938584</v>
      </c>
      <c r="D264" s="128">
        <v>2356.1995107380044</v>
      </c>
      <c r="E264" s="127">
        <v>2165.8500922597777</v>
      </c>
      <c r="F264" s="127">
        <v>2451.2925843638077</v>
      </c>
      <c r="G264" s="127">
        <v>2473.410165842824</v>
      </c>
      <c r="H264" s="123">
        <v>1672.4645355767425</v>
      </c>
      <c r="I264" s="127">
        <v>1994.8907591451284</v>
      </c>
      <c r="J264" s="128">
        <v>2120.5839453675071</v>
      </c>
      <c r="K264" s="127">
        <v>1095.2976942049681</v>
      </c>
      <c r="L264" s="127">
        <v>1979.9383604375248</v>
      </c>
      <c r="M264" s="127">
        <v>2101.8100014998777</v>
      </c>
      <c r="N264" s="123">
        <v>1328.2932676714051</v>
      </c>
      <c r="O264" s="127">
        <v>1484.5912828641453</v>
      </c>
      <c r="P264" s="128">
        <v>1980.4335783194899</v>
      </c>
      <c r="Q264" s="127">
        <v>1128.7650922260475</v>
      </c>
      <c r="R264" s="127">
        <v>1760.8723075382718</v>
      </c>
      <c r="S264" s="127">
        <v>1933.2911173713028</v>
      </c>
      <c r="T264" s="123">
        <v>771.4</v>
      </c>
      <c r="U264" s="127">
        <v>1057.9199999999998</v>
      </c>
      <c r="V264" s="128">
        <v>1136.8</v>
      </c>
      <c r="W264" s="127">
        <v>722.67497041932802</v>
      </c>
      <c r="X264" s="127">
        <v>991.09710228936433</v>
      </c>
      <c r="Y264" s="127">
        <v>1064.9946932495363</v>
      </c>
      <c r="Z264" s="123">
        <v>1138.2111055178157</v>
      </c>
      <c r="AA264" s="127">
        <v>1204.529430749112</v>
      </c>
      <c r="AB264" s="128">
        <v>1360.0083042653673</v>
      </c>
      <c r="AC264" s="123">
        <v>1329.0539239112015</v>
      </c>
      <c r="AD264" s="127">
        <v>1421.127054050032</v>
      </c>
      <c r="AE264" s="128">
        <v>1610.8684682150604</v>
      </c>
      <c r="AG264" s="123">
        <v>1513.8837327256476</v>
      </c>
      <c r="AH264" s="127">
        <v>3437.5649561454197</v>
      </c>
      <c r="AI264" s="128">
        <v>4879.1981261921519</v>
      </c>
      <c r="AJ264" s="123">
        <v>1136.7206635555588</v>
      </c>
      <c r="AK264" s="127">
        <v>2581.143474558427</v>
      </c>
      <c r="AL264" s="128">
        <v>3663.6137978961319</v>
      </c>
      <c r="AM264" s="123">
        <v>1009.9197409141797</v>
      </c>
      <c r="AN264" s="127">
        <v>1766.5095359489997</v>
      </c>
      <c r="AO264" s="128">
        <v>2378.713581053074</v>
      </c>
      <c r="AP264" s="123">
        <v>1009.9197409141797</v>
      </c>
      <c r="AQ264" s="127">
        <v>1474.8590709325292</v>
      </c>
      <c r="AR264" s="128">
        <v>1893.5274415406575</v>
      </c>
      <c r="AS264" s="123">
        <v>1972.0788154186896</v>
      </c>
      <c r="AT264" s="127">
        <v>3076.4429520531562</v>
      </c>
      <c r="AU264" s="128">
        <v>4101.9239360708743</v>
      </c>
      <c r="AV264" s="123">
        <v>1736.4054443407445</v>
      </c>
      <c r="AW264" s="127">
        <v>2604.6622583618514</v>
      </c>
      <c r="AX264" s="128">
        <v>3561.9400008257026</v>
      </c>
      <c r="AY264" s="123">
        <v>1417.2238524893401</v>
      </c>
      <c r="AZ264" s="127">
        <v>2017.3326531675168</v>
      </c>
      <c r="BA264" s="128">
        <v>2528.0586038253873</v>
      </c>
      <c r="BB264" s="123">
        <v>1393.6931222877131</v>
      </c>
      <c r="BC264" s="127">
        <v>1813.6593164704111</v>
      </c>
      <c r="BD264" s="128">
        <v>2207.6099057037377</v>
      </c>
      <c r="BE264" s="123">
        <v>2067.810796749694</v>
      </c>
      <c r="BF264" s="127">
        <v>3225.7848429295218</v>
      </c>
      <c r="BG264" s="128">
        <v>4301.0464572393639</v>
      </c>
      <c r="BH264" s="123">
        <v>1820.6969707650526</v>
      </c>
      <c r="BI264" s="127">
        <v>2731.1021738163108</v>
      </c>
      <c r="BJ264" s="128">
        <v>3734.8497096036494</v>
      </c>
      <c r="BK264" s="123">
        <v>1486.0211268820265</v>
      </c>
      <c r="BL264" s="127">
        <v>2115.2614227387558</v>
      </c>
      <c r="BM264" s="128">
        <v>2650.7798952732219</v>
      </c>
      <c r="BN264" s="123">
        <v>1461.3481282240102</v>
      </c>
      <c r="BO264" s="127">
        <v>1901.7010308621782</v>
      </c>
      <c r="BP264" s="128">
        <v>2314.775435106832</v>
      </c>
    </row>
    <row r="265" spans="1:68" x14ac:dyDescent="0.3">
      <c r="A265" s="24">
        <v>2035</v>
      </c>
      <c r="B265" s="123">
        <v>1933.7313063931565</v>
      </c>
      <c r="C265" s="127">
        <v>2236.5956198938584</v>
      </c>
      <c r="D265" s="128">
        <v>2356.1995107380044</v>
      </c>
      <c r="E265" s="127">
        <v>2168.5141041732995</v>
      </c>
      <c r="F265" s="127">
        <v>2450.6718275284793</v>
      </c>
      <c r="G265" s="127">
        <v>2473.410165842824</v>
      </c>
      <c r="H265" s="123">
        <v>1682.019392782161</v>
      </c>
      <c r="I265" s="127">
        <v>2001.8908256562222</v>
      </c>
      <c r="J265" s="128">
        <v>2120.5839453675071</v>
      </c>
      <c r="K265" s="127">
        <v>1091.4669588374184</v>
      </c>
      <c r="L265" s="127">
        <v>1979.3490091663548</v>
      </c>
      <c r="M265" s="127">
        <v>2101.8100014998777</v>
      </c>
      <c r="N265" s="123">
        <v>1314.0156325076352</v>
      </c>
      <c r="O265" s="127">
        <v>1470.4487365740656</v>
      </c>
      <c r="P265" s="128">
        <v>1980.4335783194899</v>
      </c>
      <c r="Q265" s="127">
        <v>1116.1439946082646</v>
      </c>
      <c r="R265" s="127">
        <v>1744.3904263808081</v>
      </c>
      <c r="S265" s="127">
        <v>1924.1298318848278</v>
      </c>
      <c r="T265" s="123">
        <v>761.25</v>
      </c>
      <c r="U265" s="127">
        <v>1046.8999999999999</v>
      </c>
      <c r="V265" s="128">
        <v>1131</v>
      </c>
      <c r="W265" s="127">
        <v>713.16608922960006</v>
      </c>
      <c r="X265" s="127">
        <v>980.77317414051674</v>
      </c>
      <c r="Y265" s="127">
        <v>1059.5610468554059</v>
      </c>
      <c r="Z265" s="123">
        <v>1124.7619738719015</v>
      </c>
      <c r="AA265" s="127">
        <v>1192.283788436388</v>
      </c>
      <c r="AB265" s="128">
        <v>1350.6295217469958</v>
      </c>
      <c r="AC265" s="123">
        <v>1311.6720383940954</v>
      </c>
      <c r="AD265" s="127">
        <v>1405.4752370245374</v>
      </c>
      <c r="AE265" s="128">
        <v>1599.2647339340829</v>
      </c>
      <c r="AG265" s="123">
        <v>1375.6956631121116</v>
      </c>
      <c r="AH265" s="127">
        <v>3318.6217891489091</v>
      </c>
      <c r="AI265" s="128">
        <v>4791.0798080331206</v>
      </c>
      <c r="AJ265" s="123">
        <v>1032.960228859728</v>
      </c>
      <c r="AK265" s="127">
        <v>2491.8333427491334</v>
      </c>
      <c r="AL265" s="128">
        <v>3597.4489327061278</v>
      </c>
      <c r="AM265" s="123">
        <v>999.39974361299039</v>
      </c>
      <c r="AN265" s="127">
        <v>1727.4720767507324</v>
      </c>
      <c r="AO265" s="128">
        <v>2335.7540137792557</v>
      </c>
      <c r="AP265" s="123">
        <v>999.39974361299039</v>
      </c>
      <c r="AQ265" s="127">
        <v>1443.0688266305872</v>
      </c>
      <c r="AR265" s="128">
        <v>1859.3303359464333</v>
      </c>
      <c r="AS265" s="123">
        <v>1902.6292589201421</v>
      </c>
      <c r="AT265" s="127">
        <v>2968.1016439154218</v>
      </c>
      <c r="AU265" s="128">
        <v>3957.4688585538961</v>
      </c>
      <c r="AV265" s="123">
        <v>1673.2395386153619</v>
      </c>
      <c r="AW265" s="127">
        <v>2521.1650675385549</v>
      </c>
      <c r="AX265" s="128">
        <v>3477.5389030256933</v>
      </c>
      <c r="AY265" s="123">
        <v>1387.6267003007797</v>
      </c>
      <c r="AZ265" s="127">
        <v>1979.0269709177073</v>
      </c>
      <c r="BA265" s="128">
        <v>2481.5204795194581</v>
      </c>
      <c r="BB265" s="123">
        <v>1379.3251519548501</v>
      </c>
      <c r="BC265" s="127">
        <v>1794.961797743912</v>
      </c>
      <c r="BD265" s="128">
        <v>2184.8510406964829</v>
      </c>
      <c r="BE265" s="123">
        <v>1994.9899025570421</v>
      </c>
      <c r="BF265" s="127">
        <v>3112.1842479889865</v>
      </c>
      <c r="BG265" s="128">
        <v>4149.5789973186484</v>
      </c>
      <c r="BH265" s="123">
        <v>1754.4647589364959</v>
      </c>
      <c r="BI265" s="127">
        <v>2643.5517213025614</v>
      </c>
      <c r="BJ265" s="128">
        <v>3646.351471133737</v>
      </c>
      <c r="BK265" s="123">
        <v>1454.9872197328566</v>
      </c>
      <c r="BL265" s="127">
        <v>2075.0962413506054</v>
      </c>
      <c r="BM265" s="128">
        <v>2601.9826387194321</v>
      </c>
      <c r="BN265" s="123">
        <v>1446.2826836031441</v>
      </c>
      <c r="BO265" s="127">
        <v>1882.0958655955578</v>
      </c>
      <c r="BP265" s="128">
        <v>2290.9117708273798</v>
      </c>
    </row>
    <row r="266" spans="1:68" x14ac:dyDescent="0.3">
      <c r="A266" s="24">
        <v>2036</v>
      </c>
      <c r="B266" s="123">
        <v>1933.7313063931565</v>
      </c>
      <c r="C266" s="127">
        <v>2236.5956198938584</v>
      </c>
      <c r="D266" s="128">
        <v>2356.1995107380044</v>
      </c>
      <c r="E266" s="127">
        <v>2169.2852798140057</v>
      </c>
      <c r="F266" s="127">
        <v>2448.0507888597426</v>
      </c>
      <c r="G266" s="127">
        <v>2473.410165842824</v>
      </c>
      <c r="H266" s="123">
        <v>1689.819708946017</v>
      </c>
      <c r="I266" s="127">
        <v>2007.9058363098377</v>
      </c>
      <c r="J266" s="128">
        <v>2120.5839453675071</v>
      </c>
      <c r="K266" s="127">
        <v>1087.6362234698684</v>
      </c>
      <c r="L266" s="127">
        <v>1979.1080596345432</v>
      </c>
      <c r="M266" s="127">
        <v>2101.8100014998777</v>
      </c>
      <c r="N266" s="123">
        <v>1299.5136124573403</v>
      </c>
      <c r="O266" s="127">
        <v>1456.223766239722</v>
      </c>
      <c r="P266" s="128">
        <v>1980.4335783194899</v>
      </c>
      <c r="Q266" s="127">
        <v>1103.3483975923575</v>
      </c>
      <c r="R266" s="127">
        <v>1727.8224859725797</v>
      </c>
      <c r="S266" s="127">
        <v>1914.9463430442424</v>
      </c>
      <c r="T266" s="123">
        <v>751.09999999999991</v>
      </c>
      <c r="U266" s="127">
        <v>1035.8799999999999</v>
      </c>
      <c r="V266" s="128">
        <v>1125.1999999999998</v>
      </c>
      <c r="W266" s="127">
        <v>703.65720803987222</v>
      </c>
      <c r="X266" s="127">
        <v>970.44924599166939</v>
      </c>
      <c r="Y266" s="127">
        <v>1054.1274004612756</v>
      </c>
      <c r="Z266" s="123">
        <v>1111.3128422259883</v>
      </c>
      <c r="AA266" s="127">
        <v>1180.0381461236693</v>
      </c>
      <c r="AB266" s="128">
        <v>1341.2507392286232</v>
      </c>
      <c r="AC266" s="123">
        <v>1294.2901528769896</v>
      </c>
      <c r="AD266" s="127">
        <v>1389.8234199990411</v>
      </c>
      <c r="AE266" s="128">
        <v>1587.6609996531108</v>
      </c>
      <c r="AG266" s="123">
        <v>1250.1214700934013</v>
      </c>
      <c r="AH266" s="127">
        <v>3205.8625265160331</v>
      </c>
      <c r="AI266" s="128">
        <v>4704.5529067000434</v>
      </c>
      <c r="AJ266" s="123">
        <v>988.87974631180111</v>
      </c>
      <c r="AK266" s="127">
        <v>2423.9026973714344</v>
      </c>
      <c r="AL266" s="128">
        <v>3532.4790049814551</v>
      </c>
      <c r="AM266" s="123">
        <v>988.87974631180111</v>
      </c>
      <c r="AN266" s="127">
        <v>1689.3995583719723</v>
      </c>
      <c r="AO266" s="128">
        <v>2293.570296290402</v>
      </c>
      <c r="AP266" s="123">
        <v>988.87974631180111</v>
      </c>
      <c r="AQ266" s="127">
        <v>1412.0467041974375</v>
      </c>
      <c r="AR266" s="128">
        <v>1825.7508300792406</v>
      </c>
      <c r="AS266" s="123">
        <v>1833.0199772890376</v>
      </c>
      <c r="AT266" s="127">
        <v>2859.5111645708989</v>
      </c>
      <c r="AU266" s="128">
        <v>3812.681552761198</v>
      </c>
      <c r="AV266" s="123">
        <v>1609.9264403234833</v>
      </c>
      <c r="AW266" s="127">
        <v>2437.6188125264252</v>
      </c>
      <c r="AX266" s="128">
        <v>3393.1378052256846</v>
      </c>
      <c r="AY266" s="123">
        <v>1357.9808145539857</v>
      </c>
      <c r="AZ266" s="127">
        <v>1940.705044148486</v>
      </c>
      <c r="BA266" s="128">
        <v>2434.982355213529</v>
      </c>
      <c r="BB266" s="123">
        <v>1364.9571816219868</v>
      </c>
      <c r="BC266" s="127">
        <v>1776.2642790174118</v>
      </c>
      <c r="BD266" s="128">
        <v>2162.0921756892271</v>
      </c>
      <c r="BE266" s="123">
        <v>1922.0015295846222</v>
      </c>
      <c r="BF266" s="127">
        <v>2998.32238615201</v>
      </c>
      <c r="BG266" s="128">
        <v>3997.7631815360137</v>
      </c>
      <c r="BH266" s="123">
        <v>1688.0782092712254</v>
      </c>
      <c r="BI266" s="127">
        <v>2555.9498228432426</v>
      </c>
      <c r="BJ266" s="128">
        <v>3557.8532326638247</v>
      </c>
      <c r="BK266" s="123">
        <v>1423.9022133187425</v>
      </c>
      <c r="BL266" s="127">
        <v>2034.9140268741396</v>
      </c>
      <c r="BM266" s="128">
        <v>2553.1853821656423</v>
      </c>
      <c r="BN266" s="123">
        <v>1431.2172389822776</v>
      </c>
      <c r="BO266" s="127">
        <v>1862.4907003289377</v>
      </c>
      <c r="BP266" s="128">
        <v>2267.048106547928</v>
      </c>
    </row>
    <row r="267" spans="1:68" x14ac:dyDescent="0.3">
      <c r="A267" s="24">
        <v>2037</v>
      </c>
      <c r="B267" s="123">
        <v>1933.7313063931565</v>
      </c>
      <c r="C267" s="127">
        <v>2236.5956198938584</v>
      </c>
      <c r="D267" s="128">
        <v>2356.1995107380044</v>
      </c>
      <c r="E267" s="127">
        <v>2170.7365297145093</v>
      </c>
      <c r="F267" s="127">
        <v>2445.9433890578671</v>
      </c>
      <c r="G267" s="127">
        <v>2473.410165842824</v>
      </c>
      <c r="H267" s="123">
        <v>1695.9004424292673</v>
      </c>
      <c r="I267" s="127">
        <v>2012.9509206062473</v>
      </c>
      <c r="J267" s="128">
        <v>2120.5839453675071</v>
      </c>
      <c r="K267" s="127">
        <v>1083.8054881023183</v>
      </c>
      <c r="L267" s="127">
        <v>1979.2155118420897</v>
      </c>
      <c r="M267" s="127">
        <v>2101.8100014998777</v>
      </c>
      <c r="N267" s="123">
        <v>1284.7872075205196</v>
      </c>
      <c r="O267" s="127">
        <v>1441.9163718611146</v>
      </c>
      <c r="P267" s="128">
        <v>1980.4335783194899</v>
      </c>
      <c r="Q267" s="127">
        <v>1090.3783011783262</v>
      </c>
      <c r="R267" s="127">
        <v>1711.1684863135872</v>
      </c>
      <c r="S267" s="127">
        <v>1905.7406508495469</v>
      </c>
      <c r="T267" s="123">
        <v>740.94999999999993</v>
      </c>
      <c r="U267" s="127">
        <v>1024.8599999999999</v>
      </c>
      <c r="V267" s="128">
        <v>1119.3999999999999</v>
      </c>
      <c r="W267" s="127">
        <v>694.14832685014426</v>
      </c>
      <c r="X267" s="127">
        <v>960.12531784282146</v>
      </c>
      <c r="Y267" s="127">
        <v>1048.6937540671454</v>
      </c>
      <c r="Z267" s="123">
        <v>1097.8637105800744</v>
      </c>
      <c r="AA267" s="127">
        <v>1167.7925038109454</v>
      </c>
      <c r="AB267" s="128">
        <v>1331.8719567102519</v>
      </c>
      <c r="AC267" s="123">
        <v>1276.9082673598837</v>
      </c>
      <c r="AD267" s="127">
        <v>1374.1716029735453</v>
      </c>
      <c r="AE267" s="128">
        <v>1576.0572653721342</v>
      </c>
      <c r="AG267" s="123">
        <v>1136.0097526607724</v>
      </c>
      <c r="AH267" s="127">
        <v>3098.8455423229129</v>
      </c>
      <c r="AI267" s="128">
        <v>4619.5886812050403</v>
      </c>
      <c r="AJ267" s="123">
        <v>978.35974901061161</v>
      </c>
      <c r="AK267" s="127">
        <v>2368.6016303112683</v>
      </c>
      <c r="AL267" s="128">
        <v>3468.6824341514903</v>
      </c>
      <c r="AM267" s="123">
        <v>978.35974901061161</v>
      </c>
      <c r="AN267" s="127">
        <v>1652.2637896003382</v>
      </c>
      <c r="AO267" s="128">
        <v>2252.1484167393969</v>
      </c>
      <c r="AP267" s="123">
        <v>978.35974901061161</v>
      </c>
      <c r="AQ267" s="127">
        <v>1381.7702625814638</v>
      </c>
      <c r="AR267" s="128">
        <v>1792.7777700880097</v>
      </c>
      <c r="AS267" s="123">
        <v>1763.245067442695</v>
      </c>
      <c r="AT267" s="127">
        <v>2750.6623052106047</v>
      </c>
      <c r="AU267" s="128">
        <v>3667.5497402808055</v>
      </c>
      <c r="AV267" s="123">
        <v>1546.4607095579613</v>
      </c>
      <c r="AW267" s="127">
        <v>2354.0216800230833</v>
      </c>
      <c r="AX267" s="128">
        <v>3308.7367074256754</v>
      </c>
      <c r="AY267" s="123">
        <v>1328.2843941659382</v>
      </c>
      <c r="AZ267" s="127">
        <v>1902.3662724988455</v>
      </c>
      <c r="BA267" s="128">
        <v>2388.4442309076003</v>
      </c>
      <c r="BB267" s="123">
        <v>1350.589211289124</v>
      </c>
      <c r="BC267" s="127">
        <v>1757.566760290913</v>
      </c>
      <c r="BD267" s="128">
        <v>2139.3333106819723</v>
      </c>
      <c r="BE267" s="123">
        <v>1848.8394881923402</v>
      </c>
      <c r="BF267" s="127">
        <v>2884.1896015800512</v>
      </c>
      <c r="BG267" s="128">
        <v>3845.5861354400681</v>
      </c>
      <c r="BH267" s="123">
        <v>1621.5316177889304</v>
      </c>
      <c r="BI267" s="127">
        <v>2468.2945771115819</v>
      </c>
      <c r="BJ267" s="128">
        <v>3469.3549941939123</v>
      </c>
      <c r="BK267" s="123">
        <v>1392.7642191254497</v>
      </c>
      <c r="BL267" s="127">
        <v>1994.7141498046155</v>
      </c>
      <c r="BM267" s="128">
        <v>2504.3881256118525</v>
      </c>
      <c r="BN267" s="123">
        <v>1416.1517943614117</v>
      </c>
      <c r="BO267" s="127">
        <v>1842.8855350623164</v>
      </c>
      <c r="BP267" s="128">
        <v>2243.1844422684762</v>
      </c>
    </row>
    <row r="268" spans="1:68" x14ac:dyDescent="0.3">
      <c r="A268" s="24">
        <v>2038</v>
      </c>
      <c r="B268" s="123">
        <v>1933.7313063931565</v>
      </c>
      <c r="C268" s="127">
        <v>2236.5956198938584</v>
      </c>
      <c r="D268" s="128">
        <v>2356.1995107380044</v>
      </c>
      <c r="E268" s="127">
        <v>2172.731704657981</v>
      </c>
      <c r="F268" s="127">
        <v>2444.2272643946517</v>
      </c>
      <c r="G268" s="127">
        <v>2473.410165842824</v>
      </c>
      <c r="H268" s="123">
        <v>1700.2965515925528</v>
      </c>
      <c r="I268" s="127">
        <v>2017.0412080462168</v>
      </c>
      <c r="J268" s="128">
        <v>2120.5839453675071</v>
      </c>
      <c r="K268" s="127">
        <v>1079.9747527347686</v>
      </c>
      <c r="L268" s="127">
        <v>1979.6713657889957</v>
      </c>
      <c r="M268" s="127">
        <v>2101.8100014998777</v>
      </c>
      <c r="N268" s="123">
        <v>1269.8364176971738</v>
      </c>
      <c r="O268" s="127">
        <v>1427.5265534382431</v>
      </c>
      <c r="P268" s="128">
        <v>1980.4335783194899</v>
      </c>
      <c r="Q268" s="127">
        <v>1077.2337053661704</v>
      </c>
      <c r="R268" s="127">
        <v>1694.4284274038309</v>
      </c>
      <c r="S268" s="127">
        <v>1896.5127553007392</v>
      </c>
      <c r="T268" s="123">
        <v>730.8</v>
      </c>
      <c r="U268" s="127">
        <v>1013.8399999999999</v>
      </c>
      <c r="V268" s="128">
        <v>1113.5999999999999</v>
      </c>
      <c r="W268" s="127">
        <v>684.6394456604163</v>
      </c>
      <c r="X268" s="127">
        <v>949.80138969397433</v>
      </c>
      <c r="Y268" s="127">
        <v>1043.2601076730152</v>
      </c>
      <c r="Z268" s="123">
        <v>1084.414578934159</v>
      </c>
      <c r="AA268" s="127">
        <v>1155.546861498229</v>
      </c>
      <c r="AB268" s="128">
        <v>1322.4931741918792</v>
      </c>
      <c r="AC268" s="123">
        <v>1259.5263818427766</v>
      </c>
      <c r="AD268" s="127">
        <v>1358.519785948049</v>
      </c>
      <c r="AE268" s="128">
        <v>1564.4535310911631</v>
      </c>
      <c r="AG268" s="123">
        <v>1032.3142102694778</v>
      </c>
      <c r="AH268" s="127">
        <v>2997.1660237215187</v>
      </c>
      <c r="AI268" s="128">
        <v>4536.1589096224779</v>
      </c>
      <c r="AJ268" s="123">
        <v>967.83975170942233</v>
      </c>
      <c r="AK268" s="127">
        <v>2314.7012302343487</v>
      </c>
      <c r="AL268" s="128">
        <v>3406.0380293907142</v>
      </c>
      <c r="AM268" s="123">
        <v>967.83975170942233</v>
      </c>
      <c r="AN268" s="127">
        <v>1616.0374468106379</v>
      </c>
      <c r="AO268" s="128">
        <v>2211.4746163330833</v>
      </c>
      <c r="AP268" s="123">
        <v>967.83975170942233</v>
      </c>
      <c r="AQ268" s="127">
        <v>1352.2177513565025</v>
      </c>
      <c r="AR268" s="128">
        <v>1760.4002035602202</v>
      </c>
      <c r="AS268" s="123">
        <v>1693.2983317839676</v>
      </c>
      <c r="AT268" s="127">
        <v>2641.5453975829896</v>
      </c>
      <c r="AU268" s="128">
        <v>3522.0605301106539</v>
      </c>
      <c r="AV268" s="123">
        <v>1482.8366350057722</v>
      </c>
      <c r="AW268" s="127">
        <v>2285.2046557095919</v>
      </c>
      <c r="AX268" s="128">
        <v>3224.3356096256657</v>
      </c>
      <c r="AY268" s="123">
        <v>1298.5355481946397</v>
      </c>
      <c r="AZ268" s="127">
        <v>1864.0100256547892</v>
      </c>
      <c r="BA268" s="128">
        <v>2341.9061066016711</v>
      </c>
      <c r="BB268" s="123">
        <v>1336.2212409562608</v>
      </c>
      <c r="BC268" s="127">
        <v>1738.8692415644148</v>
      </c>
      <c r="BD268" s="128">
        <v>2116.5744456747175</v>
      </c>
      <c r="BE268" s="123">
        <v>1775.4972799288207</v>
      </c>
      <c r="BF268" s="127">
        <v>2769.7757566889622</v>
      </c>
      <c r="BG268" s="128">
        <v>3693.0343422519477</v>
      </c>
      <c r="BH268" s="123">
        <v>1554.8189959283825</v>
      </c>
      <c r="BI268" s="127">
        <v>2396.1369205498631</v>
      </c>
      <c r="BJ268" s="128">
        <v>3380.8567557239994</v>
      </c>
      <c r="BK268" s="123">
        <v>1361.5712544176802</v>
      </c>
      <c r="BL268" s="127">
        <v>1954.4959492302646</v>
      </c>
      <c r="BM268" s="128">
        <v>2455.5908690580632</v>
      </c>
      <c r="BN268" s="123">
        <v>1401.0863497405455</v>
      </c>
      <c r="BO268" s="127">
        <v>1823.2803697956965</v>
      </c>
      <c r="BP268" s="128">
        <v>2219.3207779890245</v>
      </c>
    </row>
    <row r="269" spans="1:68" x14ac:dyDescent="0.3">
      <c r="A269" s="24">
        <v>2039</v>
      </c>
      <c r="B269" s="123">
        <v>1933.7313063931565</v>
      </c>
      <c r="C269" s="127">
        <v>2236.5956198938584</v>
      </c>
      <c r="D269" s="128">
        <v>2356.1995107380044</v>
      </c>
      <c r="E269" s="127">
        <v>2175.1752747133119</v>
      </c>
      <c r="F269" s="127">
        <v>2442.7872896472268</v>
      </c>
      <c r="G269" s="127">
        <v>2473.410165842824</v>
      </c>
      <c r="H269" s="123">
        <v>1703.0429947981479</v>
      </c>
      <c r="I269" s="127">
        <v>2020.1918281311489</v>
      </c>
      <c r="J269" s="128">
        <v>2120.5839453675071</v>
      </c>
      <c r="K269" s="127">
        <v>1076.1440173672186</v>
      </c>
      <c r="L269" s="127">
        <v>1980.4756214752599</v>
      </c>
      <c r="M269" s="127">
        <v>2101.8100014998777</v>
      </c>
      <c r="N269" s="123">
        <v>1254.6612429873023</v>
      </c>
      <c r="O269" s="127">
        <v>1413.0543109711077</v>
      </c>
      <c r="P269" s="128">
        <v>1980.4335783194899</v>
      </c>
      <c r="Q269" s="127">
        <v>1063.9146101558902</v>
      </c>
      <c r="R269" s="127">
        <v>1677.6023092433099</v>
      </c>
      <c r="S269" s="127">
        <v>1887.2626563978224</v>
      </c>
      <c r="T269" s="123">
        <v>720.65</v>
      </c>
      <c r="U269" s="127">
        <v>1002.8199999999999</v>
      </c>
      <c r="V269" s="128">
        <v>1107.8</v>
      </c>
      <c r="W269" s="127">
        <v>675.130564470688</v>
      </c>
      <c r="X269" s="127">
        <v>939.47746154512674</v>
      </c>
      <c r="Y269" s="127">
        <v>1037.8264612788848</v>
      </c>
      <c r="Z269" s="123">
        <v>1070.9654472882451</v>
      </c>
      <c r="AA269" s="127">
        <v>1143.3012191855089</v>
      </c>
      <c r="AB269" s="128">
        <v>1313.1143916735077</v>
      </c>
      <c r="AC269" s="123">
        <v>1242.1444963256722</v>
      </c>
      <c r="AD269" s="127">
        <v>1342.8679689225542</v>
      </c>
      <c r="AE269" s="128">
        <v>1552.849796810186</v>
      </c>
      <c r="AG269" s="123">
        <v>957.31975440823294</v>
      </c>
      <c r="AH269" s="127">
        <v>2906.8646181727167</v>
      </c>
      <c r="AI269" s="128">
        <v>4454.2358797146962</v>
      </c>
      <c r="AJ269" s="123">
        <v>957.31975440823294</v>
      </c>
      <c r="AK269" s="127">
        <v>2262.1607079337609</v>
      </c>
      <c r="AL269" s="128">
        <v>3344.5249825799187</v>
      </c>
      <c r="AM269" s="123">
        <v>957.31975440823294</v>
      </c>
      <c r="AN269" s="127">
        <v>1580.6940463597273</v>
      </c>
      <c r="AO269" s="128">
        <v>2171.5353847621086</v>
      </c>
      <c r="AP269" s="123">
        <v>957.31975440823294</v>
      </c>
      <c r="AQ269" s="127">
        <v>1323.3680887473292</v>
      </c>
      <c r="AR269" s="128">
        <v>1728.6073758839229</v>
      </c>
      <c r="AS269" s="123">
        <v>1623.1732596020083</v>
      </c>
      <c r="AT269" s="127">
        <v>2532.1502849791336</v>
      </c>
      <c r="AU269" s="128">
        <v>3376.2003799721779</v>
      </c>
      <c r="AV269" s="123">
        <v>1419.0482168081307</v>
      </c>
      <c r="AW269" s="127">
        <v>2201.9180116274097</v>
      </c>
      <c r="AX269" s="128">
        <v>3139.934511825657</v>
      </c>
      <c r="AY269" s="123">
        <v>1268.7322901643165</v>
      </c>
      <c r="AZ269" s="127">
        <v>1825.6356414577258</v>
      </c>
      <c r="BA269" s="128">
        <v>2295.3679822957424</v>
      </c>
      <c r="BB269" s="123">
        <v>1321.8532706233982</v>
      </c>
      <c r="BC269" s="127">
        <v>1720.1717228379155</v>
      </c>
      <c r="BD269" s="128">
        <v>2093.8155806674622</v>
      </c>
      <c r="BE269" s="123">
        <v>1701.9680780292904</v>
      </c>
      <c r="BF269" s="127">
        <v>2655.0702017256936</v>
      </c>
      <c r="BG269" s="128">
        <v>3540.0936023009244</v>
      </c>
      <c r="BH269" s="123">
        <v>1487.9340525755158</v>
      </c>
      <c r="BI269" s="127">
        <v>2308.8072354928181</v>
      </c>
      <c r="BJ269" s="128">
        <v>3292.358517254087</v>
      </c>
      <c r="BK269" s="123">
        <v>1330.3212362887978</v>
      </c>
      <c r="BL269" s="127">
        <v>1914.2587308488785</v>
      </c>
      <c r="BM269" s="128">
        <v>2406.7936125042734</v>
      </c>
      <c r="BN269" s="123">
        <v>1386.0209051196796</v>
      </c>
      <c r="BO269" s="127">
        <v>1803.6752045290757</v>
      </c>
      <c r="BP269" s="128">
        <v>2195.4571137095722</v>
      </c>
    </row>
    <row r="270" spans="1:68" x14ac:dyDescent="0.3">
      <c r="A270" s="24">
        <v>2040</v>
      </c>
      <c r="B270" s="123">
        <v>1933.7313063931565</v>
      </c>
      <c r="C270" s="127">
        <v>2236.5956198938584</v>
      </c>
      <c r="D270" s="128">
        <v>2356.1995107380044</v>
      </c>
      <c r="E270" s="127">
        <v>2178.0127583211593</v>
      </c>
      <c r="F270" s="127">
        <v>2441.5156123396005</v>
      </c>
      <c r="G270" s="127">
        <v>2473.410165842824</v>
      </c>
      <c r="H270" s="123">
        <v>1704.1747304066971</v>
      </c>
      <c r="I270" s="127">
        <v>2022.4179103611466</v>
      </c>
      <c r="J270" s="128">
        <v>2120.5839453675071</v>
      </c>
      <c r="K270" s="127">
        <v>1072.3132819996686</v>
      </c>
      <c r="L270" s="127">
        <v>1981.6282789008822</v>
      </c>
      <c r="M270" s="127">
        <v>2101.8100014998777</v>
      </c>
      <c r="N270" s="123">
        <v>1239.2616833909053</v>
      </c>
      <c r="O270" s="127">
        <v>1398.4996444597086</v>
      </c>
      <c r="P270" s="128">
        <v>1980.4335783194899</v>
      </c>
      <c r="Q270" s="127">
        <v>1050.4210155474857</v>
      </c>
      <c r="R270" s="127">
        <v>1660.6901318320256</v>
      </c>
      <c r="S270" s="127">
        <v>1877.9903541407937</v>
      </c>
      <c r="T270" s="123">
        <v>710.5</v>
      </c>
      <c r="U270" s="127">
        <v>991.8</v>
      </c>
      <c r="V270" s="128">
        <v>1102</v>
      </c>
      <c r="W270" s="127">
        <v>665.62168328096016</v>
      </c>
      <c r="X270" s="127">
        <v>929.15353339627916</v>
      </c>
      <c r="Y270" s="127">
        <v>1032.3928148847547</v>
      </c>
      <c r="Z270" s="123">
        <v>1057.5163156423312</v>
      </c>
      <c r="AA270" s="127">
        <v>1131.0555768727866</v>
      </c>
      <c r="AB270" s="128">
        <v>1303.7356091551349</v>
      </c>
      <c r="AC270" s="123">
        <v>1224.7626108085649</v>
      </c>
      <c r="AD270" s="127">
        <v>1327.2161518970529</v>
      </c>
      <c r="AE270" s="128">
        <v>1541.2460625292165</v>
      </c>
      <c r="AG270" s="123">
        <v>946.79975710704343</v>
      </c>
      <c r="AH270" s="127">
        <v>2839.8131281633841</v>
      </c>
      <c r="AI270" s="128">
        <v>4373.7923797270496</v>
      </c>
      <c r="AJ270" s="123">
        <v>946.79975710704343</v>
      </c>
      <c r="AK270" s="127">
        <v>2210.9405267779407</v>
      </c>
      <c r="AL270" s="128">
        <v>3284.1228613945254</v>
      </c>
      <c r="AM270" s="123">
        <v>946.79975710704343</v>
      </c>
      <c r="AN270" s="127">
        <v>1546.2079178774079</v>
      </c>
      <c r="AO270" s="128">
        <v>2132.3174557133048</v>
      </c>
      <c r="AP270" s="123">
        <v>946.79975710704343</v>
      </c>
      <c r="AQ270" s="127">
        <v>1295.2008403684008</v>
      </c>
      <c r="AR270" s="128">
        <v>1697.3887266754591</v>
      </c>
      <c r="AS270" s="123">
        <v>1552.8630070454751</v>
      </c>
      <c r="AT270" s="127">
        <v>2422.4662909909412</v>
      </c>
      <c r="AU270" s="128">
        <v>3229.9550546545888</v>
      </c>
      <c r="AV270" s="123">
        <v>1355.0891481050751</v>
      </c>
      <c r="AW270" s="127">
        <v>2117.9206478767669</v>
      </c>
      <c r="AX270" s="128">
        <v>3055.5334140256477</v>
      </c>
      <c r="AY270" s="123">
        <v>1238.8725319550665</v>
      </c>
      <c r="AZ270" s="127">
        <v>1787.2424238676863</v>
      </c>
      <c r="BA270" s="128">
        <v>2248.8298579898133</v>
      </c>
      <c r="BB270" s="123">
        <v>1307.4853002905347</v>
      </c>
      <c r="BC270" s="127">
        <v>1701.4742041114152</v>
      </c>
      <c r="BD270" s="128">
        <v>2071.0567156602065</v>
      </c>
      <c r="BE270" s="123">
        <v>1628.2447064166147</v>
      </c>
      <c r="BF270" s="127">
        <v>2540.0617420099184</v>
      </c>
      <c r="BG270" s="128">
        <v>3386.748989346559</v>
      </c>
      <c r="BH270" s="123">
        <v>1420.8701747121177</v>
      </c>
      <c r="BI270" s="127">
        <v>2220.7323298125325</v>
      </c>
      <c r="BJ270" s="128">
        <v>3203.8602787841746</v>
      </c>
      <c r="BK270" s="123">
        <v>1299.0119752538562</v>
      </c>
      <c r="BL270" s="127">
        <v>1874.0017648321368</v>
      </c>
      <c r="BM270" s="128">
        <v>2357.996355950484</v>
      </c>
      <c r="BN270" s="123">
        <v>1370.9554604988132</v>
      </c>
      <c r="BO270" s="127">
        <v>1784.0700392624556</v>
      </c>
      <c r="BP270" s="128">
        <v>2171.5934494301196</v>
      </c>
    </row>
    <row r="271" spans="1:68" x14ac:dyDescent="0.3">
      <c r="A271" s="24">
        <v>2041</v>
      </c>
      <c r="B271" s="123">
        <v>1933.7313063931565</v>
      </c>
      <c r="C271" s="127">
        <v>2236.5956198938584</v>
      </c>
      <c r="D271" s="128">
        <v>2356.1995107380044</v>
      </c>
      <c r="E271" s="127">
        <v>2178.6770678779853</v>
      </c>
      <c r="F271" s="127">
        <v>2438.6643855767147</v>
      </c>
      <c r="G271" s="127">
        <v>2473.410165842824</v>
      </c>
      <c r="H271" s="123">
        <v>1703.7267167795007</v>
      </c>
      <c r="I271" s="127">
        <v>2023.7345842382867</v>
      </c>
      <c r="J271" s="128">
        <v>2120.5839453675071</v>
      </c>
      <c r="K271" s="127">
        <v>1068.4825466321183</v>
      </c>
      <c r="L271" s="127">
        <v>1983.1293380658637</v>
      </c>
      <c r="M271" s="127">
        <v>2101.8100014998777</v>
      </c>
      <c r="N271" s="123">
        <v>1223.6377389079835</v>
      </c>
      <c r="O271" s="127">
        <v>1383.8625539040449</v>
      </c>
      <c r="P271" s="128">
        <v>1980.4335783194899</v>
      </c>
      <c r="Q271" s="127">
        <v>1036.7529215409565</v>
      </c>
      <c r="R271" s="127">
        <v>1643.6918951699772</v>
      </c>
      <c r="S271" s="127">
        <v>1868.695848529655</v>
      </c>
      <c r="T271" s="123">
        <v>700.34999999999991</v>
      </c>
      <c r="U271" s="127">
        <v>980.78</v>
      </c>
      <c r="V271" s="128">
        <v>1096.1999999999998</v>
      </c>
      <c r="W271" s="127">
        <v>656.1128020912322</v>
      </c>
      <c r="X271" s="127">
        <v>918.82960524743157</v>
      </c>
      <c r="Y271" s="127">
        <v>1026.9591684906243</v>
      </c>
      <c r="Z271" s="123">
        <v>1044.0671839964173</v>
      </c>
      <c r="AA271" s="127">
        <v>1118.8099345600642</v>
      </c>
      <c r="AB271" s="128">
        <v>1294.3568266367636</v>
      </c>
      <c r="AC271" s="123">
        <v>1207.3807252914658</v>
      </c>
      <c r="AD271" s="127">
        <v>1311.5643348715571</v>
      </c>
      <c r="AE271" s="128">
        <v>1529.6423282482381</v>
      </c>
      <c r="AG271" s="123">
        <v>936.27975980585416</v>
      </c>
      <c r="AH271" s="127">
        <v>2774.469027821383</v>
      </c>
      <c r="AI271" s="128">
        <v>4294.8016893491795</v>
      </c>
      <c r="AJ271" s="123">
        <v>936.27975980585416</v>
      </c>
      <c r="AK271" s="127">
        <v>2161.0023629089442</v>
      </c>
      <c r="AL271" s="128">
        <v>3224.8116025177401</v>
      </c>
      <c r="AM271" s="123">
        <v>936.27975980585416</v>
      </c>
      <c r="AN271" s="127">
        <v>1512.5541784239394</v>
      </c>
      <c r="AO271" s="128">
        <v>2093.8078024631227</v>
      </c>
      <c r="AP271" s="123">
        <v>936.27975980585416</v>
      </c>
      <c r="AQ271" s="127">
        <v>1267.6961986524695</v>
      </c>
      <c r="AR271" s="128">
        <v>1666.7338862717004</v>
      </c>
      <c r="AS271" s="123">
        <v>1505.5246193490759</v>
      </c>
      <c r="AT271" s="127">
        <v>2348.6184061845584</v>
      </c>
      <c r="AU271" s="128">
        <v>3131.4912082460787</v>
      </c>
      <c r="AV271" s="123">
        <v>1311.814296784574</v>
      </c>
      <c r="AW271" s="127">
        <v>2064.0907123244865</v>
      </c>
      <c r="AX271" s="128">
        <v>2971.1323162256385</v>
      </c>
      <c r="AY271" s="123">
        <v>1224.9816066771455</v>
      </c>
      <c r="AZ271" s="127">
        <v>1754.1721505880882</v>
      </c>
      <c r="BA271" s="128">
        <v>2202.2917336838841</v>
      </c>
      <c r="BB271" s="123">
        <v>1293.1173299576715</v>
      </c>
      <c r="BC271" s="127">
        <v>1682.7766853849166</v>
      </c>
      <c r="BD271" s="128">
        <v>2048.2978506529516</v>
      </c>
      <c r="BE271" s="123">
        <v>1578.6083387349536</v>
      </c>
      <c r="BF271" s="127">
        <v>2462.629008426527</v>
      </c>
      <c r="BG271" s="128">
        <v>3283.505344568704</v>
      </c>
      <c r="BH271" s="123">
        <v>1375.494602453728</v>
      </c>
      <c r="BI271" s="127">
        <v>2164.2892905926656</v>
      </c>
      <c r="BJ271" s="128">
        <v>3115.3620403142618</v>
      </c>
      <c r="BK271" s="123">
        <v>1284.4467332148711</v>
      </c>
      <c r="BL271" s="127">
        <v>1839.3261384807145</v>
      </c>
      <c r="BM271" s="128">
        <v>2309.1990993966942</v>
      </c>
      <c r="BN271" s="123">
        <v>1355.8900158779468</v>
      </c>
      <c r="BO271" s="127">
        <v>1764.4648739958343</v>
      </c>
      <c r="BP271" s="128">
        <v>2147.7297851506678</v>
      </c>
    </row>
    <row r="272" spans="1:68" x14ac:dyDescent="0.3">
      <c r="A272" s="24">
        <v>2042</v>
      </c>
      <c r="B272" s="123">
        <v>1933.7313063931565</v>
      </c>
      <c r="C272" s="127">
        <v>2236.5956198938584</v>
      </c>
      <c r="D272" s="128">
        <v>2356.1995107380044</v>
      </c>
      <c r="E272" s="127">
        <v>2179.7614629919171</v>
      </c>
      <c r="F272" s="127">
        <v>2435.798774298682</v>
      </c>
      <c r="G272" s="127">
        <v>2473.410165842824</v>
      </c>
      <c r="H272" s="123">
        <v>1701.7339122784849</v>
      </c>
      <c r="I272" s="127">
        <v>2024.1569792630892</v>
      </c>
      <c r="J272" s="128">
        <v>2120.5839453675071</v>
      </c>
      <c r="K272" s="127">
        <v>1064.6518112645686</v>
      </c>
      <c r="L272" s="127">
        <v>1984.9787989702038</v>
      </c>
      <c r="M272" s="127">
        <v>2101.8100014998777</v>
      </c>
      <c r="N272" s="123">
        <v>1207.7894095385357</v>
      </c>
      <c r="O272" s="127">
        <v>1369.143039304118</v>
      </c>
      <c r="P272" s="128">
        <v>1980.4335783194899</v>
      </c>
      <c r="Q272" s="127">
        <v>1022.9103281363035</v>
      </c>
      <c r="R272" s="127">
        <v>1626.6075992571648</v>
      </c>
      <c r="S272" s="127">
        <v>1859.379139564405</v>
      </c>
      <c r="T272" s="123">
        <v>690.19999999999993</v>
      </c>
      <c r="U272" s="127">
        <v>969.75999999999988</v>
      </c>
      <c r="V272" s="128">
        <v>1090.3999999999999</v>
      </c>
      <c r="W272" s="127">
        <v>646.60392090150401</v>
      </c>
      <c r="X272" s="127">
        <v>908.50567709858387</v>
      </c>
      <c r="Y272" s="127">
        <v>1021.5255220964938</v>
      </c>
      <c r="Z272" s="123">
        <v>1030.6180523505029</v>
      </c>
      <c r="AA272" s="127">
        <v>1106.5642922473423</v>
      </c>
      <c r="AB272" s="128">
        <v>1284.9780441183921</v>
      </c>
      <c r="AC272" s="123">
        <v>1189.9988397743609</v>
      </c>
      <c r="AD272" s="127">
        <v>1295.9125178460622</v>
      </c>
      <c r="AE272" s="128">
        <v>1518.038593967269</v>
      </c>
      <c r="AG272" s="123">
        <v>925.75976250466476</v>
      </c>
      <c r="AH272" s="127">
        <v>2710.7828413436064</v>
      </c>
      <c r="AI272" s="128">
        <v>4217.237570839533</v>
      </c>
      <c r="AJ272" s="123">
        <v>925.75976250466476</v>
      </c>
      <c r="AK272" s="127">
        <v>2112.3090667316492</v>
      </c>
      <c r="AL272" s="128">
        <v>3166.5715049762703</v>
      </c>
      <c r="AM272" s="123">
        <v>925.75976250466476</v>
      </c>
      <c r="AN272" s="127">
        <v>1479.708707485717</v>
      </c>
      <c r="AO272" s="128">
        <v>2055.9936335506386</v>
      </c>
      <c r="AP272" s="123">
        <v>925.75976250466476</v>
      </c>
      <c r="AQ272" s="127">
        <v>1240.8349629463842</v>
      </c>
      <c r="AR272" s="128">
        <v>1636.6326722856336</v>
      </c>
      <c r="AS272" s="123">
        <v>1458.0729522884139</v>
      </c>
      <c r="AT272" s="127">
        <v>2274.5938055699262</v>
      </c>
      <c r="AU272" s="128">
        <v>3032.7917407599007</v>
      </c>
      <c r="AV272" s="123">
        <v>1268.4332388564442</v>
      </c>
      <c r="AW272" s="127">
        <v>2010.2253745696621</v>
      </c>
      <c r="AX272" s="128">
        <v>2886.7312184256298</v>
      </c>
      <c r="AY272" s="123">
        <v>1211.0896451374376</v>
      </c>
      <c r="AZ272" s="127">
        <v>1721.1015318878958</v>
      </c>
      <c r="BA272" s="128">
        <v>2155.7536093779549</v>
      </c>
      <c r="BB272" s="123">
        <v>1278.7493596248087</v>
      </c>
      <c r="BC272" s="127">
        <v>1664.0791666584178</v>
      </c>
      <c r="BD272" s="128">
        <v>2025.5389856456968</v>
      </c>
      <c r="BE272" s="123">
        <v>1528.853192690764</v>
      </c>
      <c r="BF272" s="127">
        <v>2385.0109805975926</v>
      </c>
      <c r="BG272" s="128">
        <v>3180.0146407967895</v>
      </c>
      <c r="BH272" s="123">
        <v>1330.0076679271453</v>
      </c>
      <c r="BI272" s="127">
        <v>2107.8091306167339</v>
      </c>
      <c r="BJ272" s="128">
        <v>3026.8638018443494</v>
      </c>
      <c r="BK272" s="123">
        <v>1269.8804046101288</v>
      </c>
      <c r="BL272" s="127">
        <v>1804.650149940707</v>
      </c>
      <c r="BM272" s="128">
        <v>2260.401842842904</v>
      </c>
      <c r="BN272" s="123">
        <v>1340.8245712570808</v>
      </c>
      <c r="BO272" s="127">
        <v>1744.8597087292146</v>
      </c>
      <c r="BP272" s="128">
        <v>2123.866120871216</v>
      </c>
    </row>
    <row r="273" spans="1:68" x14ac:dyDescent="0.3">
      <c r="A273" s="24">
        <v>2043</v>
      </c>
      <c r="B273" s="123">
        <v>1933.7313063931565</v>
      </c>
      <c r="C273" s="127">
        <v>2236.5956198938584</v>
      </c>
      <c r="D273" s="128">
        <v>2356.1995107380044</v>
      </c>
      <c r="E273" s="127">
        <v>2181.3363992149339</v>
      </c>
      <c r="F273" s="127">
        <v>2432.8334920137845</v>
      </c>
      <c r="G273" s="127">
        <v>2473.410165842824</v>
      </c>
      <c r="H273" s="123">
        <v>1698.2312752643199</v>
      </c>
      <c r="I273" s="127">
        <v>2023.7002249367524</v>
      </c>
      <c r="J273" s="128">
        <v>2120.5839453675071</v>
      </c>
      <c r="K273" s="127">
        <v>1060.8210758970185</v>
      </c>
      <c r="L273" s="127">
        <v>1987.1766616139028</v>
      </c>
      <c r="M273" s="127">
        <v>2101.8100014998777</v>
      </c>
      <c r="N273" s="123">
        <v>1191.716695282563</v>
      </c>
      <c r="O273" s="127">
        <v>1354.341100659927</v>
      </c>
      <c r="P273" s="128">
        <v>1980.4335783194899</v>
      </c>
      <c r="Q273" s="127">
        <v>1008.8932353335257</v>
      </c>
      <c r="R273" s="127">
        <v>1609.4372440935883</v>
      </c>
      <c r="S273" s="127">
        <v>1850.0402272450447</v>
      </c>
      <c r="T273" s="123">
        <v>680.05</v>
      </c>
      <c r="U273" s="127">
        <v>958.7399999999999</v>
      </c>
      <c r="V273" s="128">
        <v>1084.5999999999999</v>
      </c>
      <c r="W273" s="127">
        <v>637.09503971177594</v>
      </c>
      <c r="X273" s="127">
        <v>898.18174894973629</v>
      </c>
      <c r="Y273" s="127">
        <v>1016.0918757023637</v>
      </c>
      <c r="Z273" s="123">
        <v>1017.1689207045895</v>
      </c>
      <c r="AA273" s="127">
        <v>1094.3186499346227</v>
      </c>
      <c r="AB273" s="128">
        <v>1275.5992616000196</v>
      </c>
      <c r="AC273" s="123">
        <v>1172.6169542572566</v>
      </c>
      <c r="AD273" s="127">
        <v>1280.2607008205673</v>
      </c>
      <c r="AE273" s="128">
        <v>1506.4348596862981</v>
      </c>
      <c r="AG273" s="123">
        <v>915.23976520347537</v>
      </c>
      <c r="AH273" s="127">
        <v>2648.7066071834674</v>
      </c>
      <c r="AI273" s="128">
        <v>4141.0742603101708</v>
      </c>
      <c r="AJ273" s="123">
        <v>915.23976520347537</v>
      </c>
      <c r="AK273" s="127">
        <v>2064.8246256515031</v>
      </c>
      <c r="AL273" s="128">
        <v>3109.3832235963987</v>
      </c>
      <c r="AM273" s="123">
        <v>915.23976520347537</v>
      </c>
      <c r="AN273" s="127">
        <v>1447.6481227816182</v>
      </c>
      <c r="AO273" s="128">
        <v>2018.8623885287141</v>
      </c>
      <c r="AP273" s="123">
        <v>915.23976520347537</v>
      </c>
      <c r="AQ273" s="127">
        <v>1214.5985202522197</v>
      </c>
      <c r="AR273" s="128">
        <v>1607.0750862241553</v>
      </c>
      <c r="AS273" s="123">
        <v>1410.503485162282</v>
      </c>
      <c r="AT273" s="127">
        <v>2200.3854368531606</v>
      </c>
      <c r="AU273" s="128">
        <v>2933.8472491375464</v>
      </c>
      <c r="AV273" s="123">
        <v>1224.9417358758258</v>
      </c>
      <c r="AW273" s="127">
        <v>1956.3232217973427</v>
      </c>
      <c r="AX273" s="128">
        <v>2802.3301206256201</v>
      </c>
      <c r="AY273" s="123">
        <v>1197.1966059812796</v>
      </c>
      <c r="AZ273" s="127">
        <v>1688.03055398222</v>
      </c>
      <c r="BA273" s="128">
        <v>2109.2154850720258</v>
      </c>
      <c r="BB273" s="123">
        <v>1264.3813892919454</v>
      </c>
      <c r="BC273" s="127">
        <v>1645.3816479319185</v>
      </c>
      <c r="BD273" s="128">
        <v>2002.7801206384415</v>
      </c>
      <c r="BE273" s="123">
        <v>1478.9745281313249</v>
      </c>
      <c r="BF273" s="127">
        <v>2307.2002638848667</v>
      </c>
      <c r="BG273" s="128">
        <v>3076.2670185131556</v>
      </c>
      <c r="BH273" s="123">
        <v>1284.404926937759</v>
      </c>
      <c r="BI273" s="127">
        <v>2051.2903684865332</v>
      </c>
      <c r="BJ273" s="128">
        <v>2938.365563374437</v>
      </c>
      <c r="BK273" s="123">
        <v>1255.3129460774583</v>
      </c>
      <c r="BL273" s="127">
        <v>1769.9737847580554</v>
      </c>
      <c r="BM273" s="128">
        <v>2211.6045862891146</v>
      </c>
      <c r="BN273" s="123">
        <v>1325.7591266362147</v>
      </c>
      <c r="BO273" s="127">
        <v>1725.2545434625936</v>
      </c>
      <c r="BP273" s="128">
        <v>2100.0024565917638</v>
      </c>
    </row>
    <row r="274" spans="1:68" x14ac:dyDescent="0.3">
      <c r="A274" s="24">
        <v>2044</v>
      </c>
      <c r="B274" s="123">
        <v>1933.7313063931565</v>
      </c>
      <c r="C274" s="127">
        <v>2236.5956198938584</v>
      </c>
      <c r="D274" s="128">
        <v>2356.1995107380044</v>
      </c>
      <c r="E274" s="127">
        <v>2183.5153433838891</v>
      </c>
      <c r="F274" s="127">
        <v>2429.6910827770412</v>
      </c>
      <c r="G274" s="127">
        <v>2473.410165842824</v>
      </c>
      <c r="H274" s="123">
        <v>1693.2537640982885</v>
      </c>
      <c r="I274" s="127">
        <v>2022.3794507598091</v>
      </c>
      <c r="J274" s="128">
        <v>2120.5839453675071</v>
      </c>
      <c r="K274" s="127">
        <v>1056.9903405294685</v>
      </c>
      <c r="L274" s="127">
        <v>1989.7229259969597</v>
      </c>
      <c r="M274" s="127">
        <v>2101.8100014998777</v>
      </c>
      <c r="N274" s="123">
        <v>1175.4195961400649</v>
      </c>
      <c r="O274" s="127">
        <v>1339.4567379714722</v>
      </c>
      <c r="P274" s="128">
        <v>1980.4335783194899</v>
      </c>
      <c r="Q274" s="127">
        <v>994.70164313262421</v>
      </c>
      <c r="R274" s="127">
        <v>1592.1808296792476</v>
      </c>
      <c r="S274" s="127">
        <v>1840.6791115715737</v>
      </c>
      <c r="T274" s="123">
        <v>669.9</v>
      </c>
      <c r="U274" s="127">
        <v>947.71999999999991</v>
      </c>
      <c r="V274" s="128">
        <v>1078.8</v>
      </c>
      <c r="W274" s="127">
        <v>627.58615852204821</v>
      </c>
      <c r="X274" s="127">
        <v>887.8578208008887</v>
      </c>
      <c r="Y274" s="127">
        <v>1010.6582293082332</v>
      </c>
      <c r="Z274" s="123">
        <v>1003.7197890586747</v>
      </c>
      <c r="AA274" s="127">
        <v>1082.0730076218997</v>
      </c>
      <c r="AB274" s="128">
        <v>1266.2204790816479</v>
      </c>
      <c r="AC274" s="123">
        <v>1155.2350687401508</v>
      </c>
      <c r="AD274" s="127">
        <v>1264.6088837950724</v>
      </c>
      <c r="AE274" s="128">
        <v>1494.8311254053206</v>
      </c>
      <c r="AG274" s="123">
        <v>904.71976790228598</v>
      </c>
      <c r="AH274" s="127">
        <v>2588.1938300333286</v>
      </c>
      <c r="AI274" s="128">
        <v>4066.2864591689695</v>
      </c>
      <c r="AJ274" s="123">
        <v>904.71976790228598</v>
      </c>
      <c r="AK274" s="127">
        <v>2018.5141280198736</v>
      </c>
      <c r="AL274" s="128">
        <v>3053.2277625782476</v>
      </c>
      <c r="AM274" s="123">
        <v>904.71976790228598</v>
      </c>
      <c r="AN274" s="127">
        <v>1416.3497568534117</v>
      </c>
      <c r="AO274" s="128">
        <v>1982.4017337918856</v>
      </c>
      <c r="AP274" s="123">
        <v>904.71976790228598</v>
      </c>
      <c r="AQ274" s="127">
        <v>1188.9688265925356</v>
      </c>
      <c r="AR274" s="128">
        <v>1578.0513101669469</v>
      </c>
      <c r="AS274" s="123">
        <v>1362.8114534796807</v>
      </c>
      <c r="AT274" s="127">
        <v>2125.9858674283023</v>
      </c>
      <c r="AU274" s="128">
        <v>2834.6478232377367</v>
      </c>
      <c r="AV274" s="123">
        <v>1181.3353208294232</v>
      </c>
      <c r="AW274" s="127">
        <v>1902.3827650030955</v>
      </c>
      <c r="AX274" s="128">
        <v>2717.9290228256114</v>
      </c>
      <c r="AY274" s="123">
        <v>1183.3024456238595</v>
      </c>
      <c r="AZ274" s="127">
        <v>1654.9592023427901</v>
      </c>
      <c r="BA274" s="128">
        <v>2062.6773607660971</v>
      </c>
      <c r="BB274" s="123">
        <v>1250.0134189590826</v>
      </c>
      <c r="BC274" s="127">
        <v>1626.6841292054198</v>
      </c>
      <c r="BD274" s="128">
        <v>1980.0212556311867</v>
      </c>
      <c r="BE274" s="123">
        <v>1428.9673492796653</v>
      </c>
      <c r="BF274" s="127">
        <v>2229.1890648762778</v>
      </c>
      <c r="BG274" s="128">
        <v>2972.2520865017045</v>
      </c>
      <c r="BH274" s="123">
        <v>1238.6816956269679</v>
      </c>
      <c r="BI274" s="127">
        <v>1994.731442915866</v>
      </c>
      <c r="BJ274" s="128">
        <v>2849.8673249045241</v>
      </c>
      <c r="BK274" s="123">
        <v>1240.7443119162801</v>
      </c>
      <c r="BL274" s="127">
        <v>1735.2970276992369</v>
      </c>
      <c r="BM274" s="128">
        <v>2162.8073297353249</v>
      </c>
      <c r="BN274" s="123">
        <v>1310.6936820153487</v>
      </c>
      <c r="BO274" s="127">
        <v>1705.6493781959734</v>
      </c>
      <c r="BP274" s="128">
        <v>2076.1387923123125</v>
      </c>
    </row>
    <row r="275" spans="1:68" x14ac:dyDescent="0.3">
      <c r="A275" s="24">
        <v>2045</v>
      </c>
      <c r="B275" s="123">
        <v>1933.7313063931565</v>
      </c>
      <c r="C275" s="127">
        <v>2236.5956198938584</v>
      </c>
      <c r="D275" s="128">
        <v>2356.1995107380044</v>
      </c>
      <c r="E275" s="127">
        <v>2186.4546069405583</v>
      </c>
      <c r="F275" s="127">
        <v>2426.3020034174251</v>
      </c>
      <c r="G275" s="127">
        <v>2473.410165842824</v>
      </c>
      <c r="H275" s="123">
        <v>1686.8363371423097</v>
      </c>
      <c r="I275" s="127">
        <v>2020.2097862334595</v>
      </c>
      <c r="J275" s="128">
        <v>2120.5839453675071</v>
      </c>
      <c r="K275" s="127">
        <v>1053.1596051619188</v>
      </c>
      <c r="L275" s="127">
        <v>1992.6175921193751</v>
      </c>
      <c r="M275" s="127">
        <v>2101.8100014998777</v>
      </c>
      <c r="N275" s="123">
        <v>1158.8981121110405</v>
      </c>
      <c r="O275" s="127">
        <v>1324.4899512387533</v>
      </c>
      <c r="P275" s="128">
        <v>1980.4335783194899</v>
      </c>
      <c r="Q275" s="127">
        <v>980.3355515335976</v>
      </c>
      <c r="R275" s="127">
        <v>1574.8383560141433</v>
      </c>
      <c r="S275" s="127">
        <v>1831.2957925439916</v>
      </c>
      <c r="T275" s="123">
        <v>659.75</v>
      </c>
      <c r="U275" s="127">
        <v>936.69999999999993</v>
      </c>
      <c r="V275" s="128">
        <v>1073</v>
      </c>
      <c r="W275" s="127">
        <v>618.07727733232025</v>
      </c>
      <c r="X275" s="127">
        <v>877.53389265204135</v>
      </c>
      <c r="Y275" s="127">
        <v>1005.2245829141032</v>
      </c>
      <c r="Z275" s="123">
        <v>990.27065741276044</v>
      </c>
      <c r="AA275" s="127">
        <v>1069.8273653091783</v>
      </c>
      <c r="AB275" s="128">
        <v>1256.841696563283</v>
      </c>
      <c r="AC275" s="123">
        <v>1137.853183223046</v>
      </c>
      <c r="AD275" s="127">
        <v>1248.9570667695752</v>
      </c>
      <c r="AE275" s="128">
        <v>1483.2273911243515</v>
      </c>
      <c r="AG275" s="123">
        <v>894.1997706010967</v>
      </c>
      <c r="AH275" s="127">
        <v>2529.1994343624488</v>
      </c>
      <c r="AI275" s="128">
        <v>3992.8493257163782</v>
      </c>
      <c r="AJ275" s="123">
        <v>894.1997706010967</v>
      </c>
      <c r="AK275" s="127">
        <v>1973.3437282473612</v>
      </c>
      <c r="AL275" s="128">
        <v>2998.0864691860847</v>
      </c>
      <c r="AM275" s="123">
        <v>894.1997706010967</v>
      </c>
      <c r="AN275" s="127">
        <v>1385.7916344145078</v>
      </c>
      <c r="AO275" s="128">
        <v>1946.5995584796042</v>
      </c>
      <c r="AP275" s="123">
        <v>894.1997706010967</v>
      </c>
      <c r="AQ275" s="127">
        <v>1163.9283889793044</v>
      </c>
      <c r="AR275" s="128">
        <v>1549.5517035053319</v>
      </c>
      <c r="AS275" s="123">
        <v>1314.9918323015372</v>
      </c>
      <c r="AT275" s="127">
        <v>2051.3872583903972</v>
      </c>
      <c r="AU275" s="128">
        <v>2735.1830111871973</v>
      </c>
      <c r="AV275" s="123">
        <v>1137.6092825173109</v>
      </c>
      <c r="AW275" s="127">
        <v>1848.402433786943</v>
      </c>
      <c r="AX275" s="128">
        <v>2633.5279250256021</v>
      </c>
      <c r="AY275" s="123">
        <v>1169.4071180978247</v>
      </c>
      <c r="AZ275" s="127">
        <v>1621.8874616471553</v>
      </c>
      <c r="BA275" s="128">
        <v>2016.1392364601679</v>
      </c>
      <c r="BB275" s="123">
        <v>1235.6454486262194</v>
      </c>
      <c r="BC275" s="127">
        <v>1607.9866104789198</v>
      </c>
      <c r="BD275" s="128">
        <v>1957.2623906239314</v>
      </c>
      <c r="BE275" s="123">
        <v>1378.8263872676312</v>
      </c>
      <c r="BF275" s="127">
        <v>2150.9691641375052</v>
      </c>
      <c r="BG275" s="128">
        <v>2867.958885516673</v>
      </c>
      <c r="BH275" s="123">
        <v>1192.8330340958212</v>
      </c>
      <c r="BI275" s="127">
        <v>1938.1307072717461</v>
      </c>
      <c r="BJ275" s="128">
        <v>2761.3690864346122</v>
      </c>
      <c r="BK275" s="123">
        <v>1226.1744539278163</v>
      </c>
      <c r="BL275" s="127">
        <v>1700.6198626979879</v>
      </c>
      <c r="BM275" s="128">
        <v>2114.0100731815355</v>
      </c>
      <c r="BN275" s="123">
        <v>1295.6282373944825</v>
      </c>
      <c r="BO275" s="127">
        <v>1686.0442129293531</v>
      </c>
      <c r="BP275" s="128">
        <v>2052.2751280328603</v>
      </c>
    </row>
    <row r="276" spans="1:68" x14ac:dyDescent="0.3">
      <c r="A276" s="24">
        <v>2046</v>
      </c>
      <c r="B276" s="123">
        <v>1933.7313063931565</v>
      </c>
      <c r="C276" s="127">
        <v>2236.5956198938584</v>
      </c>
      <c r="D276" s="128">
        <v>2356.1995107380044</v>
      </c>
      <c r="E276" s="127">
        <v>2186.9355587102245</v>
      </c>
      <c r="F276" s="127">
        <v>2422.6046833906294</v>
      </c>
      <c r="G276" s="127">
        <v>2473.410165842824</v>
      </c>
      <c r="H276" s="123">
        <v>1679.0139527570616</v>
      </c>
      <c r="I276" s="127">
        <v>2017.2063608580404</v>
      </c>
      <c r="J276" s="128">
        <v>2120.5839453675071</v>
      </c>
      <c r="K276" s="127">
        <v>1049.3288697943688</v>
      </c>
      <c r="L276" s="127">
        <v>1995.8606599811499</v>
      </c>
      <c r="M276" s="127">
        <v>2101.8100014998777</v>
      </c>
      <c r="N276" s="123">
        <v>1142.1522431954918</v>
      </c>
      <c r="O276" s="127">
        <v>1309.4407404617705</v>
      </c>
      <c r="P276" s="128">
        <v>1980.4335783194899</v>
      </c>
      <c r="Q276" s="127">
        <v>965.79496053644721</v>
      </c>
      <c r="R276" s="127">
        <v>1557.4098230982745</v>
      </c>
      <c r="S276" s="127">
        <v>1821.8902701622985</v>
      </c>
      <c r="T276" s="123">
        <v>649.59999999999991</v>
      </c>
      <c r="U276" s="127">
        <v>925.68</v>
      </c>
      <c r="V276" s="128">
        <v>1067.1999999999998</v>
      </c>
      <c r="W276" s="127">
        <v>608.56839614259218</v>
      </c>
      <c r="X276" s="127">
        <v>867.20996450319399</v>
      </c>
      <c r="Y276" s="127">
        <v>999.79093651997266</v>
      </c>
      <c r="Z276" s="123">
        <v>976.82152576684609</v>
      </c>
      <c r="AA276" s="127">
        <v>1057.5817229964568</v>
      </c>
      <c r="AB276" s="128">
        <v>1247.4629140449117</v>
      </c>
      <c r="AC276" s="123">
        <v>1120.4712977059403</v>
      </c>
      <c r="AD276" s="127">
        <v>1233.3052497440742</v>
      </c>
      <c r="AE276" s="128">
        <v>1471.6236568433731</v>
      </c>
      <c r="AG276" s="123">
        <v>883.67977329990731</v>
      </c>
      <c r="AH276" s="127">
        <v>2471.6797194594283</v>
      </c>
      <c r="AI276" s="128">
        <v>3920.7384668939403</v>
      </c>
      <c r="AJ276" s="123">
        <v>883.67977329990731</v>
      </c>
      <c r="AK276" s="127">
        <v>1929.2806130467986</v>
      </c>
      <c r="AL276" s="128">
        <v>2943.9410275525838</v>
      </c>
      <c r="AM276" s="123">
        <v>883.67977329990731</v>
      </c>
      <c r="AN276" s="127">
        <v>1355.9524504321901</v>
      </c>
      <c r="AO276" s="128">
        <v>1911.4439704534627</v>
      </c>
      <c r="AP276" s="123">
        <v>883.67977329990731</v>
      </c>
      <c r="AQ276" s="127">
        <v>1139.4602479667089</v>
      </c>
      <c r="AR276" s="128">
        <v>1521.5667997400258</v>
      </c>
      <c r="AS276" s="123">
        <v>1267.0393181975753</v>
      </c>
      <c r="AT276" s="127">
        <v>1976.5813363882171</v>
      </c>
      <c r="AU276" s="128">
        <v>2635.4417818509569</v>
      </c>
      <c r="AV276" s="123">
        <v>1093.7586486363514</v>
      </c>
      <c r="AW276" s="127">
        <v>1794.3805707145086</v>
      </c>
      <c r="AX276" s="128">
        <v>2549.1268272255929</v>
      </c>
      <c r="AY276" s="123">
        <v>1155.5105748882311</v>
      </c>
      <c r="AZ276" s="127">
        <v>1588.8153157236668</v>
      </c>
      <c r="BA276" s="128">
        <v>1969.6011121542388</v>
      </c>
      <c r="BB276" s="123">
        <v>1221.2774782933564</v>
      </c>
      <c r="BC276" s="127">
        <v>1589.289091752421</v>
      </c>
      <c r="BD276" s="128">
        <v>1934.5035256166761</v>
      </c>
      <c r="BE276" s="123">
        <v>1328.5460812168751</v>
      </c>
      <c r="BF276" s="127">
        <v>2072.5318866983248</v>
      </c>
      <c r="BG276" s="128">
        <v>2763.3758489311008</v>
      </c>
      <c r="BH276" s="123">
        <v>1146.8537286672424</v>
      </c>
      <c r="BI276" s="127">
        <v>1881.4864236618155</v>
      </c>
      <c r="BJ276" s="128">
        <v>2672.8708479646994</v>
      </c>
      <c r="BK276" s="123">
        <v>1211.6033212420286</v>
      </c>
      <c r="BL276" s="127">
        <v>1665.9422727976321</v>
      </c>
      <c r="BM276" s="128">
        <v>2065.2128166277457</v>
      </c>
      <c r="BN276" s="123">
        <v>1280.5627927736164</v>
      </c>
      <c r="BO276" s="127">
        <v>1666.439047662732</v>
      </c>
      <c r="BP276" s="128">
        <v>2028.4114637534083</v>
      </c>
    </row>
    <row r="277" spans="1:68" x14ac:dyDescent="0.3">
      <c r="A277" s="24">
        <v>2047</v>
      </c>
      <c r="B277" s="123">
        <v>1933.7313063931565</v>
      </c>
      <c r="C277" s="127">
        <v>2236.5956198938584</v>
      </c>
      <c r="D277" s="128">
        <v>2356.1995107380044</v>
      </c>
      <c r="E277" s="127">
        <v>2188.620719699979</v>
      </c>
      <c r="F277" s="127">
        <v>2418.5455882725782</v>
      </c>
      <c r="G277" s="127">
        <v>2473.410165842824</v>
      </c>
      <c r="H277" s="123">
        <v>1669.821569303544</v>
      </c>
      <c r="I277" s="127">
        <v>2013.3843041357893</v>
      </c>
      <c r="J277" s="128">
        <v>2120.5839453675071</v>
      </c>
      <c r="K277" s="127">
        <v>1045.4981344268185</v>
      </c>
      <c r="L277" s="127">
        <v>1999.4521295822826</v>
      </c>
      <c r="M277" s="127">
        <v>2101.8100014998777</v>
      </c>
      <c r="N277" s="123">
        <v>1125.1819893934176</v>
      </c>
      <c r="O277" s="127">
        <v>1294.309105640524</v>
      </c>
      <c r="P277" s="128">
        <v>1980.4335783194899</v>
      </c>
      <c r="Q277" s="127">
        <v>951.07987014117214</v>
      </c>
      <c r="R277" s="127">
        <v>1539.8952309316419</v>
      </c>
      <c r="S277" s="127">
        <v>1812.4625444264959</v>
      </c>
      <c r="T277" s="123">
        <v>639.44999999999993</v>
      </c>
      <c r="U277" s="127">
        <v>914.66</v>
      </c>
      <c r="V277" s="128">
        <v>1061.3999999999999</v>
      </c>
      <c r="W277" s="127">
        <v>599.05951495286411</v>
      </c>
      <c r="X277" s="127">
        <v>856.88603635434629</v>
      </c>
      <c r="Y277" s="127">
        <v>994.35729012584261</v>
      </c>
      <c r="Z277" s="123">
        <v>963.37239412093231</v>
      </c>
      <c r="AA277" s="127">
        <v>1045.3360806837361</v>
      </c>
      <c r="AB277" s="128">
        <v>1238.08413152654</v>
      </c>
      <c r="AC277" s="123">
        <v>1103.0894121888348</v>
      </c>
      <c r="AD277" s="127">
        <v>1217.6534327185834</v>
      </c>
      <c r="AE277" s="128">
        <v>1460.0199225624019</v>
      </c>
      <c r="AG277" s="123">
        <v>873.15977599871792</v>
      </c>
      <c r="AH277" s="127">
        <v>2415.5923159298168</v>
      </c>
      <c r="AI277" s="128">
        <v>3849.929930181836</v>
      </c>
      <c r="AJ277" s="123">
        <v>873.15977599871792</v>
      </c>
      <c r="AK277" s="127">
        <v>1886.2929687688727</v>
      </c>
      <c r="AL277" s="128">
        <v>2890.773452594985</v>
      </c>
      <c r="AM277" s="123">
        <v>873.15977599871792</v>
      </c>
      <c r="AN277" s="127">
        <v>1326.811548919268</v>
      </c>
      <c r="AO277" s="128">
        <v>1876.9232923470731</v>
      </c>
      <c r="AP277" s="123">
        <v>873.15977599871792</v>
      </c>
      <c r="AQ277" s="127">
        <v>1115.547960768663</v>
      </c>
      <c r="AR277" s="128">
        <v>1494.0873033367209</v>
      </c>
      <c r="AS277" s="123">
        <v>1218.9483096821377</v>
      </c>
      <c r="AT277" s="127">
        <v>1901.5593631041352</v>
      </c>
      <c r="AU277" s="128">
        <v>2535.4124841388466</v>
      </c>
      <c r="AV277" s="123">
        <v>1049.7781674375326</v>
      </c>
      <c r="AW277" s="127">
        <v>1740.3154252027887</v>
      </c>
      <c r="AX277" s="128">
        <v>2464.7257294255837</v>
      </c>
      <c r="AY277" s="123">
        <v>1141.6127647535686</v>
      </c>
      <c r="AZ277" s="127">
        <v>1555.7427474918234</v>
      </c>
      <c r="BA277" s="128">
        <v>1923.0629878483096</v>
      </c>
      <c r="BB277" s="123">
        <v>1206.9095079604933</v>
      </c>
      <c r="BC277" s="127">
        <v>1570.5915730259221</v>
      </c>
      <c r="BD277" s="128">
        <v>1911.7446606094211</v>
      </c>
      <c r="BE277" s="123">
        <v>1278.1205577249602</v>
      </c>
      <c r="BF277" s="127">
        <v>1993.8680700509378</v>
      </c>
      <c r="BG277" s="128">
        <v>2658.4907600679171</v>
      </c>
      <c r="BH277" s="123">
        <v>1100.7382726529468</v>
      </c>
      <c r="BI277" s="127">
        <v>1824.7967565233125</v>
      </c>
      <c r="BJ277" s="128">
        <v>2584.3726094947865</v>
      </c>
      <c r="BK277" s="123">
        <v>1197.0308601299555</v>
      </c>
      <c r="BL277" s="127">
        <v>1631.2642400885136</v>
      </c>
      <c r="BM277" s="128">
        <v>2016.4155600739562</v>
      </c>
      <c r="BN277" s="123">
        <v>1265.4973481527502</v>
      </c>
      <c r="BO277" s="127">
        <v>1646.8338823961121</v>
      </c>
      <c r="BP277" s="128">
        <v>2004.5477994739563</v>
      </c>
    </row>
    <row r="278" spans="1:68" x14ac:dyDescent="0.3">
      <c r="A278" s="24">
        <v>2048</v>
      </c>
      <c r="B278" s="123">
        <v>1933.7313063931565</v>
      </c>
      <c r="C278" s="127">
        <v>2236.5956198938584</v>
      </c>
      <c r="D278" s="128">
        <v>2356.1995107380044</v>
      </c>
      <c r="E278" s="127">
        <v>2191.797372620088</v>
      </c>
      <c r="F278" s="127">
        <v>2414.0793170228312</v>
      </c>
      <c r="G278" s="127">
        <v>2473.410165842824</v>
      </c>
      <c r="H278" s="123">
        <v>1659.294145144253</v>
      </c>
      <c r="I278" s="127">
        <v>2008.7587455670366</v>
      </c>
      <c r="J278" s="128">
        <v>2120.5839453675071</v>
      </c>
      <c r="K278" s="127">
        <v>1041.6673990592687</v>
      </c>
      <c r="L278" s="127">
        <v>2003.3920009227745</v>
      </c>
      <c r="M278" s="127">
        <v>2101.8100014998777</v>
      </c>
      <c r="N278" s="123">
        <v>1107.9873507048173</v>
      </c>
      <c r="O278" s="127">
        <v>1279.0950467750129</v>
      </c>
      <c r="P278" s="128">
        <v>1980.4335783194899</v>
      </c>
      <c r="Q278" s="127">
        <v>936.19028034777273</v>
      </c>
      <c r="R278" s="127">
        <v>1522.2945795142455</v>
      </c>
      <c r="S278" s="127">
        <v>1803.0126153365816</v>
      </c>
      <c r="T278" s="123">
        <v>629.29999999999995</v>
      </c>
      <c r="U278" s="127">
        <v>903.64</v>
      </c>
      <c r="V278" s="128">
        <v>1055.5999999999999</v>
      </c>
      <c r="W278" s="127">
        <v>589.55063376313615</v>
      </c>
      <c r="X278" s="127">
        <v>846.56210820549893</v>
      </c>
      <c r="Y278" s="127">
        <v>988.92364373171222</v>
      </c>
      <c r="Z278" s="123">
        <v>949.92326247501796</v>
      </c>
      <c r="AA278" s="127">
        <v>1033.0904383710133</v>
      </c>
      <c r="AB278" s="128">
        <v>1228.7053490081673</v>
      </c>
      <c r="AC278" s="123">
        <v>1085.7075266717306</v>
      </c>
      <c r="AD278" s="127">
        <v>1202.0016156930869</v>
      </c>
      <c r="AE278" s="128">
        <v>1448.4161882814246</v>
      </c>
      <c r="AG278" s="123">
        <v>862.63977869752864</v>
      </c>
      <c r="AH278" s="127">
        <v>2360.8961436012</v>
      </c>
      <c r="AI278" s="128">
        <v>3780.4001956427528</v>
      </c>
      <c r="AJ278" s="123">
        <v>862.63977869752864</v>
      </c>
      <c r="AK278" s="127">
        <v>1844.3499497945745</v>
      </c>
      <c r="AL278" s="128">
        <v>2838.5660840411188</v>
      </c>
      <c r="AM278" s="123">
        <v>862.63977869752864</v>
      </c>
      <c r="AN278" s="127">
        <v>1298.3489024119017</v>
      </c>
      <c r="AO278" s="128">
        <v>1843.0260576872847</v>
      </c>
      <c r="AP278" s="123">
        <v>862.63977869752864</v>
      </c>
      <c r="AQ278" s="127">
        <v>1092.1755849225399</v>
      </c>
      <c r="AR278" s="128">
        <v>1467.1040866384601</v>
      </c>
      <c r="AS278" s="123">
        <v>1177.2030080113429</v>
      </c>
      <c r="AT278" s="127">
        <v>1836.4366924976946</v>
      </c>
      <c r="AU278" s="128">
        <v>2448.5822566635934</v>
      </c>
      <c r="AV278" s="123">
        <v>1019.4505680176234</v>
      </c>
      <c r="AW278" s="127">
        <v>1690.8012402840382</v>
      </c>
      <c r="AX278" s="128">
        <v>2380.3246316255745</v>
      </c>
      <c r="AY278" s="123">
        <v>1118.9822760542352</v>
      </c>
      <c r="AZ278" s="127">
        <v>1548.1992512587117</v>
      </c>
      <c r="BA278" s="128">
        <v>1923.0629878483096</v>
      </c>
      <c r="BB278" s="123">
        <v>1192.5415376276301</v>
      </c>
      <c r="BC278" s="127">
        <v>1551.8940542994226</v>
      </c>
      <c r="BD278" s="128">
        <v>1888.9857956021663</v>
      </c>
      <c r="BE278" s="123">
        <v>1234.3487850992724</v>
      </c>
      <c r="BF278" s="127">
        <v>1925.5841047548661</v>
      </c>
      <c r="BG278" s="128">
        <v>2567.4454730064867</v>
      </c>
      <c r="BH278" s="123">
        <v>1068.9384596689645</v>
      </c>
      <c r="BI278" s="127">
        <v>1772.8789703949144</v>
      </c>
      <c r="BJ278" s="128">
        <v>2495.8743710248746</v>
      </c>
      <c r="BK278" s="123">
        <v>1173.301804018033</v>
      </c>
      <c r="BL278" s="127">
        <v>1623.3545547178728</v>
      </c>
      <c r="BM278" s="128">
        <v>2016.4155600739562</v>
      </c>
      <c r="BN278" s="123">
        <v>1250.431903531884</v>
      </c>
      <c r="BO278" s="127">
        <v>1627.2287171294918</v>
      </c>
      <c r="BP278" s="128">
        <v>1980.6841351945045</v>
      </c>
    </row>
    <row r="279" spans="1:68" x14ac:dyDescent="0.3">
      <c r="A279" s="24">
        <v>2049</v>
      </c>
      <c r="B279" s="123">
        <v>1933.7313063931565</v>
      </c>
      <c r="C279" s="127">
        <v>2236.5956198938584</v>
      </c>
      <c r="D279" s="128">
        <v>2356.1995107380044</v>
      </c>
      <c r="E279" s="127">
        <v>2195.4700916000506</v>
      </c>
      <c r="F279" s="127">
        <v>2409.1686467759318</v>
      </c>
      <c r="G279" s="127">
        <v>2473.410165842824</v>
      </c>
      <c r="H279" s="123">
        <v>1647.4666386395802</v>
      </c>
      <c r="I279" s="127">
        <v>2003.3448146527619</v>
      </c>
      <c r="J279" s="128">
        <v>2120.5839453675071</v>
      </c>
      <c r="K279" s="127">
        <v>1037.8366636917185</v>
      </c>
      <c r="L279" s="127">
        <v>2007.6802740026244</v>
      </c>
      <c r="M279" s="127">
        <v>2101.8100014998777</v>
      </c>
      <c r="N279" s="123">
        <v>1090.5683271296921</v>
      </c>
      <c r="O279" s="127">
        <v>1263.7985638652387</v>
      </c>
      <c r="P279" s="128">
        <v>1980.4335783194899</v>
      </c>
      <c r="Q279" s="127">
        <v>921.12619115624943</v>
      </c>
      <c r="R279" s="127">
        <v>1504.6078688460848</v>
      </c>
      <c r="S279" s="127">
        <v>1793.5404828925566</v>
      </c>
      <c r="T279" s="123">
        <v>619.15</v>
      </c>
      <c r="U279" s="127">
        <v>892.61999999999989</v>
      </c>
      <c r="V279" s="128">
        <v>1049.8</v>
      </c>
      <c r="W279" s="127">
        <v>580.04175257340819</v>
      </c>
      <c r="X279" s="127">
        <v>836.238180056651</v>
      </c>
      <c r="Y279" s="127">
        <v>983.48999733758194</v>
      </c>
      <c r="Z279" s="123">
        <v>936.47413082910396</v>
      </c>
      <c r="AA279" s="127">
        <v>1020.8447960582918</v>
      </c>
      <c r="AB279" s="128">
        <v>1219.3265664897951</v>
      </c>
      <c r="AC279" s="123">
        <v>1068.3256411546256</v>
      </c>
      <c r="AD279" s="127">
        <v>1186.3497986675916</v>
      </c>
      <c r="AE279" s="128">
        <v>1436.8124540004542</v>
      </c>
      <c r="AG279" s="123">
        <v>852.11978139633914</v>
      </c>
      <c r="AH279" s="127">
        <v>2307.5513707896248</v>
      </c>
      <c r="AI279" s="128">
        <v>3712.1261681094443</v>
      </c>
      <c r="AJ279" s="123">
        <v>852.11978139633914</v>
      </c>
      <c r="AK279" s="127">
        <v>1803.4216479498243</v>
      </c>
      <c r="AL279" s="128">
        <v>2787.3015805633368</v>
      </c>
      <c r="AM279" s="123">
        <v>852.11978139633914</v>
      </c>
      <c r="AN279" s="127">
        <v>1270.5450921111169</v>
      </c>
      <c r="AO279" s="128">
        <v>1809.7410070854523</v>
      </c>
      <c r="AP279" s="123">
        <v>852.11978139633914</v>
      </c>
      <c r="AQ279" s="127">
        <v>1069.327662481222</v>
      </c>
      <c r="AR279" s="128">
        <v>1440.6081868337692</v>
      </c>
      <c r="AS279" s="123">
        <v>1165.3120685364806</v>
      </c>
      <c r="AT279" s="127">
        <v>1817.8868269169102</v>
      </c>
      <c r="AU279" s="128">
        <v>2423.8491025558806</v>
      </c>
      <c r="AV279" s="123">
        <v>1007.1680310535556</v>
      </c>
      <c r="AW279" s="127">
        <v>1647.3020761839016</v>
      </c>
      <c r="AX279" s="128">
        <v>2295.9235338255653</v>
      </c>
      <c r="AY279" s="123">
        <v>1103.7580274004358</v>
      </c>
      <c r="AZ279" s="127">
        <v>1543.1245017074457</v>
      </c>
      <c r="BA279" s="128">
        <v>1923.0629878483096</v>
      </c>
      <c r="BB279" s="123">
        <v>1178.1735672947673</v>
      </c>
      <c r="BC279" s="127">
        <v>1533.1965355729239</v>
      </c>
      <c r="BD279" s="128">
        <v>1866.2269305949112</v>
      </c>
      <c r="BE279" s="123">
        <v>1221.880615552815</v>
      </c>
      <c r="BF279" s="127">
        <v>1906.133760262391</v>
      </c>
      <c r="BG279" s="128">
        <v>2541.5116803498554</v>
      </c>
      <c r="BH279" s="123">
        <v>1056.0596830464467</v>
      </c>
      <c r="BI279" s="127">
        <v>1727.2681963870048</v>
      </c>
      <c r="BJ279" s="128">
        <v>2407.3761325549617</v>
      </c>
      <c r="BK279" s="123">
        <v>1157.3385141674473</v>
      </c>
      <c r="BL279" s="127">
        <v>1618.0334581010109</v>
      </c>
      <c r="BM279" s="128">
        <v>2016.4155600739562</v>
      </c>
      <c r="BN279" s="123">
        <v>1235.3664589110181</v>
      </c>
      <c r="BO279" s="127">
        <v>1607.6235518628719</v>
      </c>
      <c r="BP279" s="128">
        <v>1956.8204709150527</v>
      </c>
    </row>
    <row r="280" spans="1:68" ht="15" thickBot="1" x14ac:dyDescent="0.35">
      <c r="A280" s="25">
        <v>2050</v>
      </c>
      <c r="B280" s="124">
        <v>1933.7313063931565</v>
      </c>
      <c r="C280" s="129">
        <v>2236.5956198938584</v>
      </c>
      <c r="D280" s="130">
        <v>2356.1995107380044</v>
      </c>
      <c r="E280" s="129">
        <v>2199.1428105800128</v>
      </c>
      <c r="F280" s="129">
        <v>2403.7846339663602</v>
      </c>
      <c r="G280" s="129">
        <v>2473.410165842824</v>
      </c>
      <c r="H280" s="124">
        <v>1634.3740081505348</v>
      </c>
      <c r="I280" s="129">
        <v>1997.157640893746</v>
      </c>
      <c r="J280" s="130">
        <v>2120.5839453675071</v>
      </c>
      <c r="K280" s="129">
        <v>1034.0059283241685</v>
      </c>
      <c r="L280" s="129">
        <v>2012.3169488218332</v>
      </c>
      <c r="M280" s="129">
        <v>2101.8100014998777</v>
      </c>
      <c r="N280" s="124">
        <v>1072.9249186680413</v>
      </c>
      <c r="O280" s="129">
        <v>1248.4196569112003</v>
      </c>
      <c r="P280" s="130">
        <v>1980.4335783194899</v>
      </c>
      <c r="Q280" s="129">
        <v>905.88760256660112</v>
      </c>
      <c r="R280" s="129">
        <v>1486.8350989271598</v>
      </c>
      <c r="S280" s="129">
        <v>1784.0461470944217</v>
      </c>
      <c r="T280" s="124">
        <v>609</v>
      </c>
      <c r="U280" s="129">
        <v>881.59999999999991</v>
      </c>
      <c r="V280" s="130">
        <v>1044</v>
      </c>
      <c r="W280" s="129">
        <v>570.53287138368034</v>
      </c>
      <c r="X280" s="129">
        <v>825.91425190780365</v>
      </c>
      <c r="Y280" s="129">
        <v>978.05635094345166</v>
      </c>
      <c r="Z280" s="124">
        <v>923.02499918318949</v>
      </c>
      <c r="AA280" s="129">
        <v>1008.5991537455711</v>
      </c>
      <c r="AB280" s="130">
        <v>1209.9477839714232</v>
      </c>
      <c r="AC280" s="124">
        <v>1050.9437556375196</v>
      </c>
      <c r="AD280" s="129">
        <v>1170.6979816420949</v>
      </c>
      <c r="AE280" s="130">
        <v>1425.2087197194769</v>
      </c>
      <c r="AG280" s="124">
        <v>841.59978409514986</v>
      </c>
      <c r="AH280" s="129">
        <v>2255.5193748827628</v>
      </c>
      <c r="AI280" s="130">
        <v>3645.0851695133883</v>
      </c>
      <c r="AJ280" s="124">
        <v>841.59978409514986</v>
      </c>
      <c r="AK280" s="129">
        <v>1763.4790629087925</v>
      </c>
      <c r="AL280" s="130">
        <v>2736.9629140183624</v>
      </c>
      <c r="AM280" s="124">
        <v>841.59978409514986</v>
      </c>
      <c r="AN280" s="129">
        <v>1243.381288666247</v>
      </c>
      <c r="AO280" s="130">
        <v>1777.0570844974891</v>
      </c>
      <c r="AP280" s="124">
        <v>841.59978409514986</v>
      </c>
      <c r="AQ280" s="129">
        <v>1046.9892047161491</v>
      </c>
      <c r="AR280" s="130">
        <v>1414.5908029795514</v>
      </c>
      <c r="AS280" s="124">
        <v>1153.4211290616188</v>
      </c>
      <c r="AT280" s="129">
        <v>1799.3369613361258</v>
      </c>
      <c r="AU280" s="130">
        <v>2399.1159484481673</v>
      </c>
      <c r="AV280" s="124">
        <v>994.88549408948791</v>
      </c>
      <c r="AW280" s="129">
        <v>1603.8029120837652</v>
      </c>
      <c r="AX280" s="130">
        <v>2211.5224360255565</v>
      </c>
      <c r="AY280" s="124">
        <v>1088.5337787466369</v>
      </c>
      <c r="AZ280" s="129">
        <v>1538.0497521561797</v>
      </c>
      <c r="BA280" s="130">
        <v>1923.0629878483096</v>
      </c>
      <c r="BB280" s="124">
        <v>1175.2051592406337</v>
      </c>
      <c r="BC280" s="129">
        <v>1529.3336472251442</v>
      </c>
      <c r="BD280" s="130">
        <v>1861.5249722371636</v>
      </c>
      <c r="BE280" s="124">
        <v>1209.4124460063579</v>
      </c>
      <c r="BF280" s="129">
        <v>1886.6834157699188</v>
      </c>
      <c r="BG280" s="130">
        <v>2515.5778876932241</v>
      </c>
      <c r="BH280" s="124">
        <v>1043.1809064239292</v>
      </c>
      <c r="BI280" s="129">
        <v>1681.6574223790944</v>
      </c>
      <c r="BJ280" s="130">
        <v>2318.8778940850498</v>
      </c>
      <c r="BK280" s="124">
        <v>1141.3752243168622</v>
      </c>
      <c r="BL280" s="129">
        <v>1612.7123614841498</v>
      </c>
      <c r="BM280" s="130">
        <v>2016.4155600739562</v>
      </c>
      <c r="BN280" s="124">
        <v>1232.2539533785286</v>
      </c>
      <c r="BO280" s="129">
        <v>1603.5731446632585</v>
      </c>
      <c r="BP280" s="130">
        <v>1951.8902621515892</v>
      </c>
    </row>
    <row r="281" spans="1:68" ht="14.4" customHeight="1" thickBot="1" x14ac:dyDescent="0.35">
      <c r="A281" s="121"/>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G281" s="20"/>
      <c r="AH281" s="20"/>
      <c r="AI281" s="20"/>
      <c r="AJ281" s="20"/>
      <c r="AK281" s="20"/>
      <c r="AL281" s="20"/>
      <c r="AM281" s="20"/>
      <c r="AN281" s="20"/>
      <c r="AO281" s="20"/>
      <c r="AP281" s="20"/>
      <c r="AQ281" s="20"/>
      <c r="AR281" s="20"/>
      <c r="AS281" s="20"/>
      <c r="AT281" s="20"/>
      <c r="AU281" s="20"/>
      <c r="BE281" s="20"/>
      <c r="BF281" s="20"/>
      <c r="BG281" s="20"/>
    </row>
    <row r="282" spans="1:68" ht="18.600000000000001" thickBot="1" x14ac:dyDescent="0.4">
      <c r="A282" s="289" t="s">
        <v>0</v>
      </c>
      <c r="B282" s="345" t="s">
        <v>424</v>
      </c>
      <c r="C282" s="346"/>
      <c r="D282" s="346"/>
      <c r="E282" s="346"/>
      <c r="F282" s="346"/>
      <c r="G282" s="346"/>
      <c r="H282" s="346"/>
      <c r="I282" s="346"/>
      <c r="J282" s="346"/>
      <c r="K282" s="346"/>
      <c r="L282" s="346"/>
      <c r="M282" s="346"/>
      <c r="N282" s="346"/>
      <c r="O282" s="346"/>
      <c r="P282" s="346"/>
      <c r="Q282" s="346"/>
      <c r="R282" s="346"/>
      <c r="S282" s="346"/>
      <c r="T282" s="346"/>
      <c r="U282" s="346"/>
      <c r="V282" s="346"/>
      <c r="W282" s="346"/>
      <c r="X282" s="346"/>
      <c r="Y282" s="346"/>
      <c r="Z282" s="346"/>
      <c r="AA282" s="346"/>
      <c r="AB282" s="346"/>
      <c r="AC282" s="346"/>
      <c r="AD282" s="346"/>
      <c r="AE282" s="347"/>
      <c r="AG282" s="345" t="s">
        <v>72</v>
      </c>
      <c r="AH282" s="346"/>
      <c r="AI282" s="347"/>
      <c r="AJ282" s="345" t="s">
        <v>73</v>
      </c>
      <c r="AK282" s="346"/>
      <c r="AL282" s="347"/>
      <c r="AM282" s="345" t="s">
        <v>74</v>
      </c>
      <c r="AN282" s="346"/>
      <c r="AO282" s="347"/>
      <c r="AP282" s="345" t="s">
        <v>75</v>
      </c>
      <c r="AQ282" s="346"/>
      <c r="AR282" s="347"/>
      <c r="AS282" s="345" t="s">
        <v>72</v>
      </c>
      <c r="AT282" s="346"/>
      <c r="AU282" s="347"/>
      <c r="AV282" s="345" t="s">
        <v>73</v>
      </c>
      <c r="AW282" s="346"/>
      <c r="AX282" s="347"/>
      <c r="AY282" s="345" t="s">
        <v>74</v>
      </c>
      <c r="AZ282" s="346"/>
      <c r="BA282" s="347"/>
      <c r="BB282" s="345" t="s">
        <v>75</v>
      </c>
      <c r="BC282" s="346"/>
      <c r="BD282" s="347"/>
      <c r="BE282" s="345" t="s">
        <v>72</v>
      </c>
      <c r="BF282" s="346"/>
      <c r="BG282" s="347"/>
      <c r="BH282" s="345" t="s">
        <v>73</v>
      </c>
      <c r="BI282" s="346"/>
      <c r="BJ282" s="347"/>
      <c r="BK282" s="345" t="s">
        <v>74</v>
      </c>
      <c r="BL282" s="346"/>
      <c r="BM282" s="347"/>
      <c r="BN282" s="345" t="s">
        <v>75</v>
      </c>
      <c r="BO282" s="346"/>
      <c r="BP282" s="347"/>
    </row>
    <row r="283" spans="1:68" ht="18.600000000000001" thickBot="1" x14ac:dyDescent="0.35">
      <c r="A283" s="344"/>
      <c r="B283" s="338" t="s">
        <v>412</v>
      </c>
      <c r="C283" s="339"/>
      <c r="D283" s="340"/>
      <c r="E283" s="338" t="s">
        <v>413</v>
      </c>
      <c r="F283" s="339"/>
      <c r="G283" s="340"/>
      <c r="H283" s="338" t="s">
        <v>414</v>
      </c>
      <c r="I283" s="339"/>
      <c r="J283" s="340"/>
      <c r="K283" s="338" t="s">
        <v>415</v>
      </c>
      <c r="L283" s="339"/>
      <c r="M283" s="340"/>
      <c r="N283" s="338" t="s">
        <v>416</v>
      </c>
      <c r="O283" s="339"/>
      <c r="P283" s="340"/>
      <c r="Q283" s="338" t="s">
        <v>406</v>
      </c>
      <c r="R283" s="339"/>
      <c r="S283" s="340"/>
      <c r="T283" s="338" t="s">
        <v>407</v>
      </c>
      <c r="U283" s="339"/>
      <c r="V283" s="340"/>
      <c r="W283" s="338" t="s">
        <v>408</v>
      </c>
      <c r="X283" s="339"/>
      <c r="Y283" s="340"/>
      <c r="Z283" s="338" t="s">
        <v>312</v>
      </c>
      <c r="AA283" s="339"/>
      <c r="AB283" s="340"/>
      <c r="AC283" s="338" t="s">
        <v>409</v>
      </c>
      <c r="AD283" s="339"/>
      <c r="AE283" s="340"/>
      <c r="AG283" s="338" t="s">
        <v>408</v>
      </c>
      <c r="AH283" s="339"/>
      <c r="AI283" s="340"/>
      <c r="AJ283" s="338" t="s">
        <v>408</v>
      </c>
      <c r="AK283" s="339"/>
      <c r="AL283" s="340"/>
      <c r="AM283" s="338" t="s">
        <v>408</v>
      </c>
      <c r="AN283" s="339"/>
      <c r="AO283" s="340"/>
      <c r="AP283" s="338" t="s">
        <v>408</v>
      </c>
      <c r="AQ283" s="339"/>
      <c r="AR283" s="340"/>
      <c r="AS283" s="338" t="s">
        <v>312</v>
      </c>
      <c r="AT283" s="339"/>
      <c r="AU283" s="340"/>
      <c r="AV283" s="338" t="s">
        <v>312</v>
      </c>
      <c r="AW283" s="339"/>
      <c r="AX283" s="340"/>
      <c r="AY283" s="338" t="s">
        <v>312</v>
      </c>
      <c r="AZ283" s="339"/>
      <c r="BA283" s="340"/>
      <c r="BB283" s="338" t="s">
        <v>312</v>
      </c>
      <c r="BC283" s="339"/>
      <c r="BD283" s="340"/>
      <c r="BE283" s="338" t="s">
        <v>409</v>
      </c>
      <c r="BF283" s="339"/>
      <c r="BG283" s="340"/>
      <c r="BH283" s="338" t="s">
        <v>409</v>
      </c>
      <c r="BI283" s="339"/>
      <c r="BJ283" s="340"/>
      <c r="BK283" s="338" t="s">
        <v>409</v>
      </c>
      <c r="BL283" s="339"/>
      <c r="BM283" s="340"/>
      <c r="BN283" s="338" t="s">
        <v>409</v>
      </c>
      <c r="BO283" s="339"/>
      <c r="BP283" s="340"/>
    </row>
    <row r="284" spans="1:68" ht="18.600000000000001" customHeight="1" thickBot="1" x14ac:dyDescent="0.35">
      <c r="A284" s="290"/>
      <c r="B284" s="78" t="s">
        <v>69</v>
      </c>
      <c r="C284" s="79" t="s">
        <v>70</v>
      </c>
      <c r="D284" s="80" t="s">
        <v>71</v>
      </c>
      <c r="E284" s="78" t="s">
        <v>69</v>
      </c>
      <c r="F284" s="79" t="s">
        <v>70</v>
      </c>
      <c r="G284" s="80" t="s">
        <v>71</v>
      </c>
      <c r="H284" s="78" t="s">
        <v>69</v>
      </c>
      <c r="I284" s="79" t="s">
        <v>70</v>
      </c>
      <c r="J284" s="80" t="s">
        <v>71</v>
      </c>
      <c r="K284" s="78" t="s">
        <v>69</v>
      </c>
      <c r="L284" s="79" t="s">
        <v>70</v>
      </c>
      <c r="M284" s="80" t="s">
        <v>71</v>
      </c>
      <c r="N284" s="78" t="s">
        <v>69</v>
      </c>
      <c r="O284" s="79" t="s">
        <v>70</v>
      </c>
      <c r="P284" s="80" t="s">
        <v>71</v>
      </c>
      <c r="Q284" s="78" t="s">
        <v>69</v>
      </c>
      <c r="R284" s="79" t="s">
        <v>70</v>
      </c>
      <c r="S284" s="80" t="s">
        <v>71</v>
      </c>
      <c r="T284" s="78" t="s">
        <v>69</v>
      </c>
      <c r="U284" s="79" t="s">
        <v>70</v>
      </c>
      <c r="V284" s="80" t="s">
        <v>71</v>
      </c>
      <c r="W284" s="78" t="s">
        <v>69</v>
      </c>
      <c r="X284" s="79" t="s">
        <v>70</v>
      </c>
      <c r="Y284" s="80" t="s">
        <v>71</v>
      </c>
      <c r="Z284" s="78" t="s">
        <v>69</v>
      </c>
      <c r="AA284" s="79" t="s">
        <v>70</v>
      </c>
      <c r="AB284" s="80" t="s">
        <v>71</v>
      </c>
      <c r="AC284" s="78" t="s">
        <v>69</v>
      </c>
      <c r="AD284" s="79" t="s">
        <v>70</v>
      </c>
      <c r="AE284" s="80" t="s">
        <v>71</v>
      </c>
      <c r="AG284" s="78" t="s">
        <v>69</v>
      </c>
      <c r="AH284" s="79" t="s">
        <v>70</v>
      </c>
      <c r="AI284" s="80" t="s">
        <v>71</v>
      </c>
      <c r="AJ284" s="78" t="s">
        <v>69</v>
      </c>
      <c r="AK284" s="79" t="s">
        <v>70</v>
      </c>
      <c r="AL284" s="80" t="s">
        <v>71</v>
      </c>
      <c r="AM284" s="78" t="s">
        <v>69</v>
      </c>
      <c r="AN284" s="79" t="s">
        <v>70</v>
      </c>
      <c r="AO284" s="80" t="s">
        <v>71</v>
      </c>
      <c r="AP284" s="78" t="s">
        <v>69</v>
      </c>
      <c r="AQ284" s="79" t="s">
        <v>70</v>
      </c>
      <c r="AR284" s="80" t="s">
        <v>71</v>
      </c>
      <c r="AS284" s="78" t="s">
        <v>69</v>
      </c>
      <c r="AT284" s="79" t="s">
        <v>70</v>
      </c>
      <c r="AU284" s="80" t="s">
        <v>71</v>
      </c>
      <c r="AV284" s="78" t="s">
        <v>69</v>
      </c>
      <c r="AW284" s="79" t="s">
        <v>70</v>
      </c>
      <c r="AX284" s="80" t="s">
        <v>71</v>
      </c>
      <c r="AY284" s="78" t="s">
        <v>69</v>
      </c>
      <c r="AZ284" s="79" t="s">
        <v>70</v>
      </c>
      <c r="BA284" s="80" t="s">
        <v>71</v>
      </c>
      <c r="BB284" s="78" t="s">
        <v>69</v>
      </c>
      <c r="BC284" s="79" t="s">
        <v>70</v>
      </c>
      <c r="BD284" s="80" t="s">
        <v>71</v>
      </c>
      <c r="BE284" s="78" t="s">
        <v>69</v>
      </c>
      <c r="BF284" s="79" t="s">
        <v>70</v>
      </c>
      <c r="BG284" s="80" t="s">
        <v>71</v>
      </c>
      <c r="BH284" s="78" t="s">
        <v>69</v>
      </c>
      <c r="BI284" s="79" t="s">
        <v>70</v>
      </c>
      <c r="BJ284" s="80" t="s">
        <v>71</v>
      </c>
      <c r="BK284" s="78" t="s">
        <v>69</v>
      </c>
      <c r="BL284" s="79" t="s">
        <v>70</v>
      </c>
      <c r="BM284" s="80" t="s">
        <v>71</v>
      </c>
      <c r="BN284" s="78" t="s">
        <v>69</v>
      </c>
      <c r="BO284" s="79" t="s">
        <v>70</v>
      </c>
      <c r="BP284" s="80" t="s">
        <v>71</v>
      </c>
    </row>
    <row r="285" spans="1:68" x14ac:dyDescent="0.3">
      <c r="A285" s="52">
        <v>2015</v>
      </c>
      <c r="B285" s="122">
        <v>58.189856537332666</v>
      </c>
      <c r="C285" s="125">
        <v>80.213401053745656</v>
      </c>
      <c r="D285" s="126">
        <v>109.91113625129748</v>
      </c>
      <c r="E285" s="125">
        <v>62.007637403928882</v>
      </c>
      <c r="F285" s="125">
        <v>113.42630381240043</v>
      </c>
      <c r="G285" s="125">
        <v>300.61765275637816</v>
      </c>
      <c r="H285" s="122">
        <v>50.639020745706524</v>
      </c>
      <c r="I285" s="125">
        <v>89.421095714036241</v>
      </c>
      <c r="J285" s="126">
        <v>229.22313072403264</v>
      </c>
      <c r="K285" s="16"/>
      <c r="L285" s="16"/>
      <c r="M285" s="16"/>
      <c r="N285" s="15"/>
      <c r="O285" s="16"/>
      <c r="P285" s="18"/>
      <c r="Q285" s="16"/>
      <c r="R285" s="16"/>
      <c r="S285" s="16"/>
      <c r="T285" s="15"/>
      <c r="U285" s="16"/>
      <c r="V285" s="18"/>
      <c r="W285" s="16"/>
      <c r="X285" s="16"/>
      <c r="Y285" s="16"/>
      <c r="Z285" s="15"/>
      <c r="AA285" s="16"/>
      <c r="AB285" s="18"/>
      <c r="AC285" s="15"/>
      <c r="AD285" s="16"/>
      <c r="AE285" s="18"/>
      <c r="AG285" s="122"/>
      <c r="AH285" s="125"/>
      <c r="AI285" s="126"/>
      <c r="AJ285" s="122"/>
      <c r="AK285" s="125"/>
      <c r="AL285" s="126"/>
      <c r="AM285" s="122"/>
      <c r="AN285" s="125"/>
      <c r="AO285" s="126"/>
      <c r="AP285" s="122"/>
      <c r="AQ285" s="125"/>
      <c r="AR285" s="126"/>
      <c r="AS285" s="122"/>
      <c r="AT285" s="125"/>
      <c r="AU285" s="126"/>
      <c r="AV285" s="122"/>
      <c r="AW285" s="125"/>
      <c r="AX285" s="126"/>
      <c r="AY285" s="122"/>
      <c r="AZ285" s="125"/>
      <c r="BA285" s="126"/>
      <c r="BB285" s="122"/>
      <c r="BC285" s="125"/>
      <c r="BD285" s="126"/>
      <c r="BE285" s="122"/>
      <c r="BF285" s="125"/>
      <c r="BG285" s="126"/>
      <c r="BH285" s="122"/>
      <c r="BI285" s="125"/>
      <c r="BJ285" s="126"/>
      <c r="BK285" s="122"/>
      <c r="BL285" s="125"/>
      <c r="BM285" s="126"/>
      <c r="BN285" s="122"/>
      <c r="BO285" s="125"/>
      <c r="BP285" s="126"/>
    </row>
    <row r="286" spans="1:68" x14ac:dyDescent="0.3">
      <c r="A286" s="24">
        <v>2016</v>
      </c>
      <c r="B286" s="123">
        <v>56.211195113059169</v>
      </c>
      <c r="C286" s="127">
        <v>78.916902982754607</v>
      </c>
      <c r="D286" s="128">
        <v>109.91113625129748</v>
      </c>
      <c r="E286" s="127">
        <v>60.982164537460761</v>
      </c>
      <c r="F286" s="127">
        <v>111.56580430762465</v>
      </c>
      <c r="G286" s="127">
        <v>295.801586280104</v>
      </c>
      <c r="H286" s="123">
        <v>47.278879976030531</v>
      </c>
      <c r="I286" s="127">
        <v>86.440846320583219</v>
      </c>
      <c r="J286" s="128">
        <v>229.22313072403264</v>
      </c>
      <c r="K286" s="127">
        <v>46.181973841415029</v>
      </c>
      <c r="L286" s="127">
        <v>81.88342097008713</v>
      </c>
      <c r="M286" s="127">
        <v>210.73600495043019</v>
      </c>
      <c r="N286" s="17"/>
      <c r="O286" s="20"/>
      <c r="P286" s="19"/>
      <c r="Q286" s="20"/>
      <c r="R286" s="20"/>
      <c r="S286" s="20"/>
      <c r="T286" s="17"/>
      <c r="U286" s="20"/>
      <c r="V286" s="19"/>
      <c r="W286" s="20"/>
      <c r="X286" s="20"/>
      <c r="Y286" s="20"/>
      <c r="Z286" s="17"/>
      <c r="AA286" s="20"/>
      <c r="AB286" s="19"/>
      <c r="AC286" s="17"/>
      <c r="AD286" s="20"/>
      <c r="AE286" s="19"/>
      <c r="AG286" s="123"/>
      <c r="AH286" s="127"/>
      <c r="AI286" s="128"/>
      <c r="AJ286" s="123"/>
      <c r="AK286" s="127"/>
      <c r="AL286" s="128"/>
      <c r="AM286" s="123"/>
      <c r="AN286" s="127"/>
      <c r="AO286" s="128"/>
      <c r="AP286" s="123"/>
      <c r="AQ286" s="127"/>
      <c r="AR286" s="128"/>
      <c r="AS286" s="123"/>
      <c r="AT286" s="127"/>
      <c r="AU286" s="128"/>
      <c r="AV286" s="123"/>
      <c r="AW286" s="127"/>
      <c r="AX286" s="128"/>
      <c r="AY286" s="123"/>
      <c r="AZ286" s="127"/>
      <c r="BA286" s="128"/>
      <c r="BB286" s="123"/>
      <c r="BC286" s="127"/>
      <c r="BD286" s="128"/>
      <c r="BE286" s="123"/>
      <c r="BF286" s="127"/>
      <c r="BG286" s="128"/>
      <c r="BH286" s="123"/>
      <c r="BI286" s="127"/>
      <c r="BJ286" s="128"/>
      <c r="BK286" s="123"/>
      <c r="BL286" s="127"/>
      <c r="BM286" s="128"/>
      <c r="BN286" s="123"/>
      <c r="BO286" s="127"/>
      <c r="BP286" s="128"/>
    </row>
    <row r="287" spans="1:68" x14ac:dyDescent="0.3">
      <c r="A287" s="24">
        <v>2017</v>
      </c>
      <c r="B287" s="123">
        <v>54.439973865027</v>
      </c>
      <c r="C287" s="127">
        <v>77.743917963190825</v>
      </c>
      <c r="D287" s="128">
        <v>109.91113625129748</v>
      </c>
      <c r="E287" s="127">
        <v>56.456362799634476</v>
      </c>
      <c r="F287" s="127">
        <v>108.22442262105893</v>
      </c>
      <c r="G287" s="127">
        <v>295.801586280104</v>
      </c>
      <c r="H287" s="123">
        <v>45.622199353896022</v>
      </c>
      <c r="I287" s="127">
        <v>84.969509746008185</v>
      </c>
      <c r="J287" s="128">
        <v>229.22313072403264</v>
      </c>
      <c r="K287" s="127">
        <v>43.119485734108835</v>
      </c>
      <c r="L287" s="127">
        <v>80.508840588053459</v>
      </c>
      <c r="M287" s="127">
        <v>216.81487041631217</v>
      </c>
      <c r="N287" s="123">
        <v>37.236895944874036</v>
      </c>
      <c r="O287" s="127">
        <v>67.43010335571131</v>
      </c>
      <c r="P287" s="128">
        <v>175.93174706318004</v>
      </c>
      <c r="Q287" s="20"/>
      <c r="R287" s="20"/>
      <c r="S287" s="20"/>
      <c r="T287" s="17"/>
      <c r="U287" s="20"/>
      <c r="V287" s="19"/>
      <c r="W287" s="20"/>
      <c r="X287" s="20"/>
      <c r="Y287" s="20"/>
      <c r="Z287" s="17"/>
      <c r="AA287" s="20"/>
      <c r="AB287" s="19"/>
      <c r="AC287" s="17"/>
      <c r="AD287" s="20"/>
      <c r="AE287" s="19"/>
      <c r="AG287" s="123"/>
      <c r="AH287" s="127"/>
      <c r="AI287" s="128"/>
      <c r="AJ287" s="123"/>
      <c r="AK287" s="127"/>
      <c r="AL287" s="128"/>
      <c r="AM287" s="123"/>
      <c r="AN287" s="127"/>
      <c r="AO287" s="128"/>
      <c r="AP287" s="123"/>
      <c r="AQ287" s="127"/>
      <c r="AR287" s="128"/>
      <c r="AS287" s="123"/>
      <c r="AT287" s="127"/>
      <c r="AU287" s="128"/>
      <c r="AV287" s="123"/>
      <c r="AW287" s="127"/>
      <c r="AX287" s="128"/>
      <c r="AY287" s="123"/>
      <c r="AZ287" s="127"/>
      <c r="BA287" s="128"/>
      <c r="BB287" s="123"/>
      <c r="BC287" s="127"/>
      <c r="BD287" s="128"/>
      <c r="BE287" s="123"/>
      <c r="BF287" s="127"/>
      <c r="BG287" s="128"/>
      <c r="BH287" s="123"/>
      <c r="BI287" s="127"/>
      <c r="BJ287" s="128"/>
      <c r="BK287" s="123"/>
      <c r="BL287" s="127"/>
      <c r="BM287" s="128"/>
      <c r="BN287" s="123"/>
      <c r="BO287" s="127"/>
      <c r="BP287" s="128"/>
    </row>
    <row r="288" spans="1:68" x14ac:dyDescent="0.3">
      <c r="A288" s="24">
        <v>2018</v>
      </c>
      <c r="B288" s="123">
        <v>52.859748648272863</v>
      </c>
      <c r="C288" s="127">
        <v>76.685317327694733</v>
      </c>
      <c r="D288" s="128">
        <v>109.91113625129748</v>
      </c>
      <c r="E288" s="127">
        <v>54.259077084582415</v>
      </c>
      <c r="F288" s="127">
        <v>106.34752084987406</v>
      </c>
      <c r="G288" s="127">
        <v>295.801586280104</v>
      </c>
      <c r="H288" s="123">
        <v>43.964136127345334</v>
      </c>
      <c r="I288" s="127">
        <v>83.495125368169596</v>
      </c>
      <c r="J288" s="128">
        <v>229.22313072403264</v>
      </c>
      <c r="K288" s="127">
        <v>41.594951058125382</v>
      </c>
      <c r="L288" s="127">
        <v>79.096140666996334</v>
      </c>
      <c r="M288" s="127">
        <v>216.81487041631217</v>
      </c>
      <c r="N288" s="123">
        <v>35.376505684867034</v>
      </c>
      <c r="O288" s="127">
        <v>65.019793674882976</v>
      </c>
      <c r="P288" s="128">
        <v>175.93174706318004</v>
      </c>
      <c r="Q288" s="127">
        <v>34.268056630012367</v>
      </c>
      <c r="R288" s="127">
        <v>60.67895263008279</v>
      </c>
      <c r="S288" s="127">
        <v>153.9613388218869</v>
      </c>
      <c r="T288" s="17"/>
      <c r="U288" s="20"/>
      <c r="V288" s="19"/>
      <c r="W288" s="20"/>
      <c r="X288" s="20"/>
      <c r="Y288" s="20"/>
      <c r="Z288" s="17"/>
      <c r="AA288" s="20"/>
      <c r="AB288" s="19"/>
      <c r="AC288" s="17"/>
      <c r="AD288" s="20"/>
      <c r="AE288" s="19"/>
      <c r="AG288" s="123"/>
      <c r="AH288" s="127"/>
      <c r="AI288" s="128"/>
      <c r="AJ288" s="123"/>
      <c r="AK288" s="127"/>
      <c r="AL288" s="128"/>
      <c r="AM288" s="123"/>
      <c r="AN288" s="127"/>
      <c r="AO288" s="128"/>
      <c r="AP288" s="123"/>
      <c r="AQ288" s="127"/>
      <c r="AR288" s="128"/>
      <c r="AS288" s="123"/>
      <c r="AT288" s="127"/>
      <c r="AU288" s="128"/>
      <c r="AV288" s="123"/>
      <c r="AW288" s="127"/>
      <c r="AX288" s="128"/>
      <c r="AY288" s="123"/>
      <c r="AZ288" s="127"/>
      <c r="BA288" s="128"/>
      <c r="BB288" s="123"/>
      <c r="BC288" s="127"/>
      <c r="BD288" s="128"/>
      <c r="BE288" s="123"/>
      <c r="BF288" s="127"/>
      <c r="BG288" s="128"/>
      <c r="BH288" s="123"/>
      <c r="BI288" s="127"/>
      <c r="BJ288" s="128"/>
      <c r="BK288" s="123"/>
      <c r="BL288" s="127"/>
      <c r="BM288" s="128"/>
      <c r="BN288" s="123"/>
      <c r="BO288" s="127"/>
      <c r="BP288" s="128"/>
    </row>
    <row r="289" spans="1:68" x14ac:dyDescent="0.3">
      <c r="A289" s="24">
        <v>2019</v>
      </c>
      <c r="B289" s="123">
        <v>51.454777758200372</v>
      </c>
      <c r="C289" s="127">
        <v>75.732332065064483</v>
      </c>
      <c r="D289" s="128">
        <v>109.91113625129748</v>
      </c>
      <c r="E289" s="127">
        <v>52.279606429089775</v>
      </c>
      <c r="F289" s="127">
        <v>104.64634360143046</v>
      </c>
      <c r="G289" s="127">
        <v>295.801586280104</v>
      </c>
      <c r="H289" s="123">
        <v>42.304789334277352</v>
      </c>
      <c r="I289" s="127">
        <v>82.018114200856587</v>
      </c>
      <c r="J289" s="128">
        <v>229.22313072403264</v>
      </c>
      <c r="K289" s="127">
        <v>40.049792220577807</v>
      </c>
      <c r="L289" s="127">
        <v>77.656913454185826</v>
      </c>
      <c r="M289" s="127">
        <v>216.81487041631217</v>
      </c>
      <c r="N289" s="123">
        <v>33.616669843422869</v>
      </c>
      <c r="O289" s="127">
        <v>62.816922239725521</v>
      </c>
      <c r="P289" s="128">
        <v>175.93174706318004</v>
      </c>
      <c r="Q289" s="127">
        <v>33.036798546026588</v>
      </c>
      <c r="R289" s="127">
        <v>59.01767976869359</v>
      </c>
      <c r="S289" s="127">
        <v>151.28241487806946</v>
      </c>
      <c r="T289" s="123">
        <v>29.993538500045759</v>
      </c>
      <c r="U289" s="127">
        <v>44.596304822056354</v>
      </c>
      <c r="V289" s="128">
        <v>91.226093087829753</v>
      </c>
      <c r="W289" s="20"/>
      <c r="X289" s="20"/>
      <c r="Y289" s="20"/>
      <c r="Z289" s="17"/>
      <c r="AA289" s="20"/>
      <c r="AB289" s="19"/>
      <c r="AC289" s="17"/>
      <c r="AD289" s="20"/>
      <c r="AE289" s="19"/>
      <c r="AG289" s="123"/>
      <c r="AH289" s="127"/>
      <c r="AI289" s="128"/>
      <c r="AJ289" s="123"/>
      <c r="AK289" s="127"/>
      <c r="AL289" s="128"/>
      <c r="AM289" s="123"/>
      <c r="AN289" s="127"/>
      <c r="AO289" s="128"/>
      <c r="AP289" s="123"/>
      <c r="AQ289" s="127"/>
      <c r="AR289" s="128"/>
      <c r="AS289" s="123"/>
      <c r="AT289" s="127"/>
      <c r="AU289" s="128"/>
      <c r="AV289" s="123"/>
      <c r="AW289" s="127"/>
      <c r="AX289" s="128"/>
      <c r="AY289" s="123"/>
      <c r="AZ289" s="127"/>
      <c r="BA289" s="128"/>
      <c r="BB289" s="123"/>
      <c r="BC289" s="127"/>
      <c r="BD289" s="128"/>
      <c r="BE289" s="123"/>
      <c r="BF289" s="127"/>
      <c r="BG289" s="128"/>
      <c r="BH289" s="123"/>
      <c r="BI289" s="127"/>
      <c r="BJ289" s="128"/>
      <c r="BK289" s="123"/>
      <c r="BL289" s="127"/>
      <c r="BM289" s="128"/>
      <c r="BN289" s="123"/>
      <c r="BO289" s="127"/>
      <c r="BP289" s="128"/>
    </row>
    <row r="290" spans="1:68" x14ac:dyDescent="0.3">
      <c r="A290" s="24">
        <v>2020</v>
      </c>
      <c r="B290" s="123">
        <v>50.210023447765892</v>
      </c>
      <c r="C290" s="127">
        <v>74.876552368356002</v>
      </c>
      <c r="D290" s="128">
        <v>109.91113625129748</v>
      </c>
      <c r="E290" s="127">
        <v>50.501912975541842</v>
      </c>
      <c r="F290" s="127">
        <v>103.10832396628605</v>
      </c>
      <c r="G290" s="127">
        <v>295.801586280104</v>
      </c>
      <c r="H290" s="123">
        <v>40.644251004757351</v>
      </c>
      <c r="I290" s="127">
        <v>80.538820845520348</v>
      </c>
      <c r="J290" s="128">
        <v>229.22313072403264</v>
      </c>
      <c r="K290" s="127">
        <v>38.487990927714137</v>
      </c>
      <c r="L290" s="127">
        <v>76.201088121058106</v>
      </c>
      <c r="M290" s="127">
        <v>216.81487041631217</v>
      </c>
      <c r="N290" s="123">
        <v>31.949994855806022</v>
      </c>
      <c r="O290" s="127">
        <v>60.790043056370635</v>
      </c>
      <c r="P290" s="128">
        <v>175.93174706318004</v>
      </c>
      <c r="Q290" s="127">
        <v>31.806950989418635</v>
      </c>
      <c r="R290" s="127">
        <v>57.359238346241575</v>
      </c>
      <c r="S290" s="127">
        <v>148.6039466897013</v>
      </c>
      <c r="T290" s="123">
        <v>28.570135473116462</v>
      </c>
      <c r="U290" s="127">
        <v>43.048734941191384</v>
      </c>
      <c r="V290" s="128">
        <v>89.234213925978224</v>
      </c>
      <c r="W290" s="127">
        <v>16.780942827433503</v>
      </c>
      <c r="X290" s="127">
        <v>30.431581419707541</v>
      </c>
      <c r="Y290" s="127">
        <v>78.137735195316338</v>
      </c>
      <c r="Z290" s="17"/>
      <c r="AA290" s="20"/>
      <c r="AB290" s="19"/>
      <c r="AC290" s="17"/>
      <c r="AD290" s="20"/>
      <c r="AE290" s="19"/>
      <c r="AG290" s="123">
        <v>98.777455413827724</v>
      </c>
      <c r="AH290" s="127">
        <v>147.61169310555741</v>
      </c>
      <c r="AI290" s="128">
        <v>227.12762391178734</v>
      </c>
      <c r="AJ290" s="123">
        <v>61.387111705019855</v>
      </c>
      <c r="AK290" s="127">
        <v>111.69545794055551</v>
      </c>
      <c r="AL290" s="128">
        <v>282.01297437135338</v>
      </c>
      <c r="AM290" s="123">
        <v>40.937563977398469</v>
      </c>
      <c r="AN290" s="127">
        <v>81.935907773810726</v>
      </c>
      <c r="AO290" s="128">
        <v>221.09250605024971</v>
      </c>
      <c r="AP290" s="123">
        <v>24.732172928319219</v>
      </c>
      <c r="AQ290" s="127">
        <v>49.141758500213257</v>
      </c>
      <c r="AR290" s="128">
        <v>130.8136418459689</v>
      </c>
      <c r="AS290" s="123"/>
      <c r="AT290" s="127"/>
      <c r="AU290" s="128"/>
      <c r="AV290" s="123"/>
      <c r="AW290" s="127"/>
      <c r="AX290" s="128"/>
      <c r="AY290" s="123"/>
      <c r="AZ290" s="127"/>
      <c r="BA290" s="128"/>
      <c r="BB290" s="123"/>
      <c r="BC290" s="127"/>
      <c r="BD290" s="128"/>
      <c r="BE290" s="123"/>
      <c r="BF290" s="127"/>
      <c r="BG290" s="128"/>
      <c r="BH290" s="123"/>
      <c r="BI290" s="127"/>
      <c r="BJ290" s="128"/>
      <c r="BK290" s="123"/>
      <c r="BL290" s="127"/>
      <c r="BM290" s="128"/>
      <c r="BN290" s="123"/>
      <c r="BO290" s="127"/>
      <c r="BP290" s="128"/>
    </row>
    <row r="291" spans="1:68" x14ac:dyDescent="0.3">
      <c r="A291" s="24">
        <v>2021</v>
      </c>
      <c r="B291" s="123">
        <v>49.111158712018295</v>
      </c>
      <c r="C291" s="127">
        <v>74.109935312645931</v>
      </c>
      <c r="D291" s="128">
        <v>109.91113625129748</v>
      </c>
      <c r="E291" s="127">
        <v>48.910590527451333</v>
      </c>
      <c r="F291" s="127">
        <v>101.72926359486652</v>
      </c>
      <c r="G291" s="127">
        <v>295.801586280104</v>
      </c>
      <c r="H291" s="123">
        <v>39.45751626861118</v>
      </c>
      <c r="I291" s="127">
        <v>79.434405737588122</v>
      </c>
      <c r="J291" s="128">
        <v>229.22313072403264</v>
      </c>
      <c r="K291" s="127">
        <v>36.881974775915964</v>
      </c>
      <c r="L291" s="127">
        <v>74.54515428596676</v>
      </c>
      <c r="M291" s="127">
        <v>216.81487041631217</v>
      </c>
      <c r="N291" s="123">
        <v>30.369791126363289</v>
      </c>
      <c r="O291" s="127">
        <v>58.914601363001843</v>
      </c>
      <c r="P291" s="128">
        <v>175.93174706318004</v>
      </c>
      <c r="Q291" s="127">
        <v>30.578482513498344</v>
      </c>
      <c r="R291" s="127">
        <v>55.703503835071793</v>
      </c>
      <c r="S291" s="127">
        <v>145.9259283748701</v>
      </c>
      <c r="T291" s="123">
        <v>27.180591176121592</v>
      </c>
      <c r="U291" s="127">
        <v>41.537993582859194</v>
      </c>
      <c r="V291" s="128">
        <v>87.261230564572543</v>
      </c>
      <c r="W291" s="127">
        <v>17.97558502742082</v>
      </c>
      <c r="X291" s="127">
        <v>31.428239091498156</v>
      </c>
      <c r="Y291" s="127">
        <v>77.514527755014058</v>
      </c>
      <c r="Z291" s="123">
        <v>26.703586402081246</v>
      </c>
      <c r="AA291" s="127">
        <v>36.702056023542632</v>
      </c>
      <c r="AB291" s="128">
        <v>68.019574067306564</v>
      </c>
      <c r="AC291" s="17"/>
      <c r="AD291" s="20"/>
      <c r="AE291" s="19"/>
      <c r="AG291" s="123">
        <v>83.073485207944145</v>
      </c>
      <c r="AH291" s="127">
        <v>131.82392224095608</v>
      </c>
      <c r="AI291" s="128">
        <v>215.82812663724457</v>
      </c>
      <c r="AJ291" s="123">
        <v>52.18639682038792</v>
      </c>
      <c r="AK291" s="127">
        <v>97.952990328807061</v>
      </c>
      <c r="AL291" s="128">
        <v>245.99385453876388</v>
      </c>
      <c r="AM291" s="123">
        <v>35.004129902219042</v>
      </c>
      <c r="AN291" s="127">
        <v>70.562091703392781</v>
      </c>
      <c r="AO291" s="128">
        <v>185.58675240070718</v>
      </c>
      <c r="AP291" s="123">
        <v>22.272243453206251</v>
      </c>
      <c r="AQ291" s="127">
        <v>44.516407913321189</v>
      </c>
      <c r="AR291" s="128">
        <v>115.08288980779025</v>
      </c>
      <c r="AS291" s="123">
        <v>118.77536931095499</v>
      </c>
      <c r="AT291" s="127">
        <v>167.42262405990678</v>
      </c>
      <c r="AU291" s="128">
        <v>254.16082834867942</v>
      </c>
      <c r="AV291" s="123">
        <v>80.803529416168729</v>
      </c>
      <c r="AW291" s="127">
        <v>128.49037072106529</v>
      </c>
      <c r="AX291" s="128">
        <v>287.71494354261887</v>
      </c>
      <c r="AY291" s="123">
        <v>59.558771972780754</v>
      </c>
      <c r="AZ291" s="127">
        <v>96.983836418209691</v>
      </c>
      <c r="BA291" s="128">
        <v>221.17579708178053</v>
      </c>
      <c r="BB291" s="123">
        <v>43.959328496943826</v>
      </c>
      <c r="BC291" s="127">
        <v>67.086366419805358</v>
      </c>
      <c r="BD291" s="128">
        <v>143.1846391955861</v>
      </c>
      <c r="BE291" s="123"/>
      <c r="BF291" s="127"/>
      <c r="BG291" s="128"/>
      <c r="BH291" s="123"/>
      <c r="BI291" s="127"/>
      <c r="BJ291" s="128"/>
      <c r="BK291" s="123"/>
      <c r="BL291" s="127"/>
      <c r="BM291" s="128"/>
      <c r="BN291" s="123"/>
      <c r="BO291" s="127"/>
      <c r="BP291" s="128"/>
    </row>
    <row r="292" spans="1:68" x14ac:dyDescent="0.3">
      <c r="A292" s="24">
        <v>2022</v>
      </c>
      <c r="B292" s="123">
        <v>48.144538548400114</v>
      </c>
      <c r="C292" s="127">
        <v>73.424784791510262</v>
      </c>
      <c r="D292" s="128">
        <v>109.91113625129748</v>
      </c>
      <c r="E292" s="127">
        <v>47.490864961825928</v>
      </c>
      <c r="F292" s="127">
        <v>100.48935212899016</v>
      </c>
      <c r="G292" s="127">
        <v>295.801586280104</v>
      </c>
      <c r="H292" s="123">
        <v>38.27318954376841</v>
      </c>
      <c r="I292" s="127">
        <v>78.330254152107443</v>
      </c>
      <c r="J292" s="128">
        <v>229.22313072403264</v>
      </c>
      <c r="K292" s="127">
        <v>35.269575434051426</v>
      </c>
      <c r="L292" s="127">
        <v>72.95003719556118</v>
      </c>
      <c r="M292" s="127">
        <v>216.81487041631217</v>
      </c>
      <c r="N292" s="123">
        <v>28.869991181239143</v>
      </c>
      <c r="O292" s="127">
        <v>57.171020809589024</v>
      </c>
      <c r="P292" s="128">
        <v>175.93174706318004</v>
      </c>
      <c r="Q292" s="127">
        <v>29.351362599455125</v>
      </c>
      <c r="R292" s="127">
        <v>54.05035943899162</v>
      </c>
      <c r="S292" s="127">
        <v>143.24835415244473</v>
      </c>
      <c r="T292" s="123">
        <v>25.823711703821736</v>
      </c>
      <c r="U292" s="127">
        <v>40.062488091309433</v>
      </c>
      <c r="V292" s="128">
        <v>85.306875392724947</v>
      </c>
      <c r="W292" s="127">
        <v>19.030006233189351</v>
      </c>
      <c r="X292" s="127">
        <v>32.19970819646116</v>
      </c>
      <c r="Y292" s="127">
        <v>76.521711465450338</v>
      </c>
      <c r="Z292" s="123">
        <v>28.544372258020026</v>
      </c>
      <c r="AA292" s="127">
        <v>39.806189439626394</v>
      </c>
      <c r="AB292" s="128">
        <v>75.363928932192366</v>
      </c>
      <c r="AC292" s="123">
        <v>29.282042201562039</v>
      </c>
      <c r="AD292" s="127">
        <v>40.36621162729147</v>
      </c>
      <c r="AE292" s="128">
        <v>74.45649692099667</v>
      </c>
      <c r="AG292" s="123">
        <v>70.85749780934232</v>
      </c>
      <c r="AH292" s="127">
        <v>118.18679302689897</v>
      </c>
      <c r="AI292" s="128">
        <v>203.90766686507578</v>
      </c>
      <c r="AJ292" s="123">
        <v>45.278733991439907</v>
      </c>
      <c r="AK292" s="127">
        <v>86.682255450380282</v>
      </c>
      <c r="AL292" s="128">
        <v>215.31741547233753</v>
      </c>
      <c r="AM292" s="123">
        <v>30.852987472924436</v>
      </c>
      <c r="AN292" s="127">
        <v>61.863265973867669</v>
      </c>
      <c r="AO292" s="128">
        <v>157.91903824113524</v>
      </c>
      <c r="AP292" s="123">
        <v>20.811094508600814</v>
      </c>
      <c r="AQ292" s="127">
        <v>40.984039554520947</v>
      </c>
      <c r="AR292" s="128">
        <v>102.06032450287164</v>
      </c>
      <c r="AS292" s="123">
        <v>132.4425339006894</v>
      </c>
      <c r="AT292" s="127">
        <v>198.42894850237815</v>
      </c>
      <c r="AU292" s="128">
        <v>320.92315978370948</v>
      </c>
      <c r="AV292" s="123">
        <v>89.52592047308282</v>
      </c>
      <c r="AW292" s="127">
        <v>148.35766709999427</v>
      </c>
      <c r="AX292" s="128">
        <v>335.52528926270446</v>
      </c>
      <c r="AY292" s="123">
        <v>64.703671474134353</v>
      </c>
      <c r="AZ292" s="127">
        <v>108.37416032381768</v>
      </c>
      <c r="BA292" s="128">
        <v>246.35560730855121</v>
      </c>
      <c r="BB292" s="123">
        <v>48.09274232792248</v>
      </c>
      <c r="BC292" s="127">
        <v>76.010560564448454</v>
      </c>
      <c r="BD292" s="128">
        <v>162.78798669746351</v>
      </c>
      <c r="BE292" s="123">
        <v>150.62300767734123</v>
      </c>
      <c r="BF292" s="127">
        <v>211.3173974260587</v>
      </c>
      <c r="BG292" s="128">
        <v>328.79620766110133</v>
      </c>
      <c r="BH292" s="123">
        <v>101.61220375493087</v>
      </c>
      <c r="BI292" s="127">
        <v>157.93551205206342</v>
      </c>
      <c r="BJ292" s="128">
        <v>343.94251181669028</v>
      </c>
      <c r="BK292" s="123">
        <v>73.145174857635325</v>
      </c>
      <c r="BL292" s="127">
        <v>115.28495800473489</v>
      </c>
      <c r="BM292" s="128">
        <v>252.81126098849782</v>
      </c>
      <c r="BN292" s="123">
        <v>54.221583736301923</v>
      </c>
      <c r="BO292" s="127">
        <v>80.817285678977811</v>
      </c>
      <c r="BP292" s="128">
        <v>167.17614220642412</v>
      </c>
    </row>
    <row r="293" spans="1:68" x14ac:dyDescent="0.3">
      <c r="A293" s="24">
        <v>2023</v>
      </c>
      <c r="B293" s="123">
        <v>47.297242430598423</v>
      </c>
      <c r="C293" s="127">
        <v>72.813773692034331</v>
      </c>
      <c r="D293" s="128">
        <v>109.91113625129748</v>
      </c>
      <c r="E293" s="127">
        <v>46.228593381588631</v>
      </c>
      <c r="F293" s="127">
        <v>99.377464334224271</v>
      </c>
      <c r="G293" s="127">
        <v>295.801586280104</v>
      </c>
      <c r="H293" s="123">
        <v>37.087911841776403</v>
      </c>
      <c r="I293" s="127">
        <v>77.22454902934706</v>
      </c>
      <c r="J293" s="128">
        <v>229.22313072403264</v>
      </c>
      <c r="K293" s="127">
        <v>33.651233276739937</v>
      </c>
      <c r="L293" s="127">
        <v>71.409911674159304</v>
      </c>
      <c r="M293" s="127">
        <v>216.81487041631217</v>
      </c>
      <c r="N293" s="123">
        <v>27.44507898104013</v>
      </c>
      <c r="O293" s="127">
        <v>55.543415602708379</v>
      </c>
      <c r="P293" s="128">
        <v>175.93174706318004</v>
      </c>
      <c r="Q293" s="127">
        <v>28.125561622385526</v>
      </c>
      <c r="R293" s="127">
        <v>52.399695474331615</v>
      </c>
      <c r="S293" s="127">
        <v>140.57121833992602</v>
      </c>
      <c r="T293" s="123">
        <v>24.498358630530021</v>
      </c>
      <c r="U293" s="127">
        <v>38.620725611066931</v>
      </c>
      <c r="V293" s="128">
        <v>83.370885829172593</v>
      </c>
      <c r="W293" s="127">
        <v>17.275645619892796</v>
      </c>
      <c r="X293" s="127">
        <v>30.639880877622531</v>
      </c>
      <c r="Y293" s="127">
        <v>74.891778305587835</v>
      </c>
      <c r="Z293" s="123">
        <v>26.574446931244289</v>
      </c>
      <c r="AA293" s="127">
        <v>37.547743269356843</v>
      </c>
      <c r="AB293" s="128">
        <v>71.923886198525011</v>
      </c>
      <c r="AC293" s="123">
        <v>30.128824052913679</v>
      </c>
      <c r="AD293" s="127">
        <v>42.176004931720982</v>
      </c>
      <c r="AE293" s="128">
        <v>79.407982014574074</v>
      </c>
      <c r="AG293" s="123">
        <v>61.540281907411483</v>
      </c>
      <c r="AH293" s="127">
        <v>109.27829261953849</v>
      </c>
      <c r="AI293" s="128">
        <v>199.75066460779806</v>
      </c>
      <c r="AJ293" s="123">
        <v>38.94735078571717</v>
      </c>
      <c r="AK293" s="127">
        <v>78.384042529591454</v>
      </c>
      <c r="AL293" s="128">
        <v>196.61406144820006</v>
      </c>
      <c r="AM293" s="123">
        <v>26.000619086992799</v>
      </c>
      <c r="AN293" s="127">
        <v>54.611261226277051</v>
      </c>
      <c r="AO293" s="128">
        <v>139.85173246476188</v>
      </c>
      <c r="AP293" s="123">
        <v>17.567327732439487</v>
      </c>
      <c r="AQ293" s="127">
        <v>36.745355104405327</v>
      </c>
      <c r="AR293" s="128">
        <v>92.452299709227944</v>
      </c>
      <c r="AS293" s="123">
        <v>106.47522839813155</v>
      </c>
      <c r="AT293" s="127">
        <v>168.60878300012538</v>
      </c>
      <c r="AU293" s="128">
        <v>288.48349052933133</v>
      </c>
      <c r="AV293" s="123">
        <v>72.177118131905246</v>
      </c>
      <c r="AW293" s="127">
        <v>125.92097118044168</v>
      </c>
      <c r="AX293" s="128">
        <v>294.11936983024998</v>
      </c>
      <c r="AY293" s="123">
        <v>53.673198110911102</v>
      </c>
      <c r="AZ293" s="127">
        <v>90.349187033401122</v>
      </c>
      <c r="BA293" s="128">
        <v>202.81130831001769</v>
      </c>
      <c r="BB293" s="123">
        <v>39.454308617287559</v>
      </c>
      <c r="BC293" s="127">
        <v>64.252185650608098</v>
      </c>
      <c r="BD293" s="128">
        <v>137.69686579430868</v>
      </c>
      <c r="BE293" s="123">
        <v>120.75057858120934</v>
      </c>
      <c r="BF293" s="127">
        <v>191.3935962967895</v>
      </c>
      <c r="BG293" s="128">
        <v>327.62598784700316</v>
      </c>
      <c r="BH293" s="123">
        <v>81.664604193213535</v>
      </c>
      <c r="BI293" s="127">
        <v>142.65949637516556</v>
      </c>
      <c r="BJ293" s="128">
        <v>333.48743052371537</v>
      </c>
      <c r="BK293" s="123">
        <v>60.476821694354612</v>
      </c>
      <c r="BL293" s="127">
        <v>101.93426168991829</v>
      </c>
      <c r="BM293" s="128">
        <v>228.98429635466982</v>
      </c>
      <c r="BN293" s="123">
        <v>44.302717913361668</v>
      </c>
      <c r="BO293" s="127">
        <v>72.28286918271327</v>
      </c>
      <c r="BP293" s="128">
        <v>155.06035546272994</v>
      </c>
    </row>
    <row r="294" spans="1:68" x14ac:dyDescent="0.3">
      <c r="A294" s="24">
        <v>2024</v>
      </c>
      <c r="B294" s="123">
        <v>46.557046415671586</v>
      </c>
      <c r="C294" s="127">
        <v>72.269932718060787</v>
      </c>
      <c r="D294" s="128">
        <v>109.91113625129748</v>
      </c>
      <c r="E294" s="127">
        <v>45.110265393238961</v>
      </c>
      <c r="F294" s="127">
        <v>98.382942495064412</v>
      </c>
      <c r="G294" s="127">
        <v>295.801586280104</v>
      </c>
      <c r="H294" s="123">
        <v>35.90175333934144</v>
      </c>
      <c r="I294" s="127">
        <v>76.117464240160288</v>
      </c>
      <c r="J294" s="128">
        <v>229.22313072403264</v>
      </c>
      <c r="K294" s="127">
        <v>32.030056519485697</v>
      </c>
      <c r="L294" s="127">
        <v>69.921141115019708</v>
      </c>
      <c r="M294" s="127">
        <v>216.81487041631217</v>
      </c>
      <c r="N294" s="123">
        <v>26.090028657615989</v>
      </c>
      <c r="O294" s="127">
        <v>54.018697311059114</v>
      </c>
      <c r="P294" s="128">
        <v>175.93174706318004</v>
      </c>
      <c r="Q294" s="127">
        <v>26.901050818802535</v>
      </c>
      <c r="R294" s="127">
        <v>50.751408811408311</v>
      </c>
      <c r="S294" s="127">
        <v>137.89451535135223</v>
      </c>
      <c r="T294" s="123">
        <v>23.203445824522355</v>
      </c>
      <c r="U294" s="127">
        <v>37.211304906359452</v>
      </c>
      <c r="V294" s="128">
        <v>81.453004204668304</v>
      </c>
      <c r="W294" s="127">
        <v>15.571634239927342</v>
      </c>
      <c r="X294" s="127">
        <v>29.103927583406168</v>
      </c>
      <c r="Y294" s="127">
        <v>73.253720211933441</v>
      </c>
      <c r="Z294" s="123">
        <v>23.826237115817751</v>
      </c>
      <c r="AA294" s="127">
        <v>34.11019145869502</v>
      </c>
      <c r="AB294" s="128">
        <v>65.923455388014403</v>
      </c>
      <c r="AC294" s="123">
        <v>28.005931761082412</v>
      </c>
      <c r="AD294" s="127">
        <v>39.763230974401075</v>
      </c>
      <c r="AE294" s="128">
        <v>75.811661854163333</v>
      </c>
      <c r="AG294" s="123">
        <v>53.884781275096934</v>
      </c>
      <c r="AH294" s="127">
        <v>101.52019563302191</v>
      </c>
      <c r="AI294" s="128">
        <v>195.72667295829538</v>
      </c>
      <c r="AJ294" s="123">
        <v>33.743284094735436</v>
      </c>
      <c r="AK294" s="127">
        <v>71.30207838818805</v>
      </c>
      <c r="AL294" s="128">
        <v>180.46333538699227</v>
      </c>
      <c r="AM294" s="123">
        <v>22.033101632706487</v>
      </c>
      <c r="AN294" s="127">
        <v>48.576210435010161</v>
      </c>
      <c r="AO294" s="128">
        <v>125.00452024386084</v>
      </c>
      <c r="AP294" s="123">
        <v>14.881326668452077</v>
      </c>
      <c r="AQ294" s="127">
        <v>33.114909040511407</v>
      </c>
      <c r="AR294" s="128">
        <v>84.202593072285069</v>
      </c>
      <c r="AS294" s="123">
        <v>83.182060091387939</v>
      </c>
      <c r="AT294" s="127">
        <v>148.21611675142526</v>
      </c>
      <c r="AU294" s="128">
        <v>274.26362490929597</v>
      </c>
      <c r="AV294" s="123">
        <v>61.780359673189039</v>
      </c>
      <c r="AW294" s="127">
        <v>112.07577457480656</v>
      </c>
      <c r="AX294" s="128">
        <v>265.10435457115454</v>
      </c>
      <c r="AY294" s="123">
        <v>49.30048487315689</v>
      </c>
      <c r="AZ294" s="127">
        <v>81.501401594523799</v>
      </c>
      <c r="BA294" s="128">
        <v>179.58221190726201</v>
      </c>
      <c r="BB294" s="123">
        <v>34.414067236037226</v>
      </c>
      <c r="BC294" s="127">
        <v>57.322644901720885</v>
      </c>
      <c r="BD294" s="128">
        <v>125.43599534315486</v>
      </c>
      <c r="BE294" s="123">
        <v>90.342639896657857</v>
      </c>
      <c r="BF294" s="127">
        <v>161.13887248350548</v>
      </c>
      <c r="BG294" s="128">
        <v>298.30587922999678</v>
      </c>
      <c r="BH294" s="123">
        <v>67.043835493724984</v>
      </c>
      <c r="BI294" s="127">
        <v>121.74147598684355</v>
      </c>
      <c r="BJ294" s="128">
        <v>288.12609950170588</v>
      </c>
      <c r="BK294" s="123">
        <v>53.414869990152106</v>
      </c>
      <c r="BL294" s="127">
        <v>88.363015695417033</v>
      </c>
      <c r="BM294" s="128">
        <v>194.78320000973284</v>
      </c>
      <c r="BN294" s="123">
        <v>37.202437123491244</v>
      </c>
      <c r="BO294" s="127">
        <v>62.048614795073249</v>
      </c>
      <c r="BP294" s="128">
        <v>135.89065924280024</v>
      </c>
    </row>
    <row r="295" spans="1:68" x14ac:dyDescent="0.3">
      <c r="A295" s="24">
        <v>2025</v>
      </c>
      <c r="B295" s="123">
        <v>45.912429254079107</v>
      </c>
      <c r="C295" s="127">
        <v>71.78665244217828</v>
      </c>
      <c r="D295" s="128">
        <v>109.91113625129748</v>
      </c>
      <c r="E295" s="127">
        <v>44.12300328888373</v>
      </c>
      <c r="F295" s="127">
        <v>97.495597459730206</v>
      </c>
      <c r="G295" s="127">
        <v>295.801586280104</v>
      </c>
      <c r="H295" s="123">
        <v>34.714779985369439</v>
      </c>
      <c r="I295" s="127">
        <v>75.009149856151026</v>
      </c>
      <c r="J295" s="128">
        <v>229.22313072403264</v>
      </c>
      <c r="K295" s="127">
        <v>30.408975413822652</v>
      </c>
      <c r="L295" s="127">
        <v>68.480487718082472</v>
      </c>
      <c r="M295" s="127">
        <v>216.81487041631217</v>
      </c>
      <c r="N295" s="123">
        <v>24.800251240986302</v>
      </c>
      <c r="O295" s="127">
        <v>52.585939212258189</v>
      </c>
      <c r="P295" s="128">
        <v>175.93174706318004</v>
      </c>
      <c r="Q295" s="127">
        <v>25.677802255551899</v>
      </c>
      <c r="R295" s="127">
        <v>49.105402369471705</v>
      </c>
      <c r="S295" s="127">
        <v>135.21823969525769</v>
      </c>
      <c r="T295" s="123">
        <v>21.937936479452564</v>
      </c>
      <c r="U295" s="127">
        <v>35.832909007449729</v>
      </c>
      <c r="V295" s="128">
        <v>79.55297764765605</v>
      </c>
      <c r="W295" s="127">
        <v>13.887327730413897</v>
      </c>
      <c r="X295" s="127">
        <v>27.519059849824767</v>
      </c>
      <c r="Y295" s="127">
        <v>71.39718183577105</v>
      </c>
      <c r="Z295" s="123">
        <v>22.918271212594973</v>
      </c>
      <c r="AA295" s="127">
        <v>33.282373585725836</v>
      </c>
      <c r="AB295" s="128">
        <v>65.228562019572621</v>
      </c>
      <c r="AC295" s="123">
        <v>25.9930025136522</v>
      </c>
      <c r="AD295" s="127">
        <v>37.446032011113338</v>
      </c>
      <c r="AE295" s="128">
        <v>72.279159431659366</v>
      </c>
      <c r="AG295" s="123">
        <v>47.373097261452081</v>
      </c>
      <c r="AH295" s="127">
        <v>94.299943154618788</v>
      </c>
      <c r="AI295" s="128">
        <v>190.97126850429606</v>
      </c>
      <c r="AJ295" s="123">
        <v>29.333954292895669</v>
      </c>
      <c r="AK295" s="127">
        <v>64.927029818368069</v>
      </c>
      <c r="AL295" s="128">
        <v>165.66479715725941</v>
      </c>
      <c r="AM295" s="123">
        <v>18.709432866883201</v>
      </c>
      <c r="AN295" s="127">
        <v>43.321372161136097</v>
      </c>
      <c r="AO295" s="128">
        <v>112.14111573582613</v>
      </c>
      <c r="AP295" s="123">
        <v>12.613825475024292</v>
      </c>
      <c r="AQ295" s="127">
        <v>29.871344032853141</v>
      </c>
      <c r="AR295" s="128">
        <v>76.75317457970533</v>
      </c>
      <c r="AS295" s="123">
        <v>73.982034295723054</v>
      </c>
      <c r="AT295" s="127">
        <v>134.97787417489772</v>
      </c>
      <c r="AU295" s="128">
        <v>260.22852549093699</v>
      </c>
      <c r="AV295" s="123">
        <v>54.085708958400907</v>
      </c>
      <c r="AW295" s="127">
        <v>100.18370482197761</v>
      </c>
      <c r="AX295" s="128">
        <v>237.51636808672652</v>
      </c>
      <c r="AY295" s="123">
        <v>44.373719734237405</v>
      </c>
      <c r="AZ295" s="127">
        <v>73.285215114198351</v>
      </c>
      <c r="BA295" s="128">
        <v>160.11244036968708</v>
      </c>
      <c r="BB295" s="123">
        <v>29.640585437031891</v>
      </c>
      <c r="BC295" s="127">
        <v>51.017757960431936</v>
      </c>
      <c r="BD295" s="128">
        <v>114.76721630943132</v>
      </c>
      <c r="BE295" s="123">
        <v>76.970192481651608</v>
      </c>
      <c r="BF295" s="127">
        <v>140.39042211693655</v>
      </c>
      <c r="BG295" s="128">
        <v>270.63068469138722</v>
      </c>
      <c r="BH295" s="123">
        <v>56.282828102003229</v>
      </c>
      <c r="BI295" s="127">
        <v>104.22350152705309</v>
      </c>
      <c r="BJ295" s="128">
        <v>247.055245410189</v>
      </c>
      <c r="BK295" s="123">
        <v>46.192068312338257</v>
      </c>
      <c r="BL295" s="127">
        <v>76.273205309953497</v>
      </c>
      <c r="BM295" s="128">
        <v>166.61965286308384</v>
      </c>
      <c r="BN295" s="123">
        <v>30.87599694045387</v>
      </c>
      <c r="BO295" s="127">
        <v>53.120840734142995</v>
      </c>
      <c r="BP295" s="128">
        <v>119.4634815279378</v>
      </c>
    </row>
    <row r="296" spans="1:68" x14ac:dyDescent="0.3">
      <c r="A296" s="24">
        <v>2026</v>
      </c>
      <c r="B296" s="123">
        <v>45.352574159759726</v>
      </c>
      <c r="C296" s="127">
        <v>71.357682280874897</v>
      </c>
      <c r="D296" s="128">
        <v>109.91113625129748</v>
      </c>
      <c r="E296" s="127">
        <v>43.552166062950313</v>
      </c>
      <c r="F296" s="127">
        <v>96.887013342665895</v>
      </c>
      <c r="G296" s="127">
        <v>295.801586280104</v>
      </c>
      <c r="H296" s="123">
        <v>33.527053897592957</v>
      </c>
      <c r="I296" s="127">
        <v>73.899736443540888</v>
      </c>
      <c r="J296" s="128">
        <v>229.22313072403264</v>
      </c>
      <c r="K296" s="127">
        <v>28.790760094467345</v>
      </c>
      <c r="L296" s="127">
        <v>67.085062490309738</v>
      </c>
      <c r="M296" s="127">
        <v>216.81487041631217</v>
      </c>
      <c r="N296" s="123">
        <v>23.571548186494926</v>
      </c>
      <c r="O296" s="127">
        <v>51.235913591119967</v>
      </c>
      <c r="P296" s="128">
        <v>175.93174706318004</v>
      </c>
      <c r="Q296" s="127">
        <v>24.455788800064536</v>
      </c>
      <c r="R296" s="127">
        <v>47.461584659124888</v>
      </c>
      <c r="S296" s="127">
        <v>132.54238597268292</v>
      </c>
      <c r="T296" s="123">
        <v>20.700840345719289</v>
      </c>
      <c r="U296" s="127">
        <v>34.48429858481861</v>
      </c>
      <c r="V296" s="128">
        <v>77.67055797312446</v>
      </c>
      <c r="W296" s="127">
        <v>20.138311635456692</v>
      </c>
      <c r="X296" s="127">
        <v>32.436971083286558</v>
      </c>
      <c r="Y296" s="127">
        <v>71.638548462054615</v>
      </c>
      <c r="Z296" s="123">
        <v>22.034420785912072</v>
      </c>
      <c r="AA296" s="127">
        <v>32.471654295576535</v>
      </c>
      <c r="AB296" s="128">
        <v>64.535562093551192</v>
      </c>
      <c r="AC296" s="123">
        <v>24.954815274289498</v>
      </c>
      <c r="AD296" s="127">
        <v>36.513484525809965</v>
      </c>
      <c r="AE296" s="128">
        <v>71.557335468346054</v>
      </c>
      <c r="AG296" s="123">
        <v>44.661135325681904</v>
      </c>
      <c r="AH296" s="127">
        <v>83.83140067444134</v>
      </c>
      <c r="AI296" s="128">
        <v>167.75078796214709</v>
      </c>
      <c r="AJ296" s="123">
        <v>30.934790244238904</v>
      </c>
      <c r="AK296" s="127">
        <v>59.80312557482879</v>
      </c>
      <c r="AL296" s="128">
        <v>139.73474654646552</v>
      </c>
      <c r="AM296" s="123">
        <v>22.876011848051306</v>
      </c>
      <c r="AN296" s="127">
        <v>42.627121604720351</v>
      </c>
      <c r="AO296" s="128">
        <v>96.597204554054073</v>
      </c>
      <c r="AP296" s="123">
        <v>18.525226372897315</v>
      </c>
      <c r="AQ296" s="127">
        <v>32.635651803967711</v>
      </c>
      <c r="AR296" s="128">
        <v>70.173671495688993</v>
      </c>
      <c r="AS296" s="123">
        <v>64.61460519780222</v>
      </c>
      <c r="AT296" s="127">
        <v>122.19578242071498</v>
      </c>
      <c r="AU296" s="128">
        <v>246.37461437221228</v>
      </c>
      <c r="AV296" s="123">
        <v>47.709048997470227</v>
      </c>
      <c r="AW296" s="127">
        <v>89.739369593220701</v>
      </c>
      <c r="AX296" s="128">
        <v>213.16679309155521</v>
      </c>
      <c r="AY296" s="123">
        <v>39.789480772846652</v>
      </c>
      <c r="AZ296" s="127">
        <v>65.980669870622904</v>
      </c>
      <c r="BA296" s="128">
        <v>143.55771520061521</v>
      </c>
      <c r="BB296" s="123">
        <v>28.354919315502645</v>
      </c>
      <c r="BC296" s="127">
        <v>47.94287912522114</v>
      </c>
      <c r="BD296" s="128">
        <v>105.39933186108155</v>
      </c>
      <c r="BE296" s="123">
        <v>67.233292077539687</v>
      </c>
      <c r="BF296" s="127">
        <v>127.10377049568125</v>
      </c>
      <c r="BG296" s="128">
        <v>256.23184827499307</v>
      </c>
      <c r="BH296" s="123">
        <v>49.654025895650783</v>
      </c>
      <c r="BI296" s="127">
        <v>93.36485175123542</v>
      </c>
      <c r="BJ296" s="128">
        <v>221.73711881204369</v>
      </c>
      <c r="BK296" s="123">
        <v>41.42514140711927</v>
      </c>
      <c r="BL296" s="127">
        <v>68.675804792333338</v>
      </c>
      <c r="BM296" s="128">
        <v>149.39792633185255</v>
      </c>
      <c r="BN296" s="123">
        <v>29.537755075610679</v>
      </c>
      <c r="BO296" s="127">
        <v>49.920793508997505</v>
      </c>
      <c r="BP296" s="128">
        <v>109.71563070164372</v>
      </c>
    </row>
    <row r="297" spans="1:68" x14ac:dyDescent="0.3">
      <c r="A297" s="24">
        <v>2027</v>
      </c>
      <c r="B297" s="123">
        <v>44.86735708275986</v>
      </c>
      <c r="C297" s="127">
        <v>70.977131792698174</v>
      </c>
      <c r="D297" s="128">
        <v>109.91113625129748</v>
      </c>
      <c r="E297" s="127">
        <v>43.086218664475147</v>
      </c>
      <c r="F297" s="127">
        <v>96.365219927909067</v>
      </c>
      <c r="G297" s="127">
        <v>295.801586280104</v>
      </c>
      <c r="H297" s="123">
        <v>32.338633720631876</v>
      </c>
      <c r="I297" s="127">
        <v>72.789338443811545</v>
      </c>
      <c r="J297" s="128">
        <v>229.22313072403264</v>
      </c>
      <c r="K297" s="127">
        <v>27.178036749043848</v>
      </c>
      <c r="L297" s="127">
        <v>65.732282377823111</v>
      </c>
      <c r="M297" s="127">
        <v>216.81487041631217</v>
      </c>
      <c r="N297" s="123">
        <v>22.400070710580668</v>
      </c>
      <c r="O297" s="127">
        <v>49.960748154231524</v>
      </c>
      <c r="P297" s="128">
        <v>175.93174706318004</v>
      </c>
      <c r="Q297" s="127">
        <v>23.234984091878982</v>
      </c>
      <c r="R297" s="127">
        <v>45.81986936697497</v>
      </c>
      <c r="S297" s="127">
        <v>129.86694887523518</v>
      </c>
      <c r="T297" s="123">
        <v>19.491211146246762</v>
      </c>
      <c r="U297" s="127">
        <v>33.164305965808147</v>
      </c>
      <c r="V297" s="128">
        <v>75.805501574536379</v>
      </c>
      <c r="W297" s="127">
        <v>18.949279047500784</v>
      </c>
      <c r="X297" s="127">
        <v>31.436226218284478</v>
      </c>
      <c r="Y297" s="127">
        <v>70.794293043755204</v>
      </c>
      <c r="Z297" s="123">
        <v>21.173867007593035</v>
      </c>
      <c r="AA297" s="127">
        <v>31.677488484266959</v>
      </c>
      <c r="AB297" s="128">
        <v>63.844447881614663</v>
      </c>
      <c r="AC297" s="123">
        <v>23.944062611916262</v>
      </c>
      <c r="AD297" s="127">
        <v>35.600271141808463</v>
      </c>
      <c r="AE297" s="128">
        <v>70.8374756518716</v>
      </c>
      <c r="AG297" s="123">
        <v>40.907299839463846</v>
      </c>
      <c r="AH297" s="127">
        <v>79.945049616069795</v>
      </c>
      <c r="AI297" s="128">
        <v>166.45274175350687</v>
      </c>
      <c r="AJ297" s="123">
        <v>28.379405975423019</v>
      </c>
      <c r="AK297" s="127">
        <v>56.293366373305581</v>
      </c>
      <c r="AL297" s="128">
        <v>131.79865151185024</v>
      </c>
      <c r="AM297" s="123">
        <v>20.93881451919194</v>
      </c>
      <c r="AN297" s="127">
        <v>39.709467143567871</v>
      </c>
      <c r="AO297" s="128">
        <v>89.722833540475108</v>
      </c>
      <c r="AP297" s="123">
        <v>17.729300189928939</v>
      </c>
      <c r="AQ297" s="127">
        <v>31.035557886953125</v>
      </c>
      <c r="AR297" s="128">
        <v>66.024909688941904</v>
      </c>
      <c r="AS297" s="123">
        <v>56.658679318840662</v>
      </c>
      <c r="AT297" s="127">
        <v>110.54621050738555</v>
      </c>
      <c r="AU297" s="128">
        <v>232.69840543758028</v>
      </c>
      <c r="AV297" s="123">
        <v>42.319828113504677</v>
      </c>
      <c r="AW297" s="127">
        <v>80.45780330659953</v>
      </c>
      <c r="AX297" s="128">
        <v>191.51703062216427</v>
      </c>
      <c r="AY297" s="123">
        <v>35.513247530176024</v>
      </c>
      <c r="AZ297" s="127">
        <v>59.436145416705237</v>
      </c>
      <c r="BA297" s="128">
        <v>129.3089637432499</v>
      </c>
      <c r="BB297" s="123">
        <v>27.133877971667019</v>
      </c>
      <c r="BC297" s="127">
        <v>45.123081869704947</v>
      </c>
      <c r="BD297" s="128">
        <v>97.108078430068204</v>
      </c>
      <c r="BE297" s="123">
        <v>58.963307897707082</v>
      </c>
      <c r="BF297" s="127">
        <v>114.9942267247001</v>
      </c>
      <c r="BG297" s="128">
        <v>242.01770372342017</v>
      </c>
      <c r="BH297" s="123">
        <v>44.051464043508524</v>
      </c>
      <c r="BI297" s="127">
        <v>83.714952231949596</v>
      </c>
      <c r="BJ297" s="128">
        <v>199.22619502267517</v>
      </c>
      <c r="BK297" s="123">
        <v>36.978494653064772</v>
      </c>
      <c r="BL297" s="127">
        <v>61.868912918106169</v>
      </c>
      <c r="BM297" s="128">
        <v>134.57508279297758</v>
      </c>
      <c r="BN297" s="123">
        <v>28.266780739690862</v>
      </c>
      <c r="BO297" s="127">
        <v>46.986218375625974</v>
      </c>
      <c r="BP297" s="128">
        <v>101.0880796196324</v>
      </c>
    </row>
    <row r="298" spans="1:68" x14ac:dyDescent="0.3">
      <c r="A298" s="24">
        <v>2028</v>
      </c>
      <c r="B298" s="123">
        <v>44.447377643732452</v>
      </c>
      <c r="C298" s="127">
        <v>70.639473601051293</v>
      </c>
      <c r="D298" s="128">
        <v>109.91113625129748</v>
      </c>
      <c r="E298" s="127">
        <v>42.682919021349974</v>
      </c>
      <c r="F298" s="127">
        <v>95.902387319963935</v>
      </c>
      <c r="G298" s="127">
        <v>295.801586280104</v>
      </c>
      <c r="H298" s="123">
        <v>31.149574950105134</v>
      </c>
      <c r="I298" s="127">
        <v>71.678056865619752</v>
      </c>
      <c r="J298" s="128">
        <v>229.22313072403264</v>
      </c>
      <c r="K298" s="127">
        <v>25.573302314663479</v>
      </c>
      <c r="L298" s="127">
        <v>64.153148056188172</v>
      </c>
      <c r="M298" s="127">
        <v>216.81487041631217</v>
      </c>
      <c r="N298" s="123">
        <v>21.282284105432471</v>
      </c>
      <c r="O298" s="127">
        <v>48.753666341762347</v>
      </c>
      <c r="P298" s="128">
        <v>175.93174706318004</v>
      </c>
      <c r="Q298" s="127">
        <v>22.015362515370633</v>
      </c>
      <c r="R298" s="127">
        <v>44.180174977936971</v>
      </c>
      <c r="S298" s="127">
        <v>127.19192318319688</v>
      </c>
      <c r="T298" s="123">
        <v>18.308144162505958</v>
      </c>
      <c r="U298" s="127">
        <v>31.871829719870465</v>
      </c>
      <c r="V298" s="128">
        <v>73.95756931873467</v>
      </c>
      <c r="W298" s="127">
        <v>17.768318239008853</v>
      </c>
      <c r="X298" s="127">
        <v>30.422029728109671</v>
      </c>
      <c r="Y298" s="127">
        <v>69.892421258764216</v>
      </c>
      <c r="Z298" s="123">
        <v>20.335826254512398</v>
      </c>
      <c r="AA298" s="127">
        <v>30.899353818564538</v>
      </c>
      <c r="AB298" s="128">
        <v>63.15521169742749</v>
      </c>
      <c r="AC298" s="123">
        <v>22.959821125700405</v>
      </c>
      <c r="AD298" s="127">
        <v>34.705779591080571</v>
      </c>
      <c r="AE298" s="128">
        <v>70.119571976202593</v>
      </c>
      <c r="AG298" s="123">
        <v>37.513775957613731</v>
      </c>
      <c r="AH298" s="127">
        <v>76.347676841323832</v>
      </c>
      <c r="AI298" s="128">
        <v>165.13265638745975</v>
      </c>
      <c r="AJ298" s="123">
        <v>26.07297303224891</v>
      </c>
      <c r="AK298" s="127">
        <v>53.111020016163117</v>
      </c>
      <c r="AL298" s="128">
        <v>124.66820789495391</v>
      </c>
      <c r="AM298" s="123">
        <v>19.207472266155602</v>
      </c>
      <c r="AN298" s="127">
        <v>37.115520492143922</v>
      </c>
      <c r="AO298" s="128">
        <v>83.726214603625323</v>
      </c>
      <c r="AP298" s="123">
        <v>16.954665271045101</v>
      </c>
      <c r="AQ298" s="127">
        <v>29.552860469865479</v>
      </c>
      <c r="AR298" s="128">
        <v>62.314715846766205</v>
      </c>
      <c r="AS298" s="123">
        <v>51.392171972884533</v>
      </c>
      <c r="AT298" s="127">
        <v>100.56694167839821</v>
      </c>
      <c r="AU298" s="128">
        <v>219.1965014334242</v>
      </c>
      <c r="AV298" s="123">
        <v>38.87184152519653</v>
      </c>
      <c r="AW298" s="127">
        <v>72.661333697847382</v>
      </c>
      <c r="AX298" s="128">
        <v>172.1416447951695</v>
      </c>
      <c r="AY298" s="123">
        <v>31.51498749848751</v>
      </c>
      <c r="AZ298" s="127">
        <v>53.533266789744488</v>
      </c>
      <c r="BA298" s="128">
        <v>116.91574541399719</v>
      </c>
      <c r="BB298" s="123">
        <v>25.972708260622717</v>
      </c>
      <c r="BC298" s="127">
        <v>42.525865147448613</v>
      </c>
      <c r="BD298" s="128">
        <v>89.717939518765533</v>
      </c>
      <c r="BE298" s="123">
        <v>53.488211502278197</v>
      </c>
      <c r="BF298" s="127">
        <v>104.62062281294708</v>
      </c>
      <c r="BG298" s="128">
        <v>227.98472015656748</v>
      </c>
      <c r="BH298" s="123">
        <v>40.466295401606558</v>
      </c>
      <c r="BI298" s="127">
        <v>75.608704016393006</v>
      </c>
      <c r="BJ298" s="128">
        <v>179.08011562075362</v>
      </c>
      <c r="BK298" s="123">
        <v>32.820898707556864</v>
      </c>
      <c r="BL298" s="127">
        <v>55.729403831819646</v>
      </c>
      <c r="BM298" s="128">
        <v>121.68253309925174</v>
      </c>
      <c r="BN298" s="123">
        <v>27.058126413745782</v>
      </c>
      <c r="BO298" s="127">
        <v>44.283289614566378</v>
      </c>
      <c r="BP298" s="128">
        <v>93.3981927417408</v>
      </c>
    </row>
    <row r="299" spans="1:68" x14ac:dyDescent="0.3">
      <c r="A299" s="24">
        <v>2029</v>
      </c>
      <c r="B299" s="123">
        <v>44.083925726525514</v>
      </c>
      <c r="C299" s="127">
        <v>70.339537683136328</v>
      </c>
      <c r="D299" s="128">
        <v>109.91113625129748</v>
      </c>
      <c r="E299" s="127">
        <v>42.333905115880036</v>
      </c>
      <c r="F299" s="127">
        <v>95.491408873096816</v>
      </c>
      <c r="G299" s="127">
        <v>295.801586280104</v>
      </c>
      <c r="H299" s="123">
        <v>29.95993022681456</v>
      </c>
      <c r="I299" s="127">
        <v>70.565981450776263</v>
      </c>
      <c r="J299" s="128">
        <v>229.22313072403264</v>
      </c>
      <c r="K299" s="127">
        <v>23.604687983660103</v>
      </c>
      <c r="L299" s="127">
        <v>63.021915937276596</v>
      </c>
      <c r="M299" s="127">
        <v>216.81487041631217</v>
      </c>
      <c r="N299" s="123">
        <v>20.214936335544035</v>
      </c>
      <c r="O299" s="127">
        <v>47.608787924057623</v>
      </c>
      <c r="P299" s="128">
        <v>175.93174706318004</v>
      </c>
      <c r="Q299" s="127">
        <v>20.796899173628848</v>
      </c>
      <c r="R299" s="127">
        <v>42.542424431178326</v>
      </c>
      <c r="S299" s="127">
        <v>124.51730376368224</v>
      </c>
      <c r="T299" s="123">
        <v>17.15077397783428</v>
      </c>
      <c r="U299" s="127">
        <v>30.605829748350295</v>
      </c>
      <c r="V299" s="128">
        <v>72.126526443730015</v>
      </c>
      <c r="W299" s="127">
        <v>16.594895072025615</v>
      </c>
      <c r="X299" s="127">
        <v>29.394257882437476</v>
      </c>
      <c r="Y299" s="127">
        <v>68.932386162808214</v>
      </c>
      <c r="Z299" s="123">
        <v>19.519548260187022</v>
      </c>
      <c r="AA299" s="127">
        <v>30.136749562965171</v>
      </c>
      <c r="AB299" s="128">
        <v>62.467845896372907</v>
      </c>
      <c r="AC299" s="123">
        <v>22.001206729127766</v>
      </c>
      <c r="AD299" s="127">
        <v>33.829422958122784</v>
      </c>
      <c r="AE299" s="128">
        <v>69.403616478758138</v>
      </c>
      <c r="AG299" s="123">
        <v>34.443847187521527</v>
      </c>
      <c r="AH299" s="127">
        <v>73.010298499381918</v>
      </c>
      <c r="AI299" s="128">
        <v>163.79164036131846</v>
      </c>
      <c r="AJ299" s="123">
        <v>23.989335381591324</v>
      </c>
      <c r="AK299" s="127">
        <v>50.214178794537332</v>
      </c>
      <c r="AL299" s="128">
        <v>118.22327670598413</v>
      </c>
      <c r="AM299" s="123">
        <v>17.657230686977481</v>
      </c>
      <c r="AN299" s="127">
        <v>34.795475008098265</v>
      </c>
      <c r="AO299" s="128">
        <v>78.446667192233747</v>
      </c>
      <c r="AP299" s="123">
        <v>16.199642892611116</v>
      </c>
      <c r="AQ299" s="127">
        <v>28.173165537137479</v>
      </c>
      <c r="AR299" s="128">
        <v>58.975488357831743</v>
      </c>
      <c r="AS299" s="123">
        <v>46.27733905078</v>
      </c>
      <c r="AT299" s="127">
        <v>91.049849392337663</v>
      </c>
      <c r="AU299" s="128">
        <v>205.86559115459161</v>
      </c>
      <c r="AV299" s="123">
        <v>35.54858253475723</v>
      </c>
      <c r="AW299" s="127">
        <v>65.399688635856549</v>
      </c>
      <c r="AX299" s="128">
        <v>154.70012565210723</v>
      </c>
      <c r="AY299" s="123">
        <v>27.768449740563597</v>
      </c>
      <c r="AZ299" s="127">
        <v>48.177979570797504</v>
      </c>
      <c r="BA299" s="128">
        <v>106.03776444956038</v>
      </c>
      <c r="BB299" s="123">
        <v>24.867112007478472</v>
      </c>
      <c r="BC299" s="127">
        <v>40.124307747934964</v>
      </c>
      <c r="BD299" s="128">
        <v>83.089583458996074</v>
      </c>
      <c r="BE299" s="123">
        <v>48.170832012252475</v>
      </c>
      <c r="BF299" s="127">
        <v>94.72748489742068</v>
      </c>
      <c r="BG299" s="128">
        <v>214.1294561274008</v>
      </c>
      <c r="BH299" s="123">
        <v>37.010841341220654</v>
      </c>
      <c r="BI299" s="127">
        <v>68.058561651382234</v>
      </c>
      <c r="BJ299" s="128">
        <v>160.94482620335737</v>
      </c>
      <c r="BK299" s="123">
        <v>28.925056499050321</v>
      </c>
      <c r="BL299" s="127">
        <v>50.159448712562742</v>
      </c>
      <c r="BM299" s="128">
        <v>110.36627073498964</v>
      </c>
      <c r="BN299" s="123">
        <v>25.907318154279835</v>
      </c>
      <c r="BO299" s="127">
        <v>41.783988871799309</v>
      </c>
      <c r="BP299" s="128">
        <v>86.500987033190796</v>
      </c>
    </row>
    <row r="300" spans="1:68" x14ac:dyDescent="0.3">
      <c r="A300" s="24">
        <v>2030</v>
      </c>
      <c r="B300" s="123">
        <v>43.769000735019823</v>
      </c>
      <c r="C300" s="127">
        <v>70.07251490225282</v>
      </c>
      <c r="D300" s="128">
        <v>109.91113625129748</v>
      </c>
      <c r="E300" s="127">
        <v>42.031491671754644</v>
      </c>
      <c r="F300" s="127">
        <v>95.125673169435643</v>
      </c>
      <c r="G300" s="127">
        <v>295.801586280104</v>
      </c>
      <c r="H300" s="123">
        <v>28.769749604509585</v>
      </c>
      <c r="I300" s="127">
        <v>69.453192434014099</v>
      </c>
      <c r="J300" s="128">
        <v>229.22313072403264</v>
      </c>
      <c r="K300" s="127">
        <v>22.767597143359627</v>
      </c>
      <c r="L300" s="127">
        <v>62.175310353931188</v>
      </c>
      <c r="M300" s="127">
        <v>216.81487041631217</v>
      </c>
      <c r="N300" s="123">
        <v>19.195030328503588</v>
      </c>
      <c r="O300" s="127">
        <v>46.520973700493407</v>
      </c>
      <c r="P300" s="128">
        <v>175.93174706318004</v>
      </c>
      <c r="Q300" s="127">
        <v>19.579569863425718</v>
      </c>
      <c r="R300" s="127">
        <v>40.906544806182239</v>
      </c>
      <c r="S300" s="127">
        <v>121.84308556883865</v>
      </c>
      <c r="T300" s="123">
        <v>16.018272366223869</v>
      </c>
      <c r="U300" s="127">
        <v>29.365322823049059</v>
      </c>
      <c r="V300" s="128">
        <v>70.312142459278277</v>
      </c>
      <c r="W300" s="127">
        <v>15.428524110152313</v>
      </c>
      <c r="X300" s="127">
        <v>28.352810456116899</v>
      </c>
      <c r="Y300" s="127">
        <v>67.913670895589121</v>
      </c>
      <c r="Z300" s="123">
        <v>18.724314381140427</v>
      </c>
      <c r="AA300" s="127">
        <v>29.389195478486858</v>
      </c>
      <c r="AB300" s="128">
        <v>61.782342875266465</v>
      </c>
      <c r="AC300" s="123">
        <v>21.067372606599619</v>
      </c>
      <c r="AD300" s="127">
        <v>32.970638386242022</v>
      </c>
      <c r="AE300" s="128">
        <v>68.689601240114129</v>
      </c>
      <c r="AG300" s="123">
        <v>31.664774175679593</v>
      </c>
      <c r="AH300" s="127">
        <v>69.9074378889933</v>
      </c>
      <c r="AI300" s="128">
        <v>162.43079219312551</v>
      </c>
      <c r="AJ300" s="123">
        <v>22.105296050043478</v>
      </c>
      <c r="AK300" s="127">
        <v>47.567696736910534</v>
      </c>
      <c r="AL300" s="128">
        <v>112.3665732109869</v>
      </c>
      <c r="AM300" s="123">
        <v>16.266684606522109</v>
      </c>
      <c r="AN300" s="127">
        <v>32.709273744169252</v>
      </c>
      <c r="AO300" s="128">
        <v>73.760545196493595</v>
      </c>
      <c r="AP300" s="123">
        <v>15.462720273713444</v>
      </c>
      <c r="AQ300" s="127">
        <v>26.884461080237617</v>
      </c>
      <c r="AR300" s="128">
        <v>55.952884618427326</v>
      </c>
      <c r="AS300" s="123">
        <v>41.288479444033165</v>
      </c>
      <c r="AT300" s="127">
        <v>81.918765106481203</v>
      </c>
      <c r="AU300" s="128">
        <v>192.69773556319453</v>
      </c>
      <c r="AV300" s="123">
        <v>32.333747027379161</v>
      </c>
      <c r="AW300" s="127">
        <v>59.019743439413375</v>
      </c>
      <c r="AX300" s="128">
        <v>140.58717869799653</v>
      </c>
      <c r="AY300" s="123">
        <v>26.098046016735424</v>
      </c>
      <c r="AZ300" s="127">
        <v>44.735703700969793</v>
      </c>
      <c r="BA300" s="128">
        <v>96.984389194001523</v>
      </c>
      <c r="BB300" s="123">
        <v>23.813192842545192</v>
      </c>
      <c r="BC300" s="127">
        <v>37.895873633544554</v>
      </c>
      <c r="BD300" s="128">
        <v>77.110995545942274</v>
      </c>
      <c r="BE300" s="123">
        <v>42.984454912345328</v>
      </c>
      <c r="BF300" s="127">
        <v>85.235645116416947</v>
      </c>
      <c r="BG300" s="128">
        <v>200.44366106754126</v>
      </c>
      <c r="BH300" s="123">
        <v>33.668151958495272</v>
      </c>
      <c r="BI300" s="127">
        <v>61.424951948723461</v>
      </c>
      <c r="BJ300" s="128">
        <v>146.26950616754209</v>
      </c>
      <c r="BK300" s="123">
        <v>27.186838075547477</v>
      </c>
      <c r="BL300" s="127">
        <v>46.577887661762929</v>
      </c>
      <c r="BM300" s="128">
        <v>100.94749215983516</v>
      </c>
      <c r="BN300" s="123">
        <v>24.810300254331846</v>
      </c>
      <c r="BO300" s="127">
        <v>39.464861763142338</v>
      </c>
      <c r="BP300" s="128">
        <v>80.279904413133551</v>
      </c>
    </row>
    <row r="301" spans="1:68" x14ac:dyDescent="0.3">
      <c r="A301" s="24">
        <v>2031</v>
      </c>
      <c r="B301" s="123">
        <v>43.49530401726129</v>
      </c>
      <c r="C301" s="127">
        <v>69.83395807357185</v>
      </c>
      <c r="D301" s="128">
        <v>109.91113625129748</v>
      </c>
      <c r="E301" s="127">
        <v>41.768667103338835</v>
      </c>
      <c r="F301" s="127">
        <v>94.798175262566119</v>
      </c>
      <c r="G301" s="127">
        <v>295.801586280104</v>
      </c>
      <c r="H301" s="123">
        <v>28.542461427167726</v>
      </c>
      <c r="I301" s="127">
        <v>69.149957042093419</v>
      </c>
      <c r="J301" s="128">
        <v>229.22313072403264</v>
      </c>
      <c r="K301" s="127">
        <v>22.01517045028077</v>
      </c>
      <c r="L301" s="127">
        <v>61.498983560363129</v>
      </c>
      <c r="M301" s="127">
        <v>216.81487041631217</v>
      </c>
      <c r="N301" s="123">
        <v>18.907270642682054</v>
      </c>
      <c r="O301" s="127">
        <v>46.233615129024656</v>
      </c>
      <c r="P301" s="128">
        <v>175.93174706318004</v>
      </c>
      <c r="Q301" s="127">
        <v>19.283110339606175</v>
      </c>
      <c r="R301" s="127">
        <v>40.535120036561679</v>
      </c>
      <c r="S301" s="127">
        <v>121.25527219449587</v>
      </c>
      <c r="T301" s="123">
        <v>15.782243590067202</v>
      </c>
      <c r="U301" s="127">
        <v>29.071469291567894</v>
      </c>
      <c r="V301" s="128">
        <v>69.954042769185008</v>
      </c>
      <c r="W301" s="127">
        <v>15.202000560845581</v>
      </c>
      <c r="X301" s="127">
        <v>28.068463046313482</v>
      </c>
      <c r="Y301" s="127">
        <v>67.563894581907178</v>
      </c>
      <c r="Z301" s="123">
        <v>18.467680963482596</v>
      </c>
      <c r="AA301" s="127">
        <v>29.100678729976284</v>
      </c>
      <c r="AB301" s="128">
        <v>61.34536238987296</v>
      </c>
      <c r="AC301" s="123">
        <v>20.754824608715019</v>
      </c>
      <c r="AD301" s="127">
        <v>32.624245019297987</v>
      </c>
      <c r="AE301" s="128">
        <v>68.17162219128393</v>
      </c>
      <c r="AG301" s="123">
        <v>29.426289258354419</v>
      </c>
      <c r="AH301" s="127">
        <v>67.641972424960585</v>
      </c>
      <c r="AI301" s="128">
        <v>159.77426848337177</v>
      </c>
      <c r="AJ301" s="123">
        <v>20.650013256485185</v>
      </c>
      <c r="AK301" s="127">
        <v>46.090164392377829</v>
      </c>
      <c r="AL301" s="128">
        <v>110.5831008358696</v>
      </c>
      <c r="AM301" s="123">
        <v>15.869153161830473</v>
      </c>
      <c r="AN301" s="127">
        <v>32.017150435752313</v>
      </c>
      <c r="AO301" s="128">
        <v>72.658775021617814</v>
      </c>
      <c r="AP301" s="123">
        <v>15.349696953938057</v>
      </c>
      <c r="AQ301" s="127">
        <v>26.44690512726153</v>
      </c>
      <c r="AR301" s="128">
        <v>55.150719766651996</v>
      </c>
      <c r="AS301" s="123">
        <v>38.963264278119489</v>
      </c>
      <c r="AT301" s="127">
        <v>76.9632456048232</v>
      </c>
      <c r="AU301" s="128">
        <v>180.63925058494408</v>
      </c>
      <c r="AV301" s="123">
        <v>30.536220587460878</v>
      </c>
      <c r="AW301" s="127">
        <v>57.410183269547282</v>
      </c>
      <c r="AX301" s="128">
        <v>137.88957240465365</v>
      </c>
      <c r="AY301" s="123">
        <v>24.957012272960416</v>
      </c>
      <c r="AZ301" s="127">
        <v>43.745943813445557</v>
      </c>
      <c r="BA301" s="128">
        <v>95.566372781971054</v>
      </c>
      <c r="BB301" s="123">
        <v>23.347573558139874</v>
      </c>
      <c r="BC301" s="127">
        <v>37.225268189004488</v>
      </c>
      <c r="BD301" s="128">
        <v>76.056598423456663</v>
      </c>
      <c r="BE301" s="123">
        <v>40.567901108358988</v>
      </c>
      <c r="BF301" s="127">
        <v>80.0856500668406</v>
      </c>
      <c r="BG301" s="128">
        <v>187.91215356829787</v>
      </c>
      <c r="BH301" s="123">
        <v>31.799993427127816</v>
      </c>
      <c r="BI301" s="127">
        <v>59.752044328176936</v>
      </c>
      <c r="BJ301" s="128">
        <v>143.46567171117891</v>
      </c>
      <c r="BK301" s="123">
        <v>26.000895372731289</v>
      </c>
      <c r="BL301" s="127">
        <v>45.54907256428092</v>
      </c>
      <c r="BM301" s="128">
        <v>99.473411733833402</v>
      </c>
      <c r="BN301" s="123">
        <v>24.326239090913251</v>
      </c>
      <c r="BO301" s="127">
        <v>38.767720786078264</v>
      </c>
      <c r="BP301" s="128">
        <v>79.183737395910981</v>
      </c>
    </row>
    <row r="302" spans="1:68" x14ac:dyDescent="0.3">
      <c r="A302" s="24">
        <v>2032</v>
      </c>
      <c r="B302" s="123">
        <v>43.256236826330394</v>
      </c>
      <c r="C302" s="127">
        <v>69.619775113319676</v>
      </c>
      <c r="D302" s="128">
        <v>109.91113625129748</v>
      </c>
      <c r="E302" s="127">
        <v>41.539097404925975</v>
      </c>
      <c r="F302" s="127">
        <v>94.504194942247409</v>
      </c>
      <c r="G302" s="127">
        <v>295.801586280104</v>
      </c>
      <c r="H302" s="123">
        <v>28.315155201993004</v>
      </c>
      <c r="I302" s="127">
        <v>68.846548445598572</v>
      </c>
      <c r="J302" s="128">
        <v>229.22313072403264</v>
      </c>
      <c r="K302" s="127">
        <v>21.702436003017681</v>
      </c>
      <c r="L302" s="127">
        <v>60.972032422781517</v>
      </c>
      <c r="M302" s="127">
        <v>216.81487041631217</v>
      </c>
      <c r="N302" s="123">
        <v>18.619505582217538</v>
      </c>
      <c r="O302" s="127">
        <v>45.946239904742988</v>
      </c>
      <c r="P302" s="128">
        <v>175.93174706318004</v>
      </c>
      <c r="Q302" s="127">
        <v>18.986740495541625</v>
      </c>
      <c r="R302" s="127">
        <v>40.163950530089004</v>
      </c>
      <c r="S302" s="127">
        <v>120.66758166483638</v>
      </c>
      <c r="T302" s="123">
        <v>15.546685929232194</v>
      </c>
      <c r="U302" s="127">
        <v>28.779115165316323</v>
      </c>
      <c r="V302" s="128">
        <v>69.596925152537523</v>
      </c>
      <c r="W302" s="127">
        <v>14.975929154351832</v>
      </c>
      <c r="X302" s="127">
        <v>27.78556186545628</v>
      </c>
      <c r="Y302" s="127">
        <v>67.215077515158796</v>
      </c>
      <c r="Z302" s="123">
        <v>18.211484257803914</v>
      </c>
      <c r="AA302" s="127">
        <v>28.81265720674363</v>
      </c>
      <c r="AB302" s="128">
        <v>60.90944511733958</v>
      </c>
      <c r="AC302" s="123">
        <v>20.442808913437119</v>
      </c>
      <c r="AD302" s="127">
        <v>32.278444350327412</v>
      </c>
      <c r="AE302" s="128">
        <v>67.654903432110032</v>
      </c>
      <c r="AG302" s="123">
        <v>27.390024995657335</v>
      </c>
      <c r="AH302" s="127">
        <v>65.50240231448312</v>
      </c>
      <c r="AI302" s="128">
        <v>157.16467493259816</v>
      </c>
      <c r="AJ302" s="123">
        <v>19.325749285355268</v>
      </c>
      <c r="AK302" s="127">
        <v>44.694361332698698</v>
      </c>
      <c r="AL302" s="128">
        <v>108.83090886761535</v>
      </c>
      <c r="AM302" s="123">
        <v>15.752304967513906</v>
      </c>
      <c r="AN302" s="127">
        <v>31.464919116949154</v>
      </c>
      <c r="AO302" s="128">
        <v>71.576032370084022</v>
      </c>
      <c r="AP302" s="123">
        <v>15.236673634162671</v>
      </c>
      <c r="AQ302" s="127">
        <v>26.019522285190519</v>
      </c>
      <c r="AR302" s="128">
        <v>54.362254705216898</v>
      </c>
      <c r="AS302" s="123">
        <v>37.967821434352707</v>
      </c>
      <c r="AT302" s="127">
        <v>74.853244880486756</v>
      </c>
      <c r="AU302" s="128">
        <v>175.51745412312556</v>
      </c>
      <c r="AV302" s="123">
        <v>29.753016857431309</v>
      </c>
      <c r="AW302" s="127">
        <v>55.999156444566708</v>
      </c>
      <c r="AX302" s="128">
        <v>135.19196611131079</v>
      </c>
      <c r="AY302" s="123">
        <v>24.584755096666214</v>
      </c>
      <c r="AZ302" s="127">
        <v>43.102165009600569</v>
      </c>
      <c r="BA302" s="128">
        <v>94.148356369940572</v>
      </c>
      <c r="BB302" s="123">
        <v>23.160997021197307</v>
      </c>
      <c r="BC302" s="127">
        <v>36.914652576324166</v>
      </c>
      <c r="BD302" s="128">
        <v>75.40414609155674</v>
      </c>
      <c r="BE302" s="123">
        <v>39.533215288049846</v>
      </c>
      <c r="BF302" s="127">
        <v>77.892650910354121</v>
      </c>
      <c r="BG302" s="128">
        <v>182.58908890844424</v>
      </c>
      <c r="BH302" s="123">
        <v>30.985895094312955</v>
      </c>
      <c r="BI302" s="127">
        <v>58.285447869639526</v>
      </c>
      <c r="BJ302" s="128">
        <v>140.66183725481571</v>
      </c>
      <c r="BK302" s="123">
        <v>25.613847117866793</v>
      </c>
      <c r="BL302" s="127">
        <v>44.879792835772768</v>
      </c>
      <c r="BM302" s="128">
        <v>97.999331307831682</v>
      </c>
      <c r="BN302" s="123">
        <v>24.132152558771054</v>
      </c>
      <c r="BO302" s="127">
        <v>38.444672738165529</v>
      </c>
      <c r="BP302" s="128">
        <v>78.505261909836761</v>
      </c>
    </row>
    <row r="303" spans="1:68" x14ac:dyDescent="0.3">
      <c r="A303" s="24">
        <v>2033</v>
      </c>
      <c r="B303" s="123">
        <v>43.045905012365303</v>
      </c>
      <c r="C303" s="127">
        <v>69.426235620348407</v>
      </c>
      <c r="D303" s="128">
        <v>109.91113625129748</v>
      </c>
      <c r="E303" s="127">
        <v>41.337122354002773</v>
      </c>
      <c r="F303" s="127">
        <v>94.238602605353663</v>
      </c>
      <c r="G303" s="127">
        <v>295.801586280104</v>
      </c>
      <c r="H303" s="123">
        <v>28.087834312608301</v>
      </c>
      <c r="I303" s="127">
        <v>68.542978882633719</v>
      </c>
      <c r="J303" s="128">
        <v>229.22313072403264</v>
      </c>
      <c r="K303" s="127">
        <v>21.399943643226131</v>
      </c>
      <c r="L303" s="127">
        <v>60.526214286036542</v>
      </c>
      <c r="M303" s="127">
        <v>216.81487041631217</v>
      </c>
      <c r="N303" s="123">
        <v>18.33173516318573</v>
      </c>
      <c r="O303" s="127">
        <v>45.658848214795398</v>
      </c>
      <c r="P303" s="128">
        <v>175.93174706318004</v>
      </c>
      <c r="Q303" s="127">
        <v>18.690460062997509</v>
      </c>
      <c r="R303" s="127">
        <v>39.793033492785987</v>
      </c>
      <c r="S303" s="127">
        <v>120.08001347520764</v>
      </c>
      <c r="T303" s="123">
        <v>15.311597974600256</v>
      </c>
      <c r="U303" s="127">
        <v>28.488244759742646</v>
      </c>
      <c r="V303" s="128">
        <v>69.240785574924814</v>
      </c>
      <c r="W303" s="127">
        <v>14.75030853829975</v>
      </c>
      <c r="X303" s="127">
        <v>27.504091815470364</v>
      </c>
      <c r="Y303" s="127">
        <v>66.867215754705512</v>
      </c>
      <c r="Z303" s="123">
        <v>17.955723333238574</v>
      </c>
      <c r="AA303" s="127">
        <v>28.525129520912166</v>
      </c>
      <c r="AB303" s="128">
        <v>60.474587182041944</v>
      </c>
      <c r="AC303" s="123">
        <v>20.131324385948151</v>
      </c>
      <c r="AD303" s="127">
        <v>31.933234722620771</v>
      </c>
      <c r="AE303" s="128">
        <v>67.139440368584388</v>
      </c>
      <c r="AG303" s="123">
        <v>25.537522584382423</v>
      </c>
      <c r="AH303" s="127">
        <v>63.479304638105098</v>
      </c>
      <c r="AI303" s="128">
        <v>154.60116398213364</v>
      </c>
      <c r="AJ303" s="123">
        <v>18.120544672552878</v>
      </c>
      <c r="AK303" s="127">
        <v>43.374170346660726</v>
      </c>
      <c r="AL303" s="128">
        <v>107.10943238207618</v>
      </c>
      <c r="AM303" s="123">
        <v>15.635456773197344</v>
      </c>
      <c r="AN303" s="127">
        <v>30.925861734403036</v>
      </c>
      <c r="AO303" s="128">
        <v>70.511973604820668</v>
      </c>
      <c r="AP303" s="123">
        <v>15.123650314387287</v>
      </c>
      <c r="AQ303" s="127">
        <v>25.602013466453982</v>
      </c>
      <c r="AR303" s="128">
        <v>53.587242015908487</v>
      </c>
      <c r="AS303" s="123">
        <v>36.970361243093571</v>
      </c>
      <c r="AT303" s="127">
        <v>72.73892732681476</v>
      </c>
      <c r="AU303" s="128">
        <v>170.38513427249015</v>
      </c>
      <c r="AV303" s="123">
        <v>28.968208994742831</v>
      </c>
      <c r="AW303" s="127">
        <v>54.587394702386675</v>
      </c>
      <c r="AX303" s="128">
        <v>132.49435981796793</v>
      </c>
      <c r="AY303" s="123">
        <v>24.211977175836335</v>
      </c>
      <c r="AZ303" s="127">
        <v>42.458151849290537</v>
      </c>
      <c r="BA303" s="128">
        <v>92.73033995791009</v>
      </c>
      <c r="BB303" s="123">
        <v>22.97442048425474</v>
      </c>
      <c r="BC303" s="127">
        <v>36.604036963643829</v>
      </c>
      <c r="BD303" s="128">
        <v>74.751693759656817</v>
      </c>
      <c r="BE303" s="123">
        <v>38.496433087882878</v>
      </c>
      <c r="BF303" s="127">
        <v>75.69516580679948</v>
      </c>
      <c r="BG303" s="128">
        <v>177.25508859152836</v>
      </c>
      <c r="BH303" s="123">
        <v>30.170129784733728</v>
      </c>
      <c r="BI303" s="127">
        <v>56.818087702509523</v>
      </c>
      <c r="BJ303" s="128">
        <v>137.85800279845253</v>
      </c>
      <c r="BK303" s="123">
        <v>25.226257717582481</v>
      </c>
      <c r="BL303" s="127">
        <v>44.210269569562371</v>
      </c>
      <c r="BM303" s="128">
        <v>96.525250881829933</v>
      </c>
      <c r="BN303" s="123">
        <v>23.938066026628846</v>
      </c>
      <c r="BO303" s="127">
        <v>38.121624690252787</v>
      </c>
      <c r="BP303" s="128">
        <v>77.826786423762513</v>
      </c>
    </row>
    <row r="304" spans="1:68" x14ac:dyDescent="0.3">
      <c r="A304" s="24">
        <v>2034</v>
      </c>
      <c r="B304" s="123">
        <v>42.85911657214892</v>
      </c>
      <c r="C304" s="127">
        <v>69.249969522371941</v>
      </c>
      <c r="D304" s="128">
        <v>109.91113625129748</v>
      </c>
      <c r="E304" s="127">
        <v>41.157758275259958</v>
      </c>
      <c r="F304" s="127">
        <v>93.995198809040758</v>
      </c>
      <c r="G304" s="127">
        <v>295.801586280104</v>
      </c>
      <c r="H304" s="123">
        <v>27.860502038887766</v>
      </c>
      <c r="I304" s="127">
        <v>68.239259669653748</v>
      </c>
      <c r="J304" s="128">
        <v>229.22313072403264</v>
      </c>
      <c r="K304" s="127">
        <v>21.107246077146176</v>
      </c>
      <c r="L304" s="127">
        <v>60.10436404928393</v>
      </c>
      <c r="M304" s="127">
        <v>216.81487041631217</v>
      </c>
      <c r="N304" s="123">
        <v>18.043959401598286</v>
      </c>
      <c r="O304" s="127">
        <v>45.371440243155448</v>
      </c>
      <c r="P304" s="128">
        <v>175.93174706318004</v>
      </c>
      <c r="Q304" s="127">
        <v>18.394268774807912</v>
      </c>
      <c r="R304" s="127">
        <v>39.422366177964413</v>
      </c>
      <c r="S304" s="127">
        <v>119.49256712371736</v>
      </c>
      <c r="T304" s="123">
        <v>15.076978322666786</v>
      </c>
      <c r="U304" s="127">
        <v>28.198842649430905</v>
      </c>
      <c r="V304" s="128">
        <v>68.885620024003714</v>
      </c>
      <c r="W304" s="127">
        <v>14.525137365705937</v>
      </c>
      <c r="X304" s="127">
        <v>27.224038047457146</v>
      </c>
      <c r="Y304" s="127">
        <v>66.5203053814638</v>
      </c>
      <c r="Z304" s="123">
        <v>17.700397261455059</v>
      </c>
      <c r="AA304" s="127">
        <v>28.238094290065792</v>
      </c>
      <c r="AB304" s="128">
        <v>60.040784727169303</v>
      </c>
      <c r="AC304" s="123">
        <v>19.820369894520105</v>
      </c>
      <c r="AD304" s="127">
        <v>31.588614485970297</v>
      </c>
      <c r="AE304" s="128">
        <v>66.625228428999122</v>
      </c>
      <c r="AG304" s="123">
        <v>23.852008150177426</v>
      </c>
      <c r="AH304" s="127">
        <v>61.564057259421851</v>
      </c>
      <c r="AI304" s="128">
        <v>152.08290338021655</v>
      </c>
      <c r="AJ304" s="123">
        <v>17.023531619883833</v>
      </c>
      <c r="AK304" s="127">
        <v>42.123994078822577</v>
      </c>
      <c r="AL304" s="128">
        <v>105.41811665763429</v>
      </c>
      <c r="AM304" s="123">
        <v>15.518608578880777</v>
      </c>
      <c r="AN304" s="127">
        <v>30.399591577132867</v>
      </c>
      <c r="AO304" s="128">
        <v>69.466261294841686</v>
      </c>
      <c r="AP304" s="123">
        <v>15.010626994611901</v>
      </c>
      <c r="AQ304" s="127">
        <v>25.194088826530372</v>
      </c>
      <c r="AR304" s="128">
        <v>52.825438748886135</v>
      </c>
      <c r="AS304" s="123">
        <v>35.970811804943637</v>
      </c>
      <c r="AT304" s="127">
        <v>70.620139089583404</v>
      </c>
      <c r="AU304" s="128">
        <v>165.24191597354587</v>
      </c>
      <c r="AV304" s="123">
        <v>28.181739827205885</v>
      </c>
      <c r="AW304" s="127">
        <v>53.174871850145138</v>
      </c>
      <c r="AX304" s="128">
        <v>129.79675352462507</v>
      </c>
      <c r="AY304" s="123">
        <v>23.83865995084285</v>
      </c>
      <c r="AZ304" s="127">
        <v>41.813895979919295</v>
      </c>
      <c r="BA304" s="128">
        <v>91.312323545879622</v>
      </c>
      <c r="BB304" s="123">
        <v>22.787843947312172</v>
      </c>
      <c r="BC304" s="127">
        <v>36.293421350963484</v>
      </c>
      <c r="BD304" s="128">
        <v>74.099241427756922</v>
      </c>
      <c r="BE304" s="123">
        <v>37.457479791701708</v>
      </c>
      <c r="BF304" s="127">
        <v>73.49303487450193</v>
      </c>
      <c r="BG304" s="128">
        <v>171.9097628645863</v>
      </c>
      <c r="BH304" s="123">
        <v>29.352638086401338</v>
      </c>
      <c r="BI304" s="127">
        <v>55.349936607783455</v>
      </c>
      <c r="BJ304" s="128">
        <v>135.05416834208935</v>
      </c>
      <c r="BK304" s="123">
        <v>24.838107885151445</v>
      </c>
      <c r="BL304" s="127">
        <v>43.540494085829181</v>
      </c>
      <c r="BM304" s="128">
        <v>95.051170455828185</v>
      </c>
      <c r="BN304" s="123">
        <v>23.743979494486645</v>
      </c>
      <c r="BO304" s="127">
        <v>37.798576642340059</v>
      </c>
      <c r="BP304" s="128">
        <v>77.148310937688308</v>
      </c>
    </row>
    <row r="305" spans="1:68" x14ac:dyDescent="0.3">
      <c r="A305" s="24">
        <v>2035</v>
      </c>
      <c r="B305" s="123">
        <v>42.6913861041158</v>
      </c>
      <c r="C305" s="127">
        <v>69.087966692231362</v>
      </c>
      <c r="D305" s="128">
        <v>109.91113625129748</v>
      </c>
      <c r="E305" s="127">
        <v>40.996695604336857</v>
      </c>
      <c r="F305" s="127">
        <v>93.771429703201235</v>
      </c>
      <c r="G305" s="127">
        <v>295.801586280104</v>
      </c>
      <c r="H305" s="123">
        <v>27.633161569791465</v>
      </c>
      <c r="I305" s="127">
        <v>67.935401305844422</v>
      </c>
      <c r="J305" s="128">
        <v>229.22313072403264</v>
      </c>
      <c r="K305" s="127">
        <v>20.823923460971208</v>
      </c>
      <c r="L305" s="127">
        <v>59.705082234346733</v>
      </c>
      <c r="M305" s="127">
        <v>216.81487041631217</v>
      </c>
      <c r="N305" s="123">
        <v>17.756178313403137</v>
      </c>
      <c r="O305" s="127">
        <v>45.084016170695506</v>
      </c>
      <c r="P305" s="128">
        <v>175.93174706318004</v>
      </c>
      <c r="Q305" s="127">
        <v>18.098166364870298</v>
      </c>
      <c r="R305" s="127">
        <v>39.051945885145521</v>
      </c>
      <c r="S305" s="127">
        <v>118.90524211121495</v>
      </c>
      <c r="T305" s="123">
        <v>14.842825575513285</v>
      </c>
      <c r="U305" s="127">
        <v>27.910893662252182</v>
      </c>
      <c r="V305" s="128">
        <v>68.531424509348341</v>
      </c>
      <c r="W305" s="127">
        <v>14.30041429494813</v>
      </c>
      <c r="X305" s="127">
        <v>26.945385956073487</v>
      </c>
      <c r="Y305" s="127">
        <v>66.174342497757948</v>
      </c>
      <c r="Z305" s="123">
        <v>17.445505116648256</v>
      </c>
      <c r="AA305" s="127">
        <v>27.951550137221034</v>
      </c>
      <c r="AB305" s="128">
        <v>59.608033914611774</v>
      </c>
      <c r="AC305" s="123">
        <v>19.50994431050518</v>
      </c>
      <c r="AD305" s="127">
        <v>31.244581996635937</v>
      </c>
      <c r="AE305" s="128">
        <v>66.112263063812861</v>
      </c>
      <c r="AG305" s="123">
        <v>22.318238946389421</v>
      </c>
      <c r="AH305" s="127">
        <v>59.748767532983699</v>
      </c>
      <c r="AI305" s="128">
        <v>149.60907590555215</v>
      </c>
      <c r="AJ305" s="123">
        <v>16.024834347246856</v>
      </c>
      <c r="AK305" s="127">
        <v>40.938708747805613</v>
      </c>
      <c r="AL305" s="128">
        <v>103.75641699094423</v>
      </c>
      <c r="AM305" s="123">
        <v>15.401760384564215</v>
      </c>
      <c r="AN305" s="127">
        <v>29.885733872854615</v>
      </c>
      <c r="AO305" s="128">
        <v>68.438564103164623</v>
      </c>
      <c r="AP305" s="123">
        <v>14.897603674836517</v>
      </c>
      <c r="AQ305" s="127">
        <v>24.795467469094937</v>
      </c>
      <c r="AR305" s="128">
        <v>52.076606341983371</v>
      </c>
      <c r="AS305" s="123">
        <v>34.96909776271184</v>
      </c>
      <c r="AT305" s="127">
        <v>68.496718915397324</v>
      </c>
      <c r="AU305" s="128">
        <v>160.08740612940468</v>
      </c>
      <c r="AV305" s="123">
        <v>27.393549433100667</v>
      </c>
      <c r="AW305" s="127">
        <v>51.761560435310486</v>
      </c>
      <c r="AX305" s="128">
        <v>127.09914723128222</v>
      </c>
      <c r="AY305" s="123">
        <v>23.464783969486465</v>
      </c>
      <c r="AZ305" s="127">
        <v>41.169388647196897</v>
      </c>
      <c r="BA305" s="128">
        <v>89.894307133849139</v>
      </c>
      <c r="BB305" s="123">
        <v>22.601267410369601</v>
      </c>
      <c r="BC305" s="127">
        <v>35.982805738283162</v>
      </c>
      <c r="BD305" s="128">
        <v>73.446789095857</v>
      </c>
      <c r="BE305" s="123">
        <v>36.41627709009358</v>
      </c>
      <c r="BF305" s="127">
        <v>71.28609054274223</v>
      </c>
      <c r="BG305" s="128">
        <v>166.55270323061816</v>
      </c>
      <c r="BH305" s="123">
        <v>28.533357730080105</v>
      </c>
      <c r="BI305" s="127">
        <v>53.880966057439046</v>
      </c>
      <c r="BJ305" s="128">
        <v>132.25033388572615</v>
      </c>
      <c r="BK305" s="123">
        <v>24.449377406307704</v>
      </c>
      <c r="BL305" s="127">
        <v>42.87045728732182</v>
      </c>
      <c r="BM305" s="128">
        <v>93.577090029826451</v>
      </c>
      <c r="BN305" s="123">
        <v>23.54989296234444</v>
      </c>
      <c r="BO305" s="127">
        <v>37.475528594427324</v>
      </c>
      <c r="BP305" s="128">
        <v>76.46983545161406</v>
      </c>
    </row>
    <row r="306" spans="1:68" x14ac:dyDescent="0.3">
      <c r="A306" s="24">
        <v>2036</v>
      </c>
      <c r="B306" s="123">
        <v>42.538928795810492</v>
      </c>
      <c r="C306" s="127">
        <v>68.937577092484986</v>
      </c>
      <c r="D306" s="128">
        <v>109.91113625129748</v>
      </c>
      <c r="E306" s="127">
        <v>40.850301964249994</v>
      </c>
      <c r="F306" s="127">
        <v>93.563649474503535</v>
      </c>
      <c r="G306" s="127">
        <v>295.801586280104</v>
      </c>
      <c r="H306" s="123">
        <v>27.405816015376331</v>
      </c>
      <c r="I306" s="127">
        <v>67.631413564570238</v>
      </c>
      <c r="J306" s="128">
        <v>229.22313072403264</v>
      </c>
      <c r="K306" s="127">
        <v>20.549581419389668</v>
      </c>
      <c r="L306" s="127">
        <v>59.327107004179844</v>
      </c>
      <c r="M306" s="127">
        <v>216.81487041631217</v>
      </c>
      <c r="N306" s="123">
        <v>17.468391914484794</v>
      </c>
      <c r="O306" s="127">
        <v>44.796576175257123</v>
      </c>
      <c r="P306" s="128">
        <v>175.93174706318004</v>
      </c>
      <c r="Q306" s="127">
        <v>17.802152568140176</v>
      </c>
      <c r="R306" s="127">
        <v>38.681769959010268</v>
      </c>
      <c r="S306" s="127">
        <v>118.31803794127254</v>
      </c>
      <c r="T306" s="123">
        <v>14.60913834077957</v>
      </c>
      <c r="U306" s="127">
        <v>27.624382873681881</v>
      </c>
      <c r="V306" s="128">
        <v>68.178195062300475</v>
      </c>
      <c r="W306" s="127">
        <v>14.076137989738553</v>
      </c>
      <c r="X306" s="127">
        <v>26.668121174070386</v>
      </c>
      <c r="Y306" s="127">
        <v>65.829323227174015</v>
      </c>
      <c r="Z306" s="123">
        <v>17.191045975530528</v>
      </c>
      <c r="AA306" s="127">
        <v>27.665495690798529</v>
      </c>
      <c r="AB306" s="128">
        <v>59.176330924844919</v>
      </c>
      <c r="AC306" s="123">
        <v>19.200046508324672</v>
      </c>
      <c r="AD306" s="127">
        <v>30.90113561731194</v>
      </c>
      <c r="AE306" s="128">
        <v>65.600539745515633</v>
      </c>
      <c r="AG306" s="123">
        <v>20.922363591957144</v>
      </c>
      <c r="AH306" s="127">
        <v>58.026207462826328</v>
      </c>
      <c r="AI306" s="128">
        <v>147.17887909586224</v>
      </c>
      <c r="AJ306" s="123">
        <v>15.589089547267504</v>
      </c>
      <c r="AK306" s="127">
        <v>40.030602158353538</v>
      </c>
      <c r="AL306" s="128">
        <v>102.12379851600305</v>
      </c>
      <c r="AM306" s="123">
        <v>15.284912190247647</v>
      </c>
      <c r="AN306" s="127">
        <v>29.383925407377085</v>
      </c>
      <c r="AO306" s="128">
        <v>67.42855667675299</v>
      </c>
      <c r="AP306" s="123">
        <v>14.784580355061131</v>
      </c>
      <c r="AQ306" s="127">
        <v>24.405877160752148</v>
      </c>
      <c r="AR306" s="128">
        <v>51.340510541466436</v>
      </c>
      <c r="AS306" s="123">
        <v>33.965140091019528</v>
      </c>
      <c r="AT306" s="127">
        <v>66.368497701474581</v>
      </c>
      <c r="AU306" s="128">
        <v>154.92119250826735</v>
      </c>
      <c r="AV306" s="123">
        <v>26.603574973877404</v>
      </c>
      <c r="AW306" s="127">
        <v>50.347431669034911</v>
      </c>
      <c r="AX306" s="128">
        <v>124.40154093793936</v>
      </c>
      <c r="AY306" s="123">
        <v>23.090328832686602</v>
      </c>
      <c r="AZ306" s="127">
        <v>40.524620670697857</v>
      </c>
      <c r="BA306" s="128">
        <v>88.476290721818671</v>
      </c>
      <c r="BB306" s="123">
        <v>22.41469087342703</v>
      </c>
      <c r="BC306" s="127">
        <v>35.672190125602825</v>
      </c>
      <c r="BD306" s="128">
        <v>72.794336763957062</v>
      </c>
      <c r="BE306" s="123">
        <v>35.372742861751831</v>
      </c>
      <c r="BF306" s="127">
        <v>69.07415708390424</v>
      </c>
      <c r="BG306" s="128">
        <v>161.18348130807652</v>
      </c>
      <c r="BH306" s="123">
        <v>27.712223415433552</v>
      </c>
      <c r="BI306" s="127">
        <v>52.411146134785689</v>
      </c>
      <c r="BJ306" s="128">
        <v>129.44649942936297</v>
      </c>
      <c r="BK306" s="123">
        <v>24.060045082808607</v>
      </c>
      <c r="BL306" s="127">
        <v>42.200149633958986</v>
      </c>
      <c r="BM306" s="128">
        <v>92.103009603824717</v>
      </c>
      <c r="BN306" s="123">
        <v>23.355806430202229</v>
      </c>
      <c r="BO306" s="127">
        <v>37.152480546514568</v>
      </c>
      <c r="BP306" s="128">
        <v>75.791359965539797</v>
      </c>
    </row>
    <row r="307" spans="1:68" x14ac:dyDescent="0.3">
      <c r="A307" s="24">
        <v>2037</v>
      </c>
      <c r="B307" s="123">
        <v>42.398666636036566</v>
      </c>
      <c r="C307" s="127">
        <v>68.796510962062243</v>
      </c>
      <c r="D307" s="128">
        <v>109.91113625129748</v>
      </c>
      <c r="E307" s="127">
        <v>40.715619331325861</v>
      </c>
      <c r="F307" s="127">
        <v>93.368706792321944</v>
      </c>
      <c r="G307" s="127">
        <v>295.801586280104</v>
      </c>
      <c r="H307" s="123">
        <v>27.178468418090411</v>
      </c>
      <c r="I307" s="127">
        <v>67.327305573908902</v>
      </c>
      <c r="J307" s="128">
        <v>229.22313072403264</v>
      </c>
      <c r="K307" s="127">
        <v>20.283849238778657</v>
      </c>
      <c r="L307" s="127">
        <v>58.969298151185605</v>
      </c>
      <c r="M307" s="127">
        <v>216.81487041631217</v>
      </c>
      <c r="N307" s="123">
        <v>17.18060022066468</v>
      </c>
      <c r="O307" s="127">
        <v>44.509120431719012</v>
      </c>
      <c r="P307" s="128">
        <v>175.93174706318004</v>
      </c>
      <c r="Q307" s="127">
        <v>17.506227120625859</v>
      </c>
      <c r="R307" s="127">
        <v>38.311835788379554</v>
      </c>
      <c r="S307" s="127">
        <v>117.73095412016667</v>
      </c>
      <c r="T307" s="123">
        <v>14.375915231636196</v>
      </c>
      <c r="U307" s="127">
        <v>27.339295601277467</v>
      </c>
      <c r="V307" s="128">
        <v>67.825927735821537</v>
      </c>
      <c r="W307" s="127">
        <v>13.852307119097418</v>
      </c>
      <c r="X307" s="127">
        <v>26.392229566985822</v>
      </c>
      <c r="Y307" s="127">
        <v>65.485243714415134</v>
      </c>
      <c r="Z307" s="123">
        <v>16.937018917323499</v>
      </c>
      <c r="AA307" s="127">
        <v>27.379929584594976</v>
      </c>
      <c r="AB307" s="128">
        <v>58.745671956819237</v>
      </c>
      <c r="AC307" s="123">
        <v>18.890675365459124</v>
      </c>
      <c r="AD307" s="127">
        <v>30.558273717093378</v>
      </c>
      <c r="AE307" s="128">
        <v>65.090053968496591</v>
      </c>
      <c r="AG307" s="123">
        <v>19.651795066859112</v>
      </c>
      <c r="AH307" s="127">
        <v>56.389754724651375</v>
      </c>
      <c r="AI307" s="128">
        <v>144.79152498133743</v>
      </c>
      <c r="AJ307" s="123">
        <v>15.469916015750609</v>
      </c>
      <c r="AK307" s="127">
        <v>39.286234330155132</v>
      </c>
      <c r="AL307" s="128">
        <v>100.51973602648771</v>
      </c>
      <c r="AM307" s="123">
        <v>15.168063995931082</v>
      </c>
      <c r="AN307" s="127">
        <v>28.893814156365487</v>
      </c>
      <c r="AO307" s="128">
        <v>66.435919538446058</v>
      </c>
      <c r="AP307" s="123">
        <v>14.671557035285744</v>
      </c>
      <c r="AQ307" s="127">
        <v>24.025054055038218</v>
      </c>
      <c r="AR307" s="128">
        <v>50.616921324223995</v>
      </c>
      <c r="AS307" s="123">
        <v>32.958855870353652</v>
      </c>
      <c r="AT307" s="127">
        <v>64.235298012154004</v>
      </c>
      <c r="AU307" s="128">
        <v>149.7428425647845</v>
      </c>
      <c r="AV307" s="123">
        <v>25.81175051449047</v>
      </c>
      <c r="AW307" s="127">
        <v>48.932455343842207</v>
      </c>
      <c r="AX307" s="128">
        <v>121.70393464459647</v>
      </c>
      <c r="AY307" s="123">
        <v>22.715273136156899</v>
      </c>
      <c r="AZ307" s="127">
        <v>39.879582417612689</v>
      </c>
      <c r="BA307" s="128">
        <v>87.058274309788203</v>
      </c>
      <c r="BB307" s="123">
        <v>22.228114336484463</v>
      </c>
      <c r="BC307" s="127">
        <v>35.361574512922502</v>
      </c>
      <c r="BD307" s="128">
        <v>72.141884432057168</v>
      </c>
      <c r="BE307" s="123">
        <v>34.32679093867732</v>
      </c>
      <c r="BF307" s="127">
        <v>66.857050111040351</v>
      </c>
      <c r="BG307" s="128">
        <v>155.8016476060524</v>
      </c>
      <c r="BH307" s="123">
        <v>26.889166624319863</v>
      </c>
      <c r="BI307" s="127">
        <v>50.940445448927697</v>
      </c>
      <c r="BJ307" s="128">
        <v>126.64266497299977</v>
      </c>
      <c r="BK307" s="123">
        <v>23.670088671825425</v>
      </c>
      <c r="BL307" s="127">
        <v>41.529561115552688</v>
      </c>
      <c r="BM307" s="128">
        <v>90.628929177822954</v>
      </c>
      <c r="BN307" s="123">
        <v>23.161719898060028</v>
      </c>
      <c r="BO307" s="127">
        <v>36.829432498601847</v>
      </c>
      <c r="BP307" s="128">
        <v>75.112884479465592</v>
      </c>
    </row>
    <row r="308" spans="1:68" x14ac:dyDescent="0.3">
      <c r="A308" s="24">
        <v>2038</v>
      </c>
      <c r="B308" s="123">
        <v>42.268223000407929</v>
      </c>
      <c r="C308" s="127">
        <v>68.662837877245551</v>
      </c>
      <c r="D308" s="128">
        <v>109.91113625129748</v>
      </c>
      <c r="E308" s="127">
        <v>40.59036543231673</v>
      </c>
      <c r="F308" s="127">
        <v>93.183945381252983</v>
      </c>
      <c r="G308" s="127">
        <v>295.801586280104</v>
      </c>
      <c r="H308" s="123">
        <v>26.951121763445428</v>
      </c>
      <c r="I308" s="127">
        <v>67.023085887948639</v>
      </c>
      <c r="J308" s="128">
        <v>229.22313072403264</v>
      </c>
      <c r="K308" s="127">
        <v>20.026378217738326</v>
      </c>
      <c r="L308" s="127">
        <v>58.630623457057645</v>
      </c>
      <c r="M308" s="127">
        <v>216.81487041631217</v>
      </c>
      <c r="N308" s="123">
        <v>16.89280324770143</v>
      </c>
      <c r="O308" s="127">
        <v>44.22164911206356</v>
      </c>
      <c r="P308" s="128">
        <v>175.93174706318004</v>
      </c>
      <c r="Q308" s="127">
        <v>17.210389759383251</v>
      </c>
      <c r="R308" s="127">
        <v>37.942140805223097</v>
      </c>
      <c r="S308" s="127">
        <v>117.14399015685984</v>
      </c>
      <c r="T308" s="123">
        <v>14.143154866756985</v>
      </c>
      <c r="U308" s="127">
        <v>27.055617399311288</v>
      </c>
      <c r="V308" s="128">
        <v>67.474618604345395</v>
      </c>
      <c r="W308" s="127">
        <v>13.628920357326598</v>
      </c>
      <c r="X308" s="127">
        <v>26.117697227986593</v>
      </c>
      <c r="Y308" s="127">
        <v>65.142100125157839</v>
      </c>
      <c r="Z308" s="123">
        <v>16.683423023749572</v>
      </c>
      <c r="AA308" s="127">
        <v>27.094850457755197</v>
      </c>
      <c r="AB308" s="128">
        <v>58.316053227846069</v>
      </c>
      <c r="AC308" s="123">
        <v>18.581829762437835</v>
      </c>
      <c r="AD308" s="127">
        <v>30.215994671442953</v>
      </c>
      <c r="AE308" s="128">
        <v>64.580801248909168</v>
      </c>
      <c r="AG308" s="123">
        <v>18.495095300601008</v>
      </c>
      <c r="AH308" s="127">
        <v>54.833339018200547</v>
      </c>
      <c r="AI308" s="128">
        <v>142.44623982290292</v>
      </c>
      <c r="AJ308" s="123">
        <v>15.350742484233715</v>
      </c>
      <c r="AK308" s="127">
        <v>38.560025736651568</v>
      </c>
      <c r="AL308" s="128">
        <v>98.943713801301442</v>
      </c>
      <c r="AM308" s="123">
        <v>15.051215801614521</v>
      </c>
      <c r="AN308" s="127">
        <v>28.415058929066795</v>
      </c>
      <c r="AO308" s="128">
        <v>65.460338980840689</v>
      </c>
      <c r="AP308" s="123">
        <v>14.558533715510359</v>
      </c>
      <c r="AQ308" s="127">
        <v>23.652742425388844</v>
      </c>
      <c r="AR308" s="128">
        <v>49.905612821362105</v>
      </c>
      <c r="AS308" s="123">
        <v>31.950158044210845</v>
      </c>
      <c r="AT308" s="127">
        <v>62.096933559218392</v>
      </c>
      <c r="AU308" s="128">
        <v>144.55190217321049</v>
      </c>
      <c r="AV308" s="123">
        <v>25.018006830286843</v>
      </c>
      <c r="AW308" s="127">
        <v>47.768812127341612</v>
      </c>
      <c r="AX308" s="128">
        <v>119.00632835125361</v>
      </c>
      <c r="AY308" s="123">
        <v>22.339594407716167</v>
      </c>
      <c r="AZ308" s="127">
        <v>39.23426377453535</v>
      </c>
      <c r="BA308" s="128">
        <v>85.640257897757692</v>
      </c>
      <c r="BB308" s="123">
        <v>22.041537799541892</v>
      </c>
      <c r="BC308" s="127">
        <v>35.050958900242172</v>
      </c>
      <c r="BD308" s="128">
        <v>71.489432100157259</v>
      </c>
      <c r="BE308" s="123">
        <v>33.278330853808306</v>
      </c>
      <c r="BF308" s="127">
        <v>64.634576037836069</v>
      </c>
      <c r="BG308" s="128">
        <v>150.40673020779874</v>
      </c>
      <c r="BH308" s="123">
        <v>26.064115420114931</v>
      </c>
      <c r="BI308" s="127">
        <v>49.730924192326391</v>
      </c>
      <c r="BJ308" s="128">
        <v>123.83883051663656</v>
      </c>
      <c r="BK308" s="123">
        <v>23.279484820798316</v>
      </c>
      <c r="BL308" s="127">
        <v>40.858681222490212</v>
      </c>
      <c r="BM308" s="128">
        <v>89.15484875182122</v>
      </c>
      <c r="BN308" s="123">
        <v>22.967633365917823</v>
      </c>
      <c r="BO308" s="127">
        <v>36.506384450689119</v>
      </c>
      <c r="BP308" s="128">
        <v>74.434408993391344</v>
      </c>
    </row>
    <row r="309" spans="1:68" x14ac:dyDescent="0.3">
      <c r="A309" s="24">
        <v>2039</v>
      </c>
      <c r="B309" s="123">
        <v>42.145925224197612</v>
      </c>
      <c r="C309" s="127">
        <v>68.53498781891436</v>
      </c>
      <c r="D309" s="128">
        <v>109.91113625129748</v>
      </c>
      <c r="E309" s="127">
        <v>40.472934007239516</v>
      </c>
      <c r="F309" s="127">
        <v>93.007204687961476</v>
      </c>
      <c r="G309" s="127">
        <v>295.801586280104</v>
      </c>
      <c r="H309" s="123">
        <v>26.723778990154319</v>
      </c>
      <c r="I309" s="127">
        <v>66.718762550244207</v>
      </c>
      <c r="J309" s="128">
        <v>229.22313072403264</v>
      </c>
      <c r="K309" s="127">
        <v>19.776840159632446</v>
      </c>
      <c r="L309" s="127">
        <v>58.310147024539248</v>
      </c>
      <c r="M309" s="127">
        <v>216.81487041631217</v>
      </c>
      <c r="N309" s="123">
        <v>16.605001011291218</v>
      </c>
      <c r="O309" s="127">
        <v>43.934162385441134</v>
      </c>
      <c r="P309" s="128">
        <v>175.93174706318004</v>
      </c>
      <c r="Q309" s="127">
        <v>16.91464022251067</v>
      </c>
      <c r="R309" s="127">
        <v>37.572682483696276</v>
      </c>
      <c r="S309" s="127">
        <v>116.55714556298219</v>
      </c>
      <c r="T309" s="123">
        <v>13.91085587029181</v>
      </c>
      <c r="U309" s="127">
        <v>26.773334053553107</v>
      </c>
      <c r="V309" s="128">
        <v>67.124263763632598</v>
      </c>
      <c r="W309" s="127">
        <v>13.40597638398347</v>
      </c>
      <c r="X309" s="127">
        <v>25.844510472853944</v>
      </c>
      <c r="Y309" s="127">
        <v>64.799888645909633</v>
      </c>
      <c r="Z309" s="123">
        <v>16.430257379023505</v>
      </c>
      <c r="AA309" s="127">
        <v>26.8102569547444</v>
      </c>
      <c r="AB309" s="128">
        <v>57.887470973490601</v>
      </c>
      <c r="AC309" s="123">
        <v>18.27350858282874</v>
      </c>
      <c r="AD309" s="127">
        <v>29.874296862158079</v>
      </c>
      <c r="AE309" s="128">
        <v>64.072777124544146</v>
      </c>
      <c r="AG309" s="123">
        <v>17.652153424121547</v>
      </c>
      <c r="AH309" s="127">
        <v>53.447541815925717</v>
      </c>
      <c r="AI309" s="128">
        <v>140.14226385521181</v>
      </c>
      <c r="AJ309" s="123">
        <v>15.23156895271682</v>
      </c>
      <c r="AK309" s="127">
        <v>37.851447557794891</v>
      </c>
      <c r="AL309" s="128">
        <v>97.395225433270468</v>
      </c>
      <c r="AM309" s="123">
        <v>14.934367607297954</v>
      </c>
      <c r="AN309" s="127">
        <v>27.947329023603665</v>
      </c>
      <c r="AO309" s="128">
        <v>64.50150696208938</v>
      </c>
      <c r="AP309" s="123">
        <v>14.445510395734972</v>
      </c>
      <c r="AQ309" s="127">
        <v>23.288694406777989</v>
      </c>
      <c r="AR309" s="128">
        <v>49.206363243179055</v>
      </c>
      <c r="AS309" s="123">
        <v>30.938955157837341</v>
      </c>
      <c r="AT309" s="127">
        <v>59.953208642836479</v>
      </c>
      <c r="AU309" s="128">
        <v>139.34789426455416</v>
      </c>
      <c r="AV309" s="123">
        <v>24.222271199260057</v>
      </c>
      <c r="AW309" s="127">
        <v>46.359152304707493</v>
      </c>
      <c r="AX309" s="128">
        <v>116.30872205791076</v>
      </c>
      <c r="AY309" s="123">
        <v>21.96326903984837</v>
      </c>
      <c r="AZ309" s="127">
        <v>38.588654117112362</v>
      </c>
      <c r="BA309" s="128">
        <v>84.222241485727238</v>
      </c>
      <c r="BB309" s="123">
        <v>21.854961262599325</v>
      </c>
      <c r="BC309" s="127">
        <v>34.740343287561821</v>
      </c>
      <c r="BD309" s="128">
        <v>70.836979768257322</v>
      </c>
      <c r="BE309" s="123">
        <v>32.227267569525125</v>
      </c>
      <c r="BF309" s="127">
        <v>62.406531497649759</v>
      </c>
      <c r="BG309" s="128">
        <v>144.99823335448994</v>
      </c>
      <c r="BH309" s="123">
        <v>25.236994231827552</v>
      </c>
      <c r="BI309" s="127">
        <v>48.265748290334429</v>
      </c>
      <c r="BJ309" s="128">
        <v>121.0349960602734</v>
      </c>
      <c r="BK309" s="123">
        <v>22.888208997354301</v>
      </c>
      <c r="BL309" s="127">
        <v>40.187498914194471</v>
      </c>
      <c r="BM309" s="128">
        <v>87.680768325819457</v>
      </c>
      <c r="BN309" s="123">
        <v>22.773546833775619</v>
      </c>
      <c r="BO309" s="127">
        <v>36.183336402776376</v>
      </c>
      <c r="BP309" s="128">
        <v>73.755933507317124</v>
      </c>
    </row>
    <row r="310" spans="1:68" x14ac:dyDescent="0.3">
      <c r="A310" s="24">
        <v>2040</v>
      </c>
      <c r="B310" s="123">
        <v>42.030803337041185</v>
      </c>
      <c r="C310" s="127">
        <v>68.411750203648907</v>
      </c>
      <c r="D310" s="128">
        <v>109.91113625129748</v>
      </c>
      <c r="E310" s="127">
        <v>40.36239359526293</v>
      </c>
      <c r="F310" s="127">
        <v>92.836818535660754</v>
      </c>
      <c r="G310" s="127">
        <v>295.801586280104</v>
      </c>
      <c r="H310" s="123">
        <v>26.496442999813262</v>
      </c>
      <c r="I310" s="127">
        <v>66.414343150607323</v>
      </c>
      <c r="J310" s="128">
        <v>229.22313072403264</v>
      </c>
      <c r="K310" s="127">
        <v>19.534925993544803</v>
      </c>
      <c r="L310" s="127">
        <v>58.007019259216428</v>
      </c>
      <c r="M310" s="127">
        <v>216.81487041631217</v>
      </c>
      <c r="N310" s="123">
        <v>16.317193527068028</v>
      </c>
      <c r="O310" s="127">
        <v>43.646660418232884</v>
      </c>
      <c r="P310" s="128">
        <v>175.93174706318004</v>
      </c>
      <c r="Q310" s="127">
        <v>16.618978249143638</v>
      </c>
      <c r="R310" s="127">
        <v>37.203458339203848</v>
      </c>
      <c r="S310" s="127">
        <v>115.97041985281345</v>
      </c>
      <c r="T310" s="123">
        <v>13.67901687183944</v>
      </c>
      <c r="U310" s="127">
        <v>26.492431576197482</v>
      </c>
      <c r="V310" s="128">
        <v>66.774859330625816</v>
      </c>
      <c r="W310" s="127">
        <v>13.183473883854884</v>
      </c>
      <c r="X310" s="127">
        <v>25.57265583510846</v>
      </c>
      <c r="Y310" s="127">
        <v>64.458605483867771</v>
      </c>
      <c r="Z310" s="123">
        <v>16.177521069844122</v>
      </c>
      <c r="AA310" s="127">
        <v>26.526147725320609</v>
      </c>
      <c r="AB310" s="128">
        <v>57.459921447458925</v>
      </c>
      <c r="AC310" s="123">
        <v>17.965710713228152</v>
      </c>
      <c r="AD310" s="127">
        <v>29.533178677338032</v>
      </c>
      <c r="AE310" s="128">
        <v>63.565977154695965</v>
      </c>
      <c r="AG310" s="123">
        <v>17.514040963812235</v>
      </c>
      <c r="AH310" s="127">
        <v>52.410384655565259</v>
      </c>
      <c r="AI310" s="128">
        <v>137.87885103427928</v>
      </c>
      <c r="AJ310" s="123">
        <v>15.112395421199924</v>
      </c>
      <c r="AK310" s="127">
        <v>37.159987212807323</v>
      </c>
      <c r="AL310" s="128">
        <v>95.873773660934589</v>
      </c>
      <c r="AM310" s="123">
        <v>14.817519412981389</v>
      </c>
      <c r="AN310" s="127">
        <v>27.490303893457192</v>
      </c>
      <c r="AO310" s="128">
        <v>63.559121003580458</v>
      </c>
      <c r="AP310" s="123">
        <v>14.332487075959586</v>
      </c>
      <c r="AQ310" s="127">
        <v>22.932669745742626</v>
      </c>
      <c r="AR310" s="128">
        <v>48.518954805495163</v>
      </c>
      <c r="AS310" s="123">
        <v>29.92515107691634</v>
      </c>
      <c r="AT310" s="127">
        <v>57.803917549594772</v>
      </c>
      <c r="AU310" s="128">
        <v>134.13031735912588</v>
      </c>
      <c r="AV310" s="123">
        <v>23.424467178359141</v>
      </c>
      <c r="AW310" s="127">
        <v>44.93942385066606</v>
      </c>
      <c r="AX310" s="128">
        <v>113.61111576456787</v>
      </c>
      <c r="AY310" s="123">
        <v>21.586272217086467</v>
      </c>
      <c r="AZ310" s="127">
        <v>37.942742277362647</v>
      </c>
      <c r="BA310" s="128">
        <v>82.804225073696756</v>
      </c>
      <c r="BB310" s="123">
        <v>21.66838472565675</v>
      </c>
      <c r="BC310" s="127">
        <v>34.429727674881484</v>
      </c>
      <c r="BD310" s="128">
        <v>70.184527436357399</v>
      </c>
      <c r="BE310" s="123">
        <v>31.173501185316773</v>
      </c>
      <c r="BF310" s="127">
        <v>60.172702717961741</v>
      </c>
      <c r="BG310" s="128">
        <v>139.5756359202791</v>
      </c>
      <c r="BH310" s="123">
        <v>24.407723621645012</v>
      </c>
      <c r="BI310" s="127">
        <v>46.790109304437401</v>
      </c>
      <c r="BJ310" s="128">
        <v>118.23116160391021</v>
      </c>
      <c r="BK310" s="123">
        <v>22.496235413846261</v>
      </c>
      <c r="BL310" s="127">
        <v>39.516002585163271</v>
      </c>
      <c r="BM310" s="128">
        <v>86.206687899817737</v>
      </c>
      <c r="BN310" s="123">
        <v>22.579460301633411</v>
      </c>
      <c r="BO310" s="127">
        <v>35.860288354863648</v>
      </c>
      <c r="BP310" s="128">
        <v>73.077458021242876</v>
      </c>
    </row>
    <row r="311" spans="1:68" x14ac:dyDescent="0.3">
      <c r="A311" s="24">
        <v>2041</v>
      </c>
      <c r="B311" s="123">
        <v>41.92259156728386</v>
      </c>
      <c r="C311" s="127">
        <v>68.292275991444299</v>
      </c>
      <c r="D311" s="128">
        <v>109.91113625129748</v>
      </c>
      <c r="E311" s="127">
        <v>40.25848730704859</v>
      </c>
      <c r="F311" s="127">
        <v>92.667927296230957</v>
      </c>
      <c r="G311" s="127">
        <v>295.801586280104</v>
      </c>
      <c r="H311" s="123">
        <v>26.26911666620078</v>
      </c>
      <c r="I311" s="127">
        <v>66.109834876225463</v>
      </c>
      <c r="J311" s="128">
        <v>229.22313072403264</v>
      </c>
      <c r="K311" s="127">
        <v>19.30034451149443</v>
      </c>
      <c r="L311" s="127">
        <v>57.720468240434606</v>
      </c>
      <c r="M311" s="127">
        <v>216.81487041631217</v>
      </c>
      <c r="N311" s="123">
        <v>16.029380810604021</v>
      </c>
      <c r="O311" s="127">
        <v>43.359143374111468</v>
      </c>
      <c r="P311" s="128">
        <v>175.93174706318004</v>
      </c>
      <c r="Q311" s="127">
        <v>16.323403579449781</v>
      </c>
      <c r="R311" s="127">
        <v>36.834465927489568</v>
      </c>
      <c r="S311" s="127">
        <v>115.38381254326509</v>
      </c>
      <c r="T311" s="123">
        <v>13.447636506420602</v>
      </c>
      <c r="U311" s="127">
        <v>26.212896200931151</v>
      </c>
      <c r="V311" s="128">
        <v>66.42640144330629</v>
      </c>
      <c r="W311" s="127">
        <v>12.961411546931302</v>
      </c>
      <c r="X311" s="127">
        <v>25.302120061269388</v>
      </c>
      <c r="Y311" s="127">
        <v>64.118246866779089</v>
      </c>
      <c r="Z311" s="123">
        <v>15.925213185385882</v>
      </c>
      <c r="AA311" s="127">
        <v>26.242521424507345</v>
      </c>
      <c r="AB311" s="128">
        <v>57.0334009214899</v>
      </c>
      <c r="AC311" s="123">
        <v>17.65843504325079</v>
      </c>
      <c r="AD311" s="127">
        <v>29.192638511351625</v>
      </c>
      <c r="AE311" s="128">
        <v>63.060396920033646</v>
      </c>
      <c r="AG311" s="123">
        <v>17.375928503502927</v>
      </c>
      <c r="AH311" s="127">
        <v>51.398830358327963</v>
      </c>
      <c r="AI311" s="128">
        <v>135.65526878967481</v>
      </c>
      <c r="AJ311" s="123">
        <v>14.993221889683033</v>
      </c>
      <c r="AK311" s="127">
        <v>36.485147844163755</v>
      </c>
      <c r="AL311" s="128">
        <v>94.378870203375442</v>
      </c>
      <c r="AM311" s="123">
        <v>14.700671218664825</v>
      </c>
      <c r="AN311" s="127">
        <v>27.043672824771207</v>
      </c>
      <c r="AO311" s="128">
        <v>62.632884089465932</v>
      </c>
      <c r="AP311" s="123">
        <v>14.219463756184201</v>
      </c>
      <c r="AQ311" s="127">
        <v>22.584435558518464</v>
      </c>
      <c r="AR311" s="128">
        <v>47.843173657313002</v>
      </c>
      <c r="AS311" s="123">
        <v>29.2340285423384</v>
      </c>
      <c r="AT311" s="127">
        <v>56.345117891557472</v>
      </c>
      <c r="AU311" s="128">
        <v>130.59599204474341</v>
      </c>
      <c r="AV311" s="123">
        <v>22.87736868970622</v>
      </c>
      <c r="AW311" s="127">
        <v>44.007943798649158</v>
      </c>
      <c r="AX311" s="128">
        <v>110.91350947122501</v>
      </c>
      <c r="AY311" s="123">
        <v>21.39905091766958</v>
      </c>
      <c r="AZ311" s="127">
        <v>37.382237230691793</v>
      </c>
      <c r="BA311" s="128">
        <v>81.386208661666288</v>
      </c>
      <c r="BB311" s="123">
        <v>21.481808188714179</v>
      </c>
      <c r="BC311" s="127">
        <v>34.119112062201154</v>
      </c>
      <c r="BD311" s="128">
        <v>69.532075104457491</v>
      </c>
      <c r="BE311" s="123">
        <v>30.455057841292486</v>
      </c>
      <c r="BF311" s="127">
        <v>58.656416326110339</v>
      </c>
      <c r="BG311" s="128">
        <v>135.90223377566824</v>
      </c>
      <c r="BH311" s="123">
        <v>23.838980278103815</v>
      </c>
      <c r="BI311" s="127">
        <v>45.821846523927142</v>
      </c>
      <c r="BJ311" s="128">
        <v>115.42732714754699</v>
      </c>
      <c r="BK311" s="123">
        <v>22.301472071090306</v>
      </c>
      <c r="BL311" s="127">
        <v>38.933258977916573</v>
      </c>
      <c r="BM311" s="128">
        <v>84.732607473816003</v>
      </c>
      <c r="BN311" s="123">
        <v>22.385373769491206</v>
      </c>
      <c r="BO311" s="127">
        <v>35.537240306950906</v>
      </c>
      <c r="BP311" s="128">
        <v>72.398982535168642</v>
      </c>
    </row>
    <row r="312" spans="1:68" x14ac:dyDescent="0.3">
      <c r="A312" s="24">
        <v>2042</v>
      </c>
      <c r="B312" s="123">
        <v>41.821727367157685</v>
      </c>
      <c r="C312" s="127">
        <v>68.176073534251628</v>
      </c>
      <c r="D312" s="128">
        <v>109.91113625129748</v>
      </c>
      <c r="E312" s="127">
        <v>40.161636907203864</v>
      </c>
      <c r="F312" s="127">
        <v>92.503590566162757</v>
      </c>
      <c r="G312" s="127">
        <v>295.801586280104</v>
      </c>
      <c r="H312" s="123">
        <v>26.041802844261735</v>
      </c>
      <c r="I312" s="127">
        <v>65.805244557956343</v>
      </c>
      <c r="J312" s="128">
        <v>229.22313072403264</v>
      </c>
      <c r="K312" s="127">
        <v>19.072821211162381</v>
      </c>
      <c r="L312" s="127">
        <v>57.44979226906586</v>
      </c>
      <c r="M312" s="127">
        <v>216.81487041631217</v>
      </c>
      <c r="N312" s="123">
        <v>15.741562877409773</v>
      </c>
      <c r="O312" s="127">
        <v>43.071611414100445</v>
      </c>
      <c r="P312" s="128">
        <v>175.93174706318004</v>
      </c>
      <c r="Q312" s="127">
        <v>16.027915954623762</v>
      </c>
      <c r="R312" s="127">
        <v>36.465702843751124</v>
      </c>
      <c r="S312" s="127">
        <v>114.79732315386235</v>
      </c>
      <c r="T312" s="123">
        <v>13.216713414451213</v>
      </c>
      <c r="U312" s="127">
        <v>25.934714378135666</v>
      </c>
      <c r="V312" s="128">
        <v>66.078886260551542</v>
      </c>
      <c r="W312" s="127">
        <v>12.739788068381083</v>
      </c>
      <c r="X312" s="127">
        <v>25.032890106243993</v>
      </c>
      <c r="Y312" s="127">
        <v>63.7788090428011</v>
      </c>
      <c r="Z312" s="123">
        <v>15.67333281729073</v>
      </c>
      <c r="AA312" s="127">
        <v>25.95937671256625</v>
      </c>
      <c r="AB312" s="128">
        <v>56.607905685247069</v>
      </c>
      <c r="AC312" s="123">
        <v>17.351680465519191</v>
      </c>
      <c r="AD312" s="127">
        <v>28.852674764804572</v>
      </c>
      <c r="AE312" s="128">
        <v>62.556032022474142</v>
      </c>
      <c r="AG312" s="123">
        <v>17.237816043193618</v>
      </c>
      <c r="AH312" s="127">
        <v>50.412137018462026</v>
      </c>
      <c r="AI312" s="128">
        <v>133.47079778118999</v>
      </c>
      <c r="AJ312" s="123">
        <v>14.874048358166137</v>
      </c>
      <c r="AK312" s="127">
        <v>35.82644781831047</v>
      </c>
      <c r="AL312" s="128">
        <v>92.910035598028287</v>
      </c>
      <c r="AM312" s="123">
        <v>14.583823024348259</v>
      </c>
      <c r="AN312" s="127">
        <v>26.607134624122732</v>
      </c>
      <c r="AO312" s="128">
        <v>61.722504568004013</v>
      </c>
      <c r="AP312" s="123">
        <v>14.106440436408814</v>
      </c>
      <c r="AQ312" s="127">
        <v>22.243766097020124</v>
      </c>
      <c r="AR312" s="128">
        <v>47.17880980978417</v>
      </c>
      <c r="AS312" s="123">
        <v>28.541314793435813</v>
      </c>
      <c r="AT312" s="127">
        <v>54.882913266997612</v>
      </c>
      <c r="AU312" s="128">
        <v>127.05336624316536</v>
      </c>
      <c r="AV312" s="123">
        <v>22.328982911154863</v>
      </c>
      <c r="AW312" s="127">
        <v>43.075873987748025</v>
      </c>
      <c r="AX312" s="128">
        <v>108.21590317788218</v>
      </c>
      <c r="AY312" s="123">
        <v>21.211817303193492</v>
      </c>
      <c r="AZ312" s="127">
        <v>36.821726641737619</v>
      </c>
      <c r="BA312" s="128">
        <v>79.96819224963582</v>
      </c>
      <c r="BB312" s="123">
        <v>21.295231651771612</v>
      </c>
      <c r="BC312" s="127">
        <v>33.808496449520824</v>
      </c>
      <c r="BD312" s="128">
        <v>68.879622772557568</v>
      </c>
      <c r="BE312" s="123">
        <v>29.734960944931618</v>
      </c>
      <c r="BF312" s="127">
        <v>57.136591573484942</v>
      </c>
      <c r="BG312" s="128">
        <v>132.22020596084801</v>
      </c>
      <c r="BH312" s="123">
        <v>23.268899213310089</v>
      </c>
      <c r="BI312" s="127">
        <v>44.85297087991642</v>
      </c>
      <c r="BJ312" s="128">
        <v>112.62349269118384</v>
      </c>
      <c r="BK312" s="123">
        <v>22.10669593081575</v>
      </c>
      <c r="BL312" s="127">
        <v>38.350509611259987</v>
      </c>
      <c r="BM312" s="128">
        <v>83.258527047814255</v>
      </c>
      <c r="BN312" s="123">
        <v>22.191287237349002</v>
      </c>
      <c r="BO312" s="127">
        <v>35.214192259038178</v>
      </c>
      <c r="BP312" s="128">
        <v>71.720507049094408</v>
      </c>
    </row>
    <row r="313" spans="1:68" x14ac:dyDescent="0.3">
      <c r="A313" s="24">
        <v>2043</v>
      </c>
      <c r="B313" s="123">
        <v>41.729348844326722</v>
      </c>
      <c r="C313" s="127">
        <v>68.06301117220012</v>
      </c>
      <c r="D313" s="128">
        <v>109.91113625129748</v>
      </c>
      <c r="E313" s="127">
        <v>40.072935332309015</v>
      </c>
      <c r="F313" s="127">
        <v>92.34362589107981</v>
      </c>
      <c r="G313" s="127">
        <v>295.801586280104</v>
      </c>
      <c r="H313" s="123">
        <v>25.814504378839192</v>
      </c>
      <c r="I313" s="127">
        <v>65.50057871252973</v>
      </c>
      <c r="J313" s="128">
        <v>229.22313072403264</v>
      </c>
      <c r="K313" s="127">
        <v>18.852097234515249</v>
      </c>
      <c r="L313" s="127">
        <v>57.194353418205203</v>
      </c>
      <c r="M313" s="127">
        <v>216.81487041631217</v>
      </c>
      <c r="N313" s="123">
        <v>15.453739742934657</v>
      </c>
      <c r="O313" s="127">
        <v>42.78406469663188</v>
      </c>
      <c r="P313" s="128">
        <v>175.93174706318004</v>
      </c>
      <c r="Q313" s="127">
        <v>15.732515116882162</v>
      </c>
      <c r="R313" s="127">
        <v>36.097166721779203</v>
      </c>
      <c r="S313" s="127">
        <v>114.2109512067267</v>
      </c>
      <c r="T313" s="123">
        <v>12.986246241715721</v>
      </c>
      <c r="U313" s="127">
        <v>25.65787277022109</v>
      </c>
      <c r="V313" s="128">
        <v>65.73230996199436</v>
      </c>
      <c r="W313" s="127">
        <v>12.518602148524947</v>
      </c>
      <c r="X313" s="127">
        <v>24.764953128842684</v>
      </c>
      <c r="Y313" s="127">
        <v>63.44028828036398</v>
      </c>
      <c r="Z313" s="123">
        <v>15.42187905965972</v>
      </c>
      <c r="AA313" s="127">
        <v>25.676712254970276</v>
      </c>
      <c r="AB313" s="128">
        <v>56.183432046209738</v>
      </c>
      <c r="AC313" s="123">
        <v>17.045445875654327</v>
      </c>
      <c r="AD313" s="127">
        <v>28.51328584450766</v>
      </c>
      <c r="AE313" s="128">
        <v>62.052878085052605</v>
      </c>
      <c r="AG313" s="123">
        <v>17.099703582884306</v>
      </c>
      <c r="AH313" s="127">
        <v>49.449585436984336</v>
      </c>
      <c r="AI313" s="128">
        <v>131.32473165990041</v>
      </c>
      <c r="AJ313" s="123">
        <v>14.754874826649241</v>
      </c>
      <c r="AK313" s="127">
        <v>35.183420242571209</v>
      </c>
      <c r="AL313" s="128">
        <v>91.466799041422149</v>
      </c>
      <c r="AM313" s="123">
        <v>14.466974830031694</v>
      </c>
      <c r="AN313" s="127">
        <v>26.18039731641521</v>
      </c>
      <c r="AO313" s="128">
        <v>60.827696054683429</v>
      </c>
      <c r="AP313" s="123">
        <v>13.993417116633427</v>
      </c>
      <c r="AQ313" s="127">
        <v>21.910442522408538</v>
      </c>
      <c r="AR313" s="128">
        <v>46.525657066458869</v>
      </c>
      <c r="AS313" s="123">
        <v>27.846946328753013</v>
      </c>
      <c r="AT313" s="127">
        <v>53.417167792064113</v>
      </c>
      <c r="AU313" s="128">
        <v>123.50210870233435</v>
      </c>
      <c r="AV313" s="123">
        <v>21.779258470126877</v>
      </c>
      <c r="AW313" s="127">
        <v>42.143190882134085</v>
      </c>
      <c r="AX313" s="128">
        <v>105.5182968845393</v>
      </c>
      <c r="AY313" s="123">
        <v>21.024570882194428</v>
      </c>
      <c r="AZ313" s="127">
        <v>36.261210289321248</v>
      </c>
      <c r="BA313" s="128">
        <v>78.550175837605352</v>
      </c>
      <c r="BB313" s="123">
        <v>21.108655114829041</v>
      </c>
      <c r="BC313" s="127">
        <v>33.49788083684048</v>
      </c>
      <c r="BD313" s="128">
        <v>68.227170440657645</v>
      </c>
      <c r="BE313" s="123">
        <v>29.013144507021661</v>
      </c>
      <c r="BF313" s="127">
        <v>55.613087252797527</v>
      </c>
      <c r="BG313" s="128">
        <v>128.5292082465055</v>
      </c>
      <c r="BH313" s="123">
        <v>22.697427042094162</v>
      </c>
      <c r="BI313" s="127">
        <v>43.88345791452813</v>
      </c>
      <c r="BJ313" s="128">
        <v>109.81965823482062</v>
      </c>
      <c r="BK313" s="123">
        <v>21.911906482305053</v>
      </c>
      <c r="BL313" s="127">
        <v>37.767754255349622</v>
      </c>
      <c r="BM313" s="128">
        <v>81.784446621812506</v>
      </c>
      <c r="BN313" s="123">
        <v>21.997200705206801</v>
      </c>
      <c r="BO313" s="127">
        <v>34.891144211125429</v>
      </c>
      <c r="BP313" s="128">
        <v>71.042031563020174</v>
      </c>
    </row>
    <row r="314" spans="1:68" x14ac:dyDescent="0.3">
      <c r="A314" s="24">
        <v>2044</v>
      </c>
      <c r="B314" s="123">
        <v>41.647301854179624</v>
      </c>
      <c r="C314" s="127">
        <v>67.953318992912713</v>
      </c>
      <c r="D314" s="128">
        <v>109.91113625129748</v>
      </c>
      <c r="E314" s="127">
        <v>39.994155174480248</v>
      </c>
      <c r="F314" s="127">
        <v>92.188348686620017</v>
      </c>
      <c r="G314" s="127">
        <v>295.801586280104</v>
      </c>
      <c r="H314" s="123">
        <v>25.587224113213029</v>
      </c>
      <c r="I314" s="127">
        <v>65.195843581285786</v>
      </c>
      <c r="J314" s="128">
        <v>229.22313072403264</v>
      </c>
      <c r="K314" s="127">
        <v>18.637928393721563</v>
      </c>
      <c r="L314" s="127">
        <v>56.953571944038686</v>
      </c>
      <c r="M314" s="127">
        <v>216.81487041631217</v>
      </c>
      <c r="N314" s="123">
        <v>15.165911422567056</v>
      </c>
      <c r="O314" s="127">
        <v>42.496503377602316</v>
      </c>
      <c r="P314" s="128">
        <v>175.93174706318004</v>
      </c>
      <c r="Q314" s="127">
        <v>15.437200809458453</v>
      </c>
      <c r="R314" s="127">
        <v>35.728855233120271</v>
      </c>
      <c r="S314" s="127">
        <v>113.62469622655834</v>
      </c>
      <c r="T314" s="123">
        <v>12.756233639340648</v>
      </c>
      <c r="U314" s="127">
        <v>25.382358247086177</v>
      </c>
      <c r="V314" s="128">
        <v>65.386668747882638</v>
      </c>
      <c r="W314" s="127">
        <v>12.297852492810533</v>
      </c>
      <c r="X314" s="127">
        <v>24.498296487415892</v>
      </c>
      <c r="Y314" s="127">
        <v>63.102680868034028</v>
      </c>
      <c r="Z314" s="123">
        <v>15.170851009044931</v>
      </c>
      <c r="AA314" s="127">
        <v>25.394526722376654</v>
      </c>
      <c r="AB314" s="128">
        <v>55.759976329568246</v>
      </c>
      <c r="AC314" s="123">
        <v>16.739730172265144</v>
      </c>
      <c r="AD314" s="127">
        <v>28.17447016344461</v>
      </c>
      <c r="AE314" s="128">
        <v>61.550930751797516</v>
      </c>
      <c r="AG314" s="123">
        <v>16.961591122574994</v>
      </c>
      <c r="AH314" s="127">
        <v>48.510478401641549</v>
      </c>
      <c r="AI314" s="128">
        <v>129.21637683354339</v>
      </c>
      <c r="AJ314" s="123">
        <v>14.635701295132343</v>
      </c>
      <c r="AK314" s="127">
        <v>34.555612497709049</v>
      </c>
      <c r="AL314" s="128">
        <v>90.04869823279671</v>
      </c>
      <c r="AM314" s="123">
        <v>14.350126635715124</v>
      </c>
      <c r="AN314" s="127">
        <v>25.763177852562379</v>
      </c>
      <c r="AO314" s="128">
        <v>59.94817733709715</v>
      </c>
      <c r="AP314" s="123">
        <v>13.880393796858039</v>
      </c>
      <c r="AQ314" s="127">
        <v>21.584252685996496</v>
      </c>
      <c r="AR314" s="128">
        <v>45.883512954795187</v>
      </c>
      <c r="AS314" s="123">
        <v>27.150856222364187</v>
      </c>
      <c r="AT314" s="127">
        <v>51.94773825503917</v>
      </c>
      <c r="AU314" s="128">
        <v>119.94187030662114</v>
      </c>
      <c r="AV314" s="123">
        <v>21.228141223653015</v>
      </c>
      <c r="AW314" s="127">
        <v>41.209869676752028</v>
      </c>
      <c r="AX314" s="128">
        <v>102.82069059119642</v>
      </c>
      <c r="AY314" s="123">
        <v>20.83731113670526</v>
      </c>
      <c r="AZ314" s="127">
        <v>35.700687940336145</v>
      </c>
      <c r="BA314" s="128">
        <v>77.132159425574855</v>
      </c>
      <c r="BB314" s="123">
        <v>20.922078577886474</v>
      </c>
      <c r="BC314" s="127">
        <v>33.187265224160164</v>
      </c>
      <c r="BD314" s="128">
        <v>67.574718108757736</v>
      </c>
      <c r="BE314" s="123">
        <v>28.28953897972151</v>
      </c>
      <c r="BF314" s="127">
        <v>54.085754541814033</v>
      </c>
      <c r="BG314" s="128">
        <v>124.82887783992609</v>
      </c>
      <c r="BH314" s="123">
        <v>22.124507500361421</v>
      </c>
      <c r="BI314" s="127">
        <v>42.913281850934773</v>
      </c>
      <c r="BJ314" s="128">
        <v>107.01582377845745</v>
      </c>
      <c r="BK314" s="123">
        <v>21.717103187299013</v>
      </c>
      <c r="BL314" s="127">
        <v>37.184992667946709</v>
      </c>
      <c r="BM314" s="128">
        <v>80.310366195810758</v>
      </c>
      <c r="BN314" s="123">
        <v>21.803114173064589</v>
      </c>
      <c r="BO314" s="127">
        <v>34.568096163212701</v>
      </c>
      <c r="BP314" s="128">
        <v>70.36355607694594</v>
      </c>
    </row>
    <row r="315" spans="1:68" x14ac:dyDescent="0.3">
      <c r="A315" s="24">
        <v>2045</v>
      </c>
      <c r="B315" s="123">
        <v>41.578131654617657</v>
      </c>
      <c r="C315" s="127">
        <v>67.847585360806349</v>
      </c>
      <c r="D315" s="128">
        <v>109.91113625129748</v>
      </c>
      <c r="E315" s="127">
        <v>39.927740668273948</v>
      </c>
      <c r="F315" s="127">
        <v>92.038567401167754</v>
      </c>
      <c r="G315" s="127">
        <v>295.801586280104</v>
      </c>
      <c r="H315" s="123">
        <v>25.359964897503311</v>
      </c>
      <c r="I315" s="127">
        <v>64.891045166008794</v>
      </c>
      <c r="J315" s="128">
        <v>229.22313072403264</v>
      </c>
      <c r="K315" s="127">
        <v>18.430084276720869</v>
      </c>
      <c r="L315" s="127">
        <v>56.726921439166091</v>
      </c>
      <c r="M315" s="127">
        <v>216.81487041631217</v>
      </c>
      <c r="N315" s="123">
        <v>14.878077931634747</v>
      </c>
      <c r="O315" s="127">
        <v>42.208927610427388</v>
      </c>
      <c r="P315" s="128">
        <v>175.93174706318004</v>
      </c>
      <c r="Q315" s="127">
        <v>15.141972776597996</v>
      </c>
      <c r="R315" s="127">
        <v>35.36076608626194</v>
      </c>
      <c r="S315" s="127">
        <v>113.03855774061873</v>
      </c>
      <c r="T315" s="123">
        <v>12.526674263768294</v>
      </c>
      <c r="U315" s="127">
        <v>25.108157881701157</v>
      </c>
      <c r="V315" s="128">
        <v>65.041958838940587</v>
      </c>
      <c r="W315" s="127">
        <v>12.077537811787186</v>
      </c>
      <c r="X315" s="127">
        <v>24.232907735608471</v>
      </c>
      <c r="Y315" s="127">
        <v>62.765983114377811</v>
      </c>
      <c r="Z315" s="123">
        <v>14.920247764441131</v>
      </c>
      <c r="AA315" s="127">
        <v>25.112818790600379</v>
      </c>
      <c r="AB315" s="128">
        <v>55.337534878116294</v>
      </c>
      <c r="AC315" s="123">
        <v>16.434532256938674</v>
      </c>
      <c r="AD315" s="127">
        <v>27.836226140740628</v>
      </c>
      <c r="AE315" s="128">
        <v>61.050185687604412</v>
      </c>
      <c r="AG315" s="123">
        <v>16.823478662265689</v>
      </c>
      <c r="AH315" s="127">
        <v>47.594139990196446</v>
      </c>
      <c r="AI315" s="128">
        <v>127.14505223613243</v>
      </c>
      <c r="AJ315" s="123">
        <v>14.51652776361545</v>
      </c>
      <c r="AK315" s="127">
        <v>33.942585785630904</v>
      </c>
      <c r="AL315" s="128">
        <v>88.655279220543491</v>
      </c>
      <c r="AM315" s="123">
        <v>14.233278441398562</v>
      </c>
      <c r="AN315" s="127">
        <v>25.355201826641654</v>
      </c>
      <c r="AO315" s="128">
        <v>59.083672281534184</v>
      </c>
      <c r="AP315" s="123">
        <v>13.767370477082656</v>
      </c>
      <c r="AQ315" s="127">
        <v>21.264990917251676</v>
      </c>
      <c r="AR315" s="128">
        <v>45.252178658905301</v>
      </c>
      <c r="AS315" s="123">
        <v>26.452973889877502</v>
      </c>
      <c r="AT315" s="127">
        <v>50.474473615621314</v>
      </c>
      <c r="AU315" s="128">
        <v>116.37228285619774</v>
      </c>
      <c r="AV315" s="123">
        <v>20.675574069070748</v>
      </c>
      <c r="AW315" s="127">
        <v>40.27588421059292</v>
      </c>
      <c r="AX315" s="128">
        <v>100.12308429785357</v>
      </c>
      <c r="AY315" s="123">
        <v>20.650037520444478</v>
      </c>
      <c r="AZ315" s="127">
        <v>35.140159348933153</v>
      </c>
      <c r="BA315" s="128">
        <v>75.714143013544401</v>
      </c>
      <c r="BB315" s="123">
        <v>20.735502040943903</v>
      </c>
      <c r="BC315" s="127">
        <v>32.87664961147982</v>
      </c>
      <c r="BD315" s="128">
        <v>66.922265776857827</v>
      </c>
      <c r="BE315" s="123">
        <v>27.564071013398614</v>
      </c>
      <c r="BF315" s="127">
        <v>52.554436483021313</v>
      </c>
      <c r="BG315" s="128">
        <v>121.11883211654656</v>
      </c>
      <c r="BH315" s="123">
        <v>21.550081248373925</v>
      </c>
      <c r="BI315" s="127">
        <v>41.942415503233882</v>
      </c>
      <c r="BJ315" s="128">
        <v>104.21198932209425</v>
      </c>
      <c r="BK315" s="123">
        <v>21.522285478114775</v>
      </c>
      <c r="BL315" s="127">
        <v>36.602224593570575</v>
      </c>
      <c r="BM315" s="128">
        <v>78.836285769809024</v>
      </c>
      <c r="BN315" s="123">
        <v>21.609027640922392</v>
      </c>
      <c r="BO315" s="127">
        <v>34.245048115299966</v>
      </c>
      <c r="BP315" s="128">
        <v>69.685080590871721</v>
      </c>
    </row>
    <row r="316" spans="1:68" x14ac:dyDescent="0.3">
      <c r="A316" s="24">
        <v>2046</v>
      </c>
      <c r="B316" s="123">
        <v>41.525101071479256</v>
      </c>
      <c r="C316" s="127">
        <v>67.746764293822224</v>
      </c>
      <c r="D316" s="128">
        <v>109.91113625129748</v>
      </c>
      <c r="E316" s="127">
        <v>39.876815066598844</v>
      </c>
      <c r="F316" s="127">
        <v>91.895587834045102</v>
      </c>
      <c r="G316" s="127">
        <v>295.801586280104</v>
      </c>
      <c r="H316" s="123">
        <v>25.132729596990661</v>
      </c>
      <c r="I316" s="127">
        <v>64.586189262343296</v>
      </c>
      <c r="J316" s="128">
        <v>229.22313072403264</v>
      </c>
      <c r="K316" s="127">
        <v>18.228347425591128</v>
      </c>
      <c r="L316" s="127">
        <v>56.513924631204667</v>
      </c>
      <c r="M316" s="127">
        <v>216.81487041631217</v>
      </c>
      <c r="N316" s="123">
        <v>14.590239285405145</v>
      </c>
      <c r="O316" s="127">
        <v>41.921337546094833</v>
      </c>
      <c r="P316" s="128">
        <v>175.93174706318004</v>
      </c>
      <c r="Q316" s="127">
        <v>14.846830763553074</v>
      </c>
      <c r="R316" s="127">
        <v>34.992897025840428</v>
      </c>
      <c r="S316" s="127">
        <v>112.45253527871344</v>
      </c>
      <c r="T316" s="123">
        <v>12.297566776730525</v>
      </c>
      <c r="U316" s="127">
        <v>24.835258945808903</v>
      </c>
      <c r="V316" s="128">
        <v>64.698176476231026</v>
      </c>
      <c r="W316" s="127">
        <v>11.857656821080811</v>
      </c>
      <c r="X316" s="127">
        <v>23.968774618228196</v>
      </c>
      <c r="Y316" s="127">
        <v>62.430191347827837</v>
      </c>
      <c r="Z316" s="123">
        <v>14.670068427277743</v>
      </c>
      <c r="AA316" s="127">
        <v>24.831587140587452</v>
      </c>
      <c r="AB316" s="128">
        <v>54.916104052146316</v>
      </c>
      <c r="AC316" s="123">
        <v>16.129851034230121</v>
      </c>
      <c r="AD316" s="127">
        <v>27.498552201630567</v>
      </c>
      <c r="AE316" s="128">
        <v>60.550638578110046</v>
      </c>
      <c r="AG316" s="123">
        <v>16.685366201956377</v>
      </c>
      <c r="AH316" s="127">
        <v>46.699914896274734</v>
      </c>
      <c r="AI316" s="128">
        <v>125.1100891017328</v>
      </c>
      <c r="AJ316" s="123">
        <v>14.397354232098554</v>
      </c>
      <c r="AK316" s="127">
        <v>33.343914691737936</v>
      </c>
      <c r="AL316" s="128">
        <v>87.286096251419977</v>
      </c>
      <c r="AM316" s="123">
        <v>14.116430247081995</v>
      </c>
      <c r="AN316" s="127">
        <v>24.956203202206375</v>
      </c>
      <c r="AO316" s="128">
        <v>58.233909741258415</v>
      </c>
      <c r="AP316" s="123">
        <v>13.654347157307269</v>
      </c>
      <c r="AQ316" s="127">
        <v>20.952457818664392</v>
      </c>
      <c r="AR316" s="128">
        <v>44.631458953516358</v>
      </c>
      <c r="AS316" s="123">
        <v>25.7532248349866</v>
      </c>
      <c r="AT316" s="127">
        <v>48.997214462582747</v>
      </c>
      <c r="AU316" s="128">
        <v>112.7929577449364</v>
      </c>
      <c r="AV316" s="123">
        <v>20.121496738984817</v>
      </c>
      <c r="AW316" s="127">
        <v>39.341206872757411</v>
      </c>
      <c r="AX316" s="128">
        <v>97.425478004510694</v>
      </c>
      <c r="AY316" s="123">
        <v>20.462749456854656</v>
      </c>
      <c r="AZ316" s="127">
        <v>34.579624255637718</v>
      </c>
      <c r="BA316" s="128">
        <v>74.296126601513919</v>
      </c>
      <c r="BB316" s="123">
        <v>20.548925504001332</v>
      </c>
      <c r="BC316" s="127">
        <v>32.566033998799483</v>
      </c>
      <c r="BD316" s="128">
        <v>66.26981344495789</v>
      </c>
      <c r="BE316" s="123">
        <v>26.836663193251244</v>
      </c>
      <c r="BF316" s="127">
        <v>51.018967420037228</v>
      </c>
      <c r="BG316" s="128">
        <v>117.39866724605916</v>
      </c>
      <c r="BH316" s="123">
        <v>20.974085657678216</v>
      </c>
      <c r="BI316" s="127">
        <v>40.970830178831143</v>
      </c>
      <c r="BJ316" s="128">
        <v>101.40815486573108</v>
      </c>
      <c r="BK316" s="123">
        <v>21.327452755607492</v>
      </c>
      <c r="BL316" s="127">
        <v>36.019449762581417</v>
      </c>
      <c r="BM316" s="128">
        <v>77.36220534380729</v>
      </c>
      <c r="BN316" s="123">
        <v>21.414941108780184</v>
      </c>
      <c r="BO316" s="127">
        <v>33.922000067387224</v>
      </c>
      <c r="BP316" s="128">
        <v>69.006605104797458</v>
      </c>
    </row>
    <row r="317" spans="1:68" x14ac:dyDescent="0.3">
      <c r="A317" s="24">
        <v>2047</v>
      </c>
      <c r="B317" s="123">
        <v>41.49215219477675</v>
      </c>
      <c r="C317" s="127">
        <v>67.652159927019241</v>
      </c>
      <c r="D317" s="128">
        <v>109.91113625129748</v>
      </c>
      <c r="E317" s="127">
        <v>39.845174053596722</v>
      </c>
      <c r="F317" s="127">
        <v>91.761208980535088</v>
      </c>
      <c r="G317" s="127">
        <v>295.801586280104</v>
      </c>
      <c r="H317" s="123">
        <v>24.905521100407515</v>
      </c>
      <c r="I317" s="127">
        <v>64.281281491237849</v>
      </c>
      <c r="J317" s="128">
        <v>229.22313072403264</v>
      </c>
      <c r="K317" s="127">
        <v>18.032512581559324</v>
      </c>
      <c r="L317" s="127">
        <v>56.314149746228246</v>
      </c>
      <c r="M317" s="127">
        <v>216.81487041631217</v>
      </c>
      <c r="N317" s="123">
        <v>14.302395499085602</v>
      </c>
      <c r="O317" s="127">
        <v>41.633733333216156</v>
      </c>
      <c r="P317" s="128">
        <v>175.93174706318004</v>
      </c>
      <c r="Q317" s="127">
        <v>14.551774516577916</v>
      </c>
      <c r="R317" s="127">
        <v>34.625245831869236</v>
      </c>
      <c r="S317" s="127">
        <v>111.86662837317513</v>
      </c>
      <c r="T317" s="123">
        <v>12.068909845222821</v>
      </c>
      <c r="U317" s="127">
        <v>24.563648905741086</v>
      </c>
      <c r="V317" s="128">
        <v>64.355317921018667</v>
      </c>
      <c r="W317" s="127">
        <v>11.638208241368945</v>
      </c>
      <c r="X317" s="127">
        <v>23.705885067224326</v>
      </c>
      <c r="Y317" s="127">
        <v>62.095301916548891</v>
      </c>
      <c r="Z317" s="123">
        <v>14.42031210141058</v>
      </c>
      <c r="AA317" s="127">
        <v>24.550830458388766</v>
      </c>
      <c r="AB317" s="128">
        <v>54.495680229344941</v>
      </c>
      <c r="AC317" s="123">
        <v>15.82568541165292</v>
      </c>
      <c r="AD317" s="127">
        <v>27.161446777428072</v>
      </c>
      <c r="AE317" s="128">
        <v>60.052285129570258</v>
      </c>
      <c r="AG317" s="123">
        <v>16.547253741647069</v>
      </c>
      <c r="AH317" s="127">
        <v>45.827167777032628</v>
      </c>
      <c r="AI317" s="128">
        <v>123.11083074232243</v>
      </c>
      <c r="AJ317" s="123">
        <v>14.278180700581659</v>
      </c>
      <c r="AK317" s="127">
        <v>32.759186761441541</v>
      </c>
      <c r="AL317" s="128">
        <v>85.940711622487271</v>
      </c>
      <c r="AM317" s="123">
        <v>13.99958205276543</v>
      </c>
      <c r="AN317" s="127">
        <v>24.56592404745669</v>
      </c>
      <c r="AO317" s="128">
        <v>57.398623466443745</v>
      </c>
      <c r="AP317" s="123">
        <v>13.541323837531882</v>
      </c>
      <c r="AQ317" s="127">
        <v>20.646460067255049</v>
      </c>
      <c r="AR317" s="128">
        <v>44.021162139123888</v>
      </c>
      <c r="AS317" s="123">
        <v>25.051530374656178</v>
      </c>
      <c r="AT317" s="127">
        <v>47.515792425706508</v>
      </c>
      <c r="AU317" s="128">
        <v>109.20348452685457</v>
      </c>
      <c r="AV317" s="123">
        <v>19.565845578942799</v>
      </c>
      <c r="AW317" s="127">
        <v>38.405808500600166</v>
      </c>
      <c r="AX317" s="128">
        <v>94.727871711167822</v>
      </c>
      <c r="AY317" s="123">
        <v>20.27544633697557</v>
      </c>
      <c r="AZ317" s="127">
        <v>34.019082386392668</v>
      </c>
      <c r="BA317" s="128">
        <v>72.878110189483436</v>
      </c>
      <c r="BB317" s="123">
        <v>20.362348967058765</v>
      </c>
      <c r="BC317" s="127">
        <v>32.255418386119153</v>
      </c>
      <c r="BD317" s="128">
        <v>65.617361113057996</v>
      </c>
      <c r="BE317" s="123">
        <v>26.107233753727851</v>
      </c>
      <c r="BF317" s="127">
        <v>49.47917238650971</v>
      </c>
      <c r="BG317" s="128">
        <v>113.66795670269475</v>
      </c>
      <c r="BH317" s="123">
        <v>20.396454580071069</v>
      </c>
      <c r="BI317" s="127">
        <v>39.998495572594344</v>
      </c>
      <c r="BJ317" s="128">
        <v>98.604320409367858</v>
      </c>
      <c r="BK317" s="123">
        <v>21.132604386960086</v>
      </c>
      <c r="BL317" s="127">
        <v>35.43666789018549</v>
      </c>
      <c r="BM317" s="128">
        <v>75.888124917805541</v>
      </c>
      <c r="BN317" s="123">
        <v>21.220854576637979</v>
      </c>
      <c r="BO317" s="127">
        <v>33.598952019474481</v>
      </c>
      <c r="BP317" s="128">
        <v>68.328129618723224</v>
      </c>
    </row>
    <row r="318" spans="1:68" x14ac:dyDescent="0.3">
      <c r="A318" s="24">
        <v>2048</v>
      </c>
      <c r="B318" s="123">
        <v>41.483943674951163</v>
      </c>
      <c r="C318" s="127">
        <v>67.565441755535559</v>
      </c>
      <c r="D318" s="128">
        <v>109.91113625129748</v>
      </c>
      <c r="E318" s="127">
        <v>39.837291360512069</v>
      </c>
      <c r="F318" s="127">
        <v>91.637726652978685</v>
      </c>
      <c r="G318" s="127">
        <v>295.801586280104</v>
      </c>
      <c r="H318" s="123">
        <v>24.678342328251496</v>
      </c>
      <c r="I318" s="127">
        <v>63.976327328814371</v>
      </c>
      <c r="J318" s="128">
        <v>229.22313072403264</v>
      </c>
      <c r="K318" s="127">
        <v>17.8423859911825</v>
      </c>
      <c r="L318" s="127">
        <v>56.127207370754519</v>
      </c>
      <c r="M318" s="127">
        <v>216.81487041631217</v>
      </c>
      <c r="N318" s="123">
        <v>14.014546587823739</v>
      </c>
      <c r="O318" s="127">
        <v>41.346115118076909</v>
      </c>
      <c r="P318" s="128">
        <v>175.93174706318004</v>
      </c>
      <c r="Q318" s="127">
        <v>14.256803782923791</v>
      </c>
      <c r="R318" s="127">
        <v>34.257810318988604</v>
      </c>
      <c r="S318" s="127">
        <v>111.28083655884633</v>
      </c>
      <c r="T318" s="123">
        <v>11.840702141478394</v>
      </c>
      <c r="U318" s="127">
        <v>24.293315418345127</v>
      </c>
      <c r="V318" s="128">
        <v>64.013379454634631</v>
      </c>
      <c r="W318" s="127">
        <v>11.419190798355924</v>
      </c>
      <c r="X318" s="127">
        <v>23.444227197773007</v>
      </c>
      <c r="Y318" s="127">
        <v>61.761311188305839</v>
      </c>
      <c r="Z318" s="123">
        <v>14.170977893113921</v>
      </c>
      <c r="AA318" s="127">
        <v>24.270547435133896</v>
      </c>
      <c r="AB318" s="128">
        <v>54.076259804688455</v>
      </c>
      <c r="AC318" s="123">
        <v>15.522034299668881</v>
      </c>
      <c r="AD318" s="127">
        <v>26.824908305493988</v>
      </c>
      <c r="AE318" s="128">
        <v>59.555121068736113</v>
      </c>
      <c r="AG318" s="123">
        <v>16.409141281337757</v>
      </c>
      <c r="AH318" s="127">
        <v>44.975282621929907</v>
      </c>
      <c r="AI318" s="128">
        <v>121.14663232966511</v>
      </c>
      <c r="AJ318" s="123">
        <v>14.159007169064763</v>
      </c>
      <c r="AK318" s="127">
        <v>32.188002090380692</v>
      </c>
      <c r="AL318" s="128">
        <v>84.6186955357215</v>
      </c>
      <c r="AM318" s="123">
        <v>13.882733858448864</v>
      </c>
      <c r="AN318" s="127">
        <v>24.184114278978694</v>
      </c>
      <c r="AO318" s="128">
        <v>56.57755201573594</v>
      </c>
      <c r="AP318" s="123">
        <v>13.428300517756496</v>
      </c>
      <c r="AQ318" s="127">
        <v>20.346810222503482</v>
      </c>
      <c r="AR318" s="128">
        <v>43.421099978316512</v>
      </c>
      <c r="AS318" s="123">
        <v>24.43897288730275</v>
      </c>
      <c r="AT318" s="127">
        <v>46.225110507371902</v>
      </c>
      <c r="AU318" s="128">
        <v>106.07898971638522</v>
      </c>
      <c r="AV318" s="123">
        <v>19.175675806462845</v>
      </c>
      <c r="AW318" s="127">
        <v>37.546223757219096</v>
      </c>
      <c r="AX318" s="128">
        <v>92.030265417824964</v>
      </c>
      <c r="AY318" s="123">
        <v>19.984363019010555</v>
      </c>
      <c r="AZ318" s="127">
        <v>33.868155204532826</v>
      </c>
      <c r="BA318" s="128">
        <v>72.823530103175287</v>
      </c>
      <c r="BB318" s="123">
        <v>20.175772430116194</v>
      </c>
      <c r="BC318" s="127">
        <v>31.944802773438823</v>
      </c>
      <c r="BD318" s="128">
        <v>64.964908781158073</v>
      </c>
      <c r="BE318" s="123">
        <v>25.470433350820247</v>
      </c>
      <c r="BF318" s="127">
        <v>48.137589978275749</v>
      </c>
      <c r="BG318" s="128">
        <v>110.4204407362362</v>
      </c>
      <c r="BH318" s="123">
        <v>19.990787851215963</v>
      </c>
      <c r="BI318" s="127">
        <v>39.104944698420105</v>
      </c>
      <c r="BJ318" s="128">
        <v>95.800485953004682</v>
      </c>
      <c r="BK318" s="123">
        <v>20.82991008808375</v>
      </c>
      <c r="BL318" s="127">
        <v>35.279547924504321</v>
      </c>
      <c r="BM318" s="128">
        <v>75.830895312744559</v>
      </c>
      <c r="BN318" s="123">
        <v>21.026768044495775</v>
      </c>
      <c r="BO318" s="127">
        <v>33.275903971561753</v>
      </c>
      <c r="BP318" s="128">
        <v>67.64965413264899</v>
      </c>
    </row>
    <row r="319" spans="1:68" x14ac:dyDescent="0.3">
      <c r="A319" s="24">
        <v>2049</v>
      </c>
      <c r="B319" s="123">
        <v>41.483943674951163</v>
      </c>
      <c r="C319" s="127">
        <v>67.479321882518747</v>
      </c>
      <c r="D319" s="128">
        <v>109.91113625129748</v>
      </c>
      <c r="E319" s="127">
        <v>39.837291360512069</v>
      </c>
      <c r="F319" s="127">
        <v>91.515122939489117</v>
      </c>
      <c r="G319" s="127">
        <v>295.801586280104</v>
      </c>
      <c r="H319" s="123">
        <v>24.451196241171861</v>
      </c>
      <c r="I319" s="127">
        <v>63.671332135039073</v>
      </c>
      <c r="J319" s="128">
        <v>229.22313072403264</v>
      </c>
      <c r="K319" s="127">
        <v>17.657784768802358</v>
      </c>
      <c r="L319" s="127">
        <v>55.952747757534624</v>
      </c>
      <c r="M319" s="127">
        <v>216.81487041631217</v>
      </c>
      <c r="N319" s="123">
        <v>13.726692566707712</v>
      </c>
      <c r="O319" s="127">
        <v>41.058483044685623</v>
      </c>
      <c r="P319" s="128">
        <v>175.93174706318004</v>
      </c>
      <c r="Q319" s="127">
        <v>13.961918310834106</v>
      </c>
      <c r="R319" s="127">
        <v>33.890588335734726</v>
      </c>
      <c r="S319" s="127">
        <v>110.69515937306298</v>
      </c>
      <c r="T319" s="123">
        <v>11.612942342942493</v>
      </c>
      <c r="U319" s="127">
        <v>24.024246327018787</v>
      </c>
      <c r="V319" s="128">
        <v>63.672357378342028</v>
      </c>
      <c r="W319" s="127">
        <v>11.200603222748224</v>
      </c>
      <c r="X319" s="127">
        <v>23.183789304465829</v>
      </c>
      <c r="Y319" s="127">
        <v>61.428215550332162</v>
      </c>
      <c r="Z319" s="123">
        <v>13.922064911072347</v>
      </c>
      <c r="AA319" s="127">
        <v>23.99073676700506</v>
      </c>
      <c r="AB319" s="128">
        <v>53.657839190341022</v>
      </c>
      <c r="AC319" s="123">
        <v>15.218896611678398</v>
      </c>
      <c r="AD319" s="127">
        <v>26.488935229205836</v>
      </c>
      <c r="AE319" s="128">
        <v>59.059142142730835</v>
      </c>
      <c r="AG319" s="123">
        <v>16.271028821028452</v>
      </c>
      <c r="AH319" s="127">
        <v>44.1436621419166</v>
      </c>
      <c r="AI319" s="128">
        <v>119.21686068112243</v>
      </c>
      <c r="AJ319" s="123">
        <v>14.03983363754787</v>
      </c>
      <c r="AK319" s="127">
        <v>31.629972927891689</v>
      </c>
      <c r="AL319" s="128">
        <v>83.319625955251141</v>
      </c>
      <c r="AM319" s="123">
        <v>13.7658856641323</v>
      </c>
      <c r="AN319" s="127">
        <v>23.81053141377097</v>
      </c>
      <c r="AO319" s="128">
        <v>55.770438669411647</v>
      </c>
      <c r="AP319" s="123">
        <v>13.315277197981112</v>
      </c>
      <c r="AQ319" s="127">
        <v>20.053326540489934</v>
      </c>
      <c r="AR319" s="128">
        <v>42.831087633250476</v>
      </c>
      <c r="AS319" s="123">
        <v>24.245774116236539</v>
      </c>
      <c r="AT319" s="127">
        <v>45.831795064301375</v>
      </c>
      <c r="AU319" s="128">
        <v>105.14205795192561</v>
      </c>
      <c r="AV319" s="123">
        <v>19.004223373090703</v>
      </c>
      <c r="AW319" s="127">
        <v>36.786842156912478</v>
      </c>
      <c r="AX319" s="128">
        <v>89.332659124482078</v>
      </c>
      <c r="AY319" s="123">
        <v>19.781296344885725</v>
      </c>
      <c r="AZ319" s="127">
        <v>33.756839133502531</v>
      </c>
      <c r="BA319" s="128">
        <v>72.768950016867123</v>
      </c>
      <c r="BB319" s="123">
        <v>19.989195893173623</v>
      </c>
      <c r="BC319" s="127">
        <v>31.634187160758493</v>
      </c>
      <c r="BD319" s="128">
        <v>64.31245644925815</v>
      </c>
      <c r="BE319" s="123">
        <v>25.269420619277071</v>
      </c>
      <c r="BF319" s="127">
        <v>47.728529612454814</v>
      </c>
      <c r="BG319" s="128">
        <v>109.44618860991822</v>
      </c>
      <c r="BH319" s="123">
        <v>19.812407014354918</v>
      </c>
      <c r="BI319" s="127">
        <v>38.315522563408422</v>
      </c>
      <c r="BJ319" s="128">
        <v>92.996651496641491</v>
      </c>
      <c r="BK319" s="123">
        <v>20.618680606249999</v>
      </c>
      <c r="BL319" s="127">
        <v>35.163590889455413</v>
      </c>
      <c r="BM319" s="128">
        <v>75.773665707683591</v>
      </c>
      <c r="BN319" s="123">
        <v>20.832681512353567</v>
      </c>
      <c r="BO319" s="127">
        <v>32.952855923649018</v>
      </c>
      <c r="BP319" s="128">
        <v>66.971178646574771</v>
      </c>
    </row>
    <row r="320" spans="1:68" ht="15" thickBot="1" x14ac:dyDescent="0.35">
      <c r="A320" s="25">
        <v>2050</v>
      </c>
      <c r="B320" s="124">
        <v>41.483943674951163</v>
      </c>
      <c r="C320" s="129">
        <v>67.390115226926198</v>
      </c>
      <c r="D320" s="130">
        <v>109.91113625129748</v>
      </c>
      <c r="E320" s="129">
        <v>39.837291360512069</v>
      </c>
      <c r="F320" s="129">
        <v>91.38833299942273</v>
      </c>
      <c r="G320" s="129">
        <v>295.801586280104</v>
      </c>
      <c r="H320" s="124">
        <v>24.224085848480055</v>
      </c>
      <c r="I320" s="129">
        <v>63.366301181542767</v>
      </c>
      <c r="J320" s="130">
        <v>229.22313072403264</v>
      </c>
      <c r="K320" s="129">
        <v>17.478536310826957</v>
      </c>
      <c r="L320" s="129">
        <v>55.79045853043668</v>
      </c>
      <c r="M320" s="129">
        <v>216.81487041631217</v>
      </c>
      <c r="N320" s="124">
        <v>13.4388334507665</v>
      </c>
      <c r="O320" s="129">
        <v>40.77083725482143</v>
      </c>
      <c r="P320" s="130">
        <v>175.93174706318004</v>
      </c>
      <c r="Q320" s="129">
        <v>13.667117849539554</v>
      </c>
      <c r="R320" s="129">
        <v>33.523577763828435</v>
      </c>
      <c r="S320" s="129">
        <v>110.10959635563749</v>
      </c>
      <c r="T320" s="124">
        <v>11.38562913224686</v>
      </c>
      <c r="U320" s="129">
        <v>23.756429657848894</v>
      </c>
      <c r="V320" s="130">
        <v>63.332248013202495</v>
      </c>
      <c r="W320" s="129">
        <v>10.982444250229953</v>
      </c>
      <c r="X320" s="129">
        <v>22.924559857598595</v>
      </c>
      <c r="Y320" s="129">
        <v>61.096011409199789</v>
      </c>
      <c r="Z320" s="124">
        <v>13.673572266372734</v>
      </c>
      <c r="AA320" s="129">
        <v>23.711397155211241</v>
      </c>
      <c r="AB320" s="130">
        <v>53.240414815551595</v>
      </c>
      <c r="AC320" s="124">
        <v>14.916271264010659</v>
      </c>
      <c r="AD320" s="129">
        <v>26.153525997926913</v>
      </c>
      <c r="AE320" s="130">
        <v>58.564344118930336</v>
      </c>
      <c r="AG320" s="124">
        <v>16.13291636071914</v>
      </c>
      <c r="AH320" s="129">
        <v>43.331727178364915</v>
      </c>
      <c r="AI320" s="130">
        <v>117.32089404933446</v>
      </c>
      <c r="AJ320" s="124">
        <v>13.920660106030974</v>
      </c>
      <c r="AK320" s="129">
        <v>31.084723293295845</v>
      </c>
      <c r="AL320" s="130">
        <v>82.04308846717251</v>
      </c>
      <c r="AM320" s="124">
        <v>13.649037469815735</v>
      </c>
      <c r="AN320" s="129">
        <v>23.444940329287114</v>
      </c>
      <c r="AO320" s="130">
        <v>54.977031344105704</v>
      </c>
      <c r="AP320" s="124">
        <v>13.202253878205726</v>
      </c>
      <c r="AQ320" s="129">
        <v>19.765832794043995</v>
      </c>
      <c r="AR320" s="130">
        <v>42.250943604253486</v>
      </c>
      <c r="AS320" s="124">
        <v>24.052575345170322</v>
      </c>
      <c r="AT320" s="129">
        <v>45.438479621230861</v>
      </c>
      <c r="AU320" s="130">
        <v>104.20512618746601</v>
      </c>
      <c r="AV320" s="124">
        <v>18.832770939718571</v>
      </c>
      <c r="AW320" s="129">
        <v>36.027460556605867</v>
      </c>
      <c r="AX320" s="130">
        <v>86.635052831139234</v>
      </c>
      <c r="AY320" s="124">
        <v>19.578229670760898</v>
      </c>
      <c r="AZ320" s="129">
        <v>33.645523062472229</v>
      </c>
      <c r="BA320" s="130">
        <v>72.714369930558973</v>
      </c>
      <c r="BB320" s="124">
        <v>19.933658561355152</v>
      </c>
      <c r="BC320" s="129">
        <v>31.547684193720464</v>
      </c>
      <c r="BD320" s="130">
        <v>64.138492661347414</v>
      </c>
      <c r="BE320" s="124">
        <v>25.068407887733894</v>
      </c>
      <c r="BF320" s="129">
        <v>47.319469246633858</v>
      </c>
      <c r="BG320" s="130">
        <v>108.47193648360019</v>
      </c>
      <c r="BH320" s="124">
        <v>19.634026177493872</v>
      </c>
      <c r="BI320" s="129">
        <v>37.526100428396724</v>
      </c>
      <c r="BJ320" s="130">
        <v>90.192817040278314</v>
      </c>
      <c r="BK320" s="124">
        <v>20.407451124416255</v>
      </c>
      <c r="BL320" s="129">
        <v>35.047633854406499</v>
      </c>
      <c r="BM320" s="130">
        <v>75.716436102622609</v>
      </c>
      <c r="BN320" s="124">
        <v>20.774767826608965</v>
      </c>
      <c r="BO320" s="129">
        <v>32.862700442826494</v>
      </c>
      <c r="BP320" s="130">
        <v>66.789937151976176</v>
      </c>
    </row>
    <row r="321" spans="1:47" x14ac:dyDescent="0.3">
      <c r="A321" s="121"/>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J321" s="20"/>
      <c r="AK321" s="20"/>
      <c r="AL321" s="20"/>
      <c r="AM321" s="20"/>
      <c r="AN321" s="20"/>
      <c r="AO321" s="20"/>
      <c r="AP321" s="20"/>
      <c r="AQ321" s="20"/>
      <c r="AR321" s="20"/>
      <c r="AS321" s="20"/>
      <c r="AT321" s="20"/>
      <c r="AU321" s="20"/>
    </row>
    <row r="322" spans="1:47" ht="15" thickBot="1" x14ac:dyDescent="0.35"/>
    <row r="323" spans="1:47" ht="18.600000000000001" customHeight="1" thickBot="1" x14ac:dyDescent="0.4">
      <c r="A323" s="289" t="s">
        <v>0</v>
      </c>
      <c r="B323" s="348" t="s">
        <v>425</v>
      </c>
      <c r="C323" s="349"/>
      <c r="D323" s="349"/>
      <c r="E323" s="349"/>
      <c r="F323" s="349"/>
      <c r="G323" s="349"/>
      <c r="H323" s="349"/>
      <c r="I323" s="349"/>
      <c r="J323" s="349"/>
      <c r="K323" s="349"/>
      <c r="L323" s="349"/>
      <c r="M323" s="349"/>
      <c r="N323" s="349"/>
      <c r="O323" s="349"/>
      <c r="P323" s="349"/>
      <c r="Q323" s="349"/>
      <c r="R323" s="349"/>
      <c r="S323" s="349"/>
      <c r="T323" s="349"/>
      <c r="U323" s="349"/>
      <c r="V323" s="349"/>
      <c r="W323" s="349"/>
      <c r="X323" s="349"/>
      <c r="Y323" s="349"/>
      <c r="Z323" s="349"/>
      <c r="AA323" s="349"/>
      <c r="AB323" s="349"/>
      <c r="AC323" s="349"/>
      <c r="AD323" s="349"/>
      <c r="AE323" s="349"/>
      <c r="AF323" s="349" t="s">
        <v>68</v>
      </c>
      <c r="AG323" s="349"/>
      <c r="AH323" s="349"/>
    </row>
    <row r="324" spans="1:47" ht="18.600000000000001" customHeight="1" thickBot="1" x14ac:dyDescent="0.35">
      <c r="A324" s="344"/>
      <c r="B324" s="338" t="s">
        <v>412</v>
      </c>
      <c r="C324" s="339"/>
      <c r="D324" s="340"/>
      <c r="E324" s="338" t="s">
        <v>413</v>
      </c>
      <c r="F324" s="339"/>
      <c r="G324" s="340"/>
      <c r="H324" s="338" t="s">
        <v>414</v>
      </c>
      <c r="I324" s="339"/>
      <c r="J324" s="340"/>
      <c r="K324" s="338" t="s">
        <v>415</v>
      </c>
      <c r="L324" s="339"/>
      <c r="M324" s="340"/>
      <c r="N324" s="338" t="s">
        <v>416</v>
      </c>
      <c r="O324" s="339"/>
      <c r="P324" s="340"/>
      <c r="Q324" s="338" t="s">
        <v>406</v>
      </c>
      <c r="R324" s="339"/>
      <c r="S324" s="340"/>
      <c r="T324" s="338" t="s">
        <v>407</v>
      </c>
      <c r="U324" s="339"/>
      <c r="V324" s="340"/>
      <c r="W324" s="338" t="s">
        <v>408</v>
      </c>
      <c r="X324" s="339"/>
      <c r="Y324" s="340"/>
      <c r="Z324" s="338" t="s">
        <v>312</v>
      </c>
      <c r="AA324" s="339"/>
      <c r="AB324" s="340"/>
      <c r="AC324" s="338" t="s">
        <v>409</v>
      </c>
      <c r="AD324" s="339"/>
      <c r="AE324" s="340"/>
      <c r="AF324" s="338" t="s">
        <v>409</v>
      </c>
      <c r="AG324" s="339"/>
      <c r="AH324" s="340"/>
    </row>
    <row r="325" spans="1:47" ht="15" customHeight="1" thickBot="1" x14ac:dyDescent="0.35">
      <c r="A325" s="290"/>
      <c r="B325" s="78" t="s">
        <v>69</v>
      </c>
      <c r="C325" s="79" t="s">
        <v>70</v>
      </c>
      <c r="D325" s="80" t="s">
        <v>71</v>
      </c>
      <c r="E325" s="78" t="s">
        <v>69</v>
      </c>
      <c r="F325" s="79" t="s">
        <v>70</v>
      </c>
      <c r="G325" s="80" t="s">
        <v>71</v>
      </c>
      <c r="H325" s="78" t="s">
        <v>69</v>
      </c>
      <c r="I325" s="79" t="s">
        <v>70</v>
      </c>
      <c r="J325" s="80" t="s">
        <v>71</v>
      </c>
      <c r="K325" s="78" t="s">
        <v>69</v>
      </c>
      <c r="L325" s="79" t="s">
        <v>70</v>
      </c>
      <c r="M325" s="80" t="s">
        <v>71</v>
      </c>
      <c r="N325" s="78" t="s">
        <v>69</v>
      </c>
      <c r="O325" s="79" t="s">
        <v>70</v>
      </c>
      <c r="P325" s="80" t="s">
        <v>71</v>
      </c>
      <c r="Q325" s="78" t="s">
        <v>69</v>
      </c>
      <c r="R325" s="79" t="s">
        <v>70</v>
      </c>
      <c r="S325" s="80" t="s">
        <v>71</v>
      </c>
      <c r="T325" s="78" t="s">
        <v>69</v>
      </c>
      <c r="U325" s="79" t="s">
        <v>70</v>
      </c>
      <c r="V325" s="80" t="s">
        <v>71</v>
      </c>
      <c r="W325" s="78" t="s">
        <v>69</v>
      </c>
      <c r="X325" s="79" t="s">
        <v>70</v>
      </c>
      <c r="Y325" s="80" t="s">
        <v>71</v>
      </c>
      <c r="Z325" s="78" t="s">
        <v>69</v>
      </c>
      <c r="AA325" s="79" t="s">
        <v>70</v>
      </c>
      <c r="AB325" s="80" t="s">
        <v>71</v>
      </c>
      <c r="AC325" s="78" t="s">
        <v>69</v>
      </c>
      <c r="AD325" s="79" t="s">
        <v>70</v>
      </c>
      <c r="AE325" s="80" t="s">
        <v>71</v>
      </c>
      <c r="AF325" s="78" t="s">
        <v>69</v>
      </c>
      <c r="AG325" s="79" t="s">
        <v>70</v>
      </c>
      <c r="AH325" s="80" t="s">
        <v>71</v>
      </c>
    </row>
    <row r="326" spans="1:47" x14ac:dyDescent="0.3">
      <c r="A326" s="52">
        <v>2015</v>
      </c>
      <c r="B326" s="122">
        <v>8057.7819290089201</v>
      </c>
      <c r="C326" s="125">
        <v>8367.6615944765617</v>
      </c>
      <c r="D326" s="126">
        <v>8705.4626451537806</v>
      </c>
      <c r="E326" s="125">
        <v>7997.1971024750183</v>
      </c>
      <c r="F326" s="125">
        <v>8304.7468456459119</v>
      </c>
      <c r="G326" s="125">
        <v>8640.0080387992402</v>
      </c>
      <c r="H326" s="122">
        <v>8013.6819717613334</v>
      </c>
      <c r="I326" s="125">
        <v>8013.6819717613334</v>
      </c>
      <c r="J326" s="126">
        <v>8013.6819717613334</v>
      </c>
      <c r="K326" s="125"/>
      <c r="L326" s="125"/>
      <c r="M326" s="125"/>
      <c r="N326" s="122"/>
      <c r="O326" s="125"/>
      <c r="P326" s="126"/>
      <c r="Q326" s="125"/>
      <c r="R326" s="125"/>
      <c r="S326" s="125"/>
      <c r="T326" s="122"/>
      <c r="U326" s="125"/>
      <c r="V326" s="126"/>
      <c r="W326" s="125"/>
      <c r="X326" s="125"/>
      <c r="Y326" s="125"/>
      <c r="Z326" s="122"/>
      <c r="AA326" s="125"/>
      <c r="AB326" s="126"/>
      <c r="AC326" s="125"/>
      <c r="AD326" s="125"/>
      <c r="AE326" s="125"/>
      <c r="AF326" s="15"/>
      <c r="AG326" s="16"/>
      <c r="AH326" s="18"/>
    </row>
    <row r="327" spans="1:47" x14ac:dyDescent="0.3">
      <c r="A327" s="24">
        <v>2016</v>
      </c>
      <c r="B327" s="123">
        <v>7574.3094041591385</v>
      </c>
      <c r="C327" s="127">
        <v>8194.0687350944281</v>
      </c>
      <c r="D327" s="128">
        <v>8869.6708364488604</v>
      </c>
      <c r="E327" s="127">
        <v>7517.3597093910248</v>
      </c>
      <c r="F327" s="127">
        <v>8132.4591957328148</v>
      </c>
      <c r="G327" s="127">
        <v>8802.9815820394706</v>
      </c>
      <c r="H327" s="123">
        <v>7520.1690424102171</v>
      </c>
      <c r="I327" s="127">
        <v>7752.103650475673</v>
      </c>
      <c r="J327" s="128">
        <v>8013.6819717613334</v>
      </c>
      <c r="K327" s="127">
        <v>7680.4999040485445</v>
      </c>
      <c r="L327" s="127">
        <v>7680.4999040485445</v>
      </c>
      <c r="M327" s="127">
        <v>7680.4999040485445</v>
      </c>
      <c r="N327" s="123"/>
      <c r="O327" s="127"/>
      <c r="P327" s="128"/>
      <c r="Q327" s="127"/>
      <c r="R327" s="127"/>
      <c r="S327" s="127"/>
      <c r="T327" s="123"/>
      <c r="U327" s="127"/>
      <c r="V327" s="128"/>
      <c r="W327" s="127"/>
      <c r="X327" s="127"/>
      <c r="Y327" s="127"/>
      <c r="Z327" s="123"/>
      <c r="AA327" s="127"/>
      <c r="AB327" s="128"/>
      <c r="AC327" s="127"/>
      <c r="AD327" s="127"/>
      <c r="AE327" s="127"/>
      <c r="AF327" s="17"/>
      <c r="AG327" s="20"/>
      <c r="AH327" s="19"/>
    </row>
    <row r="328" spans="1:47" x14ac:dyDescent="0.3">
      <c r="A328" s="24">
        <v>2017</v>
      </c>
      <c r="B328" s="123">
        <v>7352.7178302696593</v>
      </c>
      <c r="C328" s="127">
        <v>7978.6948367543828</v>
      </c>
      <c r="D328" s="128">
        <v>8706.9879866596912</v>
      </c>
      <c r="E328" s="127">
        <v>7297.4342375608649</v>
      </c>
      <c r="F328" s="127">
        <v>7918.7046500118686</v>
      </c>
      <c r="G328" s="127">
        <v>8641.5219115720247</v>
      </c>
      <c r="H328" s="123">
        <v>7271.3082400677904</v>
      </c>
      <c r="I328" s="127">
        <v>7622.64113749239</v>
      </c>
      <c r="J328" s="128">
        <v>8013.6819717613334</v>
      </c>
      <c r="K328" s="127">
        <v>7204.1454498252506</v>
      </c>
      <c r="L328" s="127">
        <v>7552.2331956325679</v>
      </c>
      <c r="M328" s="127">
        <v>7939.6621085441457</v>
      </c>
      <c r="N328" s="123">
        <v>6428.2314313790785</v>
      </c>
      <c r="O328" s="127">
        <v>6428.2314313790785</v>
      </c>
      <c r="P328" s="128">
        <v>6428.2314313790785</v>
      </c>
      <c r="Q328" s="127"/>
      <c r="R328" s="127"/>
      <c r="S328" s="127"/>
      <c r="T328" s="123"/>
      <c r="U328" s="127"/>
      <c r="V328" s="128"/>
      <c r="W328" s="127"/>
      <c r="X328" s="127"/>
      <c r="Y328" s="127"/>
      <c r="Z328" s="123"/>
      <c r="AA328" s="127"/>
      <c r="AB328" s="128"/>
      <c r="AC328" s="127"/>
      <c r="AD328" s="127"/>
      <c r="AE328" s="127"/>
      <c r="AF328" s="17"/>
      <c r="AG328" s="20"/>
      <c r="AH328" s="19"/>
    </row>
    <row r="329" spans="1:47" x14ac:dyDescent="0.3">
      <c r="A329" s="24">
        <v>2018</v>
      </c>
      <c r="B329" s="123">
        <v>7131.1262563801774</v>
      </c>
      <c r="C329" s="127">
        <v>7763.3209384143402</v>
      </c>
      <c r="D329" s="128">
        <v>8544.3051368705201</v>
      </c>
      <c r="E329" s="127">
        <v>7077.5087657307022</v>
      </c>
      <c r="F329" s="127">
        <v>7704.9501042909242</v>
      </c>
      <c r="G329" s="127">
        <v>8480.062241104577</v>
      </c>
      <c r="H329" s="123">
        <v>7015.585467072543</v>
      </c>
      <c r="I329" s="127">
        <v>7491.5317515524293</v>
      </c>
      <c r="J329" s="128">
        <v>8013.6819717613334</v>
      </c>
      <c r="K329" s="127">
        <v>6950.7847077597717</v>
      </c>
      <c r="L329" s="127">
        <v>7422.3348259081195</v>
      </c>
      <c r="M329" s="127">
        <v>7939.6621085441457</v>
      </c>
      <c r="N329" s="123">
        <v>4969.1583127510949</v>
      </c>
      <c r="O329" s="127">
        <v>6211.447890938869</v>
      </c>
      <c r="P329" s="128">
        <v>6428.2314313790785</v>
      </c>
      <c r="Q329" s="127">
        <v>6517.495877635446</v>
      </c>
      <c r="R329" s="127">
        <v>6517.495877635446</v>
      </c>
      <c r="S329" s="127">
        <v>6517.495877635446</v>
      </c>
      <c r="T329" s="123"/>
      <c r="U329" s="127"/>
      <c r="V329" s="128"/>
      <c r="W329" s="127"/>
      <c r="X329" s="127"/>
      <c r="Y329" s="127"/>
      <c r="Z329" s="123"/>
      <c r="AA329" s="127"/>
      <c r="AB329" s="128"/>
      <c r="AC329" s="127"/>
      <c r="AD329" s="127"/>
      <c r="AE329" s="127"/>
      <c r="AF329" s="17"/>
      <c r="AG329" s="20"/>
      <c r="AH329" s="19"/>
    </row>
    <row r="330" spans="1:47" x14ac:dyDescent="0.3">
      <c r="A330" s="24">
        <v>2019</v>
      </c>
      <c r="B330" s="123">
        <v>6909.5346824906946</v>
      </c>
      <c r="C330" s="127">
        <v>7547.9470400742966</v>
      </c>
      <c r="D330" s="128">
        <v>8381.622287081349</v>
      </c>
      <c r="E330" s="127">
        <v>6857.5832939005386</v>
      </c>
      <c r="F330" s="127">
        <v>7491.1955585699789</v>
      </c>
      <c r="G330" s="127">
        <v>8318.6025706371292</v>
      </c>
      <c r="H330" s="123">
        <v>6752.9092304824317</v>
      </c>
      <c r="I330" s="127">
        <v>7358.5010138296784</v>
      </c>
      <c r="J330" s="128">
        <v>8013.6819717613334</v>
      </c>
      <c r="K330" s="127">
        <v>6690.5347290585232</v>
      </c>
      <c r="L330" s="127">
        <v>7290.5328513237873</v>
      </c>
      <c r="M330" s="127">
        <v>7939.6621085441457</v>
      </c>
      <c r="N330" s="123">
        <v>4802.3922043648899</v>
      </c>
      <c r="O330" s="127">
        <v>6002.9902554561131</v>
      </c>
      <c r="P330" s="128">
        <v>6428.2314313790785</v>
      </c>
      <c r="Q330" s="127">
        <v>5998.5277836614632</v>
      </c>
      <c r="R330" s="127">
        <v>6092.1737866672165</v>
      </c>
      <c r="S330" s="127">
        <v>6296.3912383313454</v>
      </c>
      <c r="T330" s="123">
        <v>5427.5604481318087</v>
      </c>
      <c r="U330" s="127">
        <v>5627.5523682426447</v>
      </c>
      <c r="V330" s="128">
        <v>5947.5056639062386</v>
      </c>
      <c r="W330" s="127"/>
      <c r="X330" s="127"/>
      <c r="Y330" s="127"/>
      <c r="Z330" s="123"/>
      <c r="AA330" s="127"/>
      <c r="AB330" s="128"/>
      <c r="AC330" s="127"/>
      <c r="AD330" s="127"/>
      <c r="AE330" s="127"/>
      <c r="AF330" s="17"/>
      <c r="AG330" s="20"/>
      <c r="AH330" s="19"/>
    </row>
    <row r="331" spans="1:47" x14ac:dyDescent="0.3">
      <c r="A331" s="24">
        <v>2020</v>
      </c>
      <c r="B331" s="123">
        <v>6687.9431086012119</v>
      </c>
      <c r="C331" s="127">
        <v>7332.5731417342504</v>
      </c>
      <c r="D331" s="128">
        <v>8218.9394372921815</v>
      </c>
      <c r="E331" s="127">
        <v>6637.657822070375</v>
      </c>
      <c r="F331" s="127">
        <v>7277.4410128490308</v>
      </c>
      <c r="G331" s="127">
        <v>8157.1429001696843</v>
      </c>
      <c r="H331" s="123">
        <v>6483.7369950076491</v>
      </c>
      <c r="I331" s="127">
        <v>7223.9148960922857</v>
      </c>
      <c r="J331" s="128">
        <v>8013.6819717613334</v>
      </c>
      <c r="K331" s="127">
        <v>6423.8487529738568</v>
      </c>
      <c r="L331" s="127">
        <v>7157.1898632814555</v>
      </c>
      <c r="M331" s="127">
        <v>7939.6621085441457</v>
      </c>
      <c r="N331" s="123">
        <v>4642.0223642706987</v>
      </c>
      <c r="O331" s="127">
        <v>5802.5279553383725</v>
      </c>
      <c r="P331" s="128">
        <v>6428.2314313790785</v>
      </c>
      <c r="Q331" s="127">
        <v>5559.3204792670476</v>
      </c>
      <c r="R331" s="127">
        <v>5733.7588922368859</v>
      </c>
      <c r="S331" s="127">
        <v>6135.3571266895524</v>
      </c>
      <c r="T331" s="123">
        <v>5006.4108198166477</v>
      </c>
      <c r="U331" s="127">
        <v>5253.560766318571</v>
      </c>
      <c r="V331" s="128">
        <v>5698.5409084828252</v>
      </c>
      <c r="W331" s="127">
        <v>4707.7525191862069</v>
      </c>
      <c r="X331" s="127">
        <v>4940.1586930174972</v>
      </c>
      <c r="Y331" s="127">
        <v>5358.5934680802293</v>
      </c>
      <c r="Z331" s="123"/>
      <c r="AA331" s="127"/>
      <c r="AB331" s="128"/>
      <c r="AC331" s="127"/>
      <c r="AD331" s="127"/>
      <c r="AE331" s="127"/>
      <c r="AF331" s="17"/>
      <c r="AG331" s="20"/>
      <c r="AH331" s="19"/>
    </row>
    <row r="332" spans="1:47" x14ac:dyDescent="0.3">
      <c r="A332" s="24">
        <v>2021</v>
      </c>
      <c r="B332" s="123">
        <v>6419.3472614624479</v>
      </c>
      <c r="C332" s="127">
        <v>7063.9772945954846</v>
      </c>
      <c r="D332" s="128">
        <v>8030.9223442950424</v>
      </c>
      <c r="E332" s="127">
        <v>6371.0814925792711</v>
      </c>
      <c r="F332" s="127">
        <v>7010.8646833579242</v>
      </c>
      <c r="G332" s="127">
        <v>7970.5394695259065</v>
      </c>
      <c r="H332" s="123">
        <v>6314.9325169481708</v>
      </c>
      <c r="I332" s="127">
        <v>7054.2869815544718</v>
      </c>
      <c r="J332" s="128">
        <v>8013.6819717613334</v>
      </c>
      <c r="K332" s="127">
        <v>6256.6034688554992</v>
      </c>
      <c r="L332" s="127">
        <v>6989.1287485088606</v>
      </c>
      <c r="M332" s="127">
        <v>7939.6621085441457</v>
      </c>
      <c r="N332" s="123">
        <v>4487.7949661499706</v>
      </c>
      <c r="O332" s="127">
        <v>5609.7437076874621</v>
      </c>
      <c r="P332" s="128">
        <v>6428.2314313790785</v>
      </c>
      <c r="Q332" s="127">
        <v>5168.3131264832837</v>
      </c>
      <c r="R332" s="127">
        <v>5416.2453504470641</v>
      </c>
      <c r="S332" s="127">
        <v>5989.2464863907089</v>
      </c>
      <c r="T332" s="123">
        <v>4692.8591674659747</v>
      </c>
      <c r="U332" s="127">
        <v>4974.3452001769538</v>
      </c>
      <c r="V332" s="128">
        <v>5510.8101816749931</v>
      </c>
      <c r="W332" s="127">
        <v>4194.0180928840282</v>
      </c>
      <c r="X332" s="127">
        <v>4515.3870292370939</v>
      </c>
      <c r="Y332" s="127">
        <v>5118.6252016519065</v>
      </c>
      <c r="Z332" s="123">
        <v>4367.4230687463487</v>
      </c>
      <c r="AA332" s="127">
        <v>4702.0792564695867</v>
      </c>
      <c r="AB332" s="128">
        <v>5330.2587854570638</v>
      </c>
      <c r="AC332" s="127"/>
      <c r="AD332" s="127"/>
      <c r="AE332" s="127"/>
      <c r="AF332" s="17"/>
      <c r="AG332" s="20"/>
      <c r="AH332" s="19"/>
    </row>
    <row r="333" spans="1:47" x14ac:dyDescent="0.3">
      <c r="A333" s="24">
        <v>2022</v>
      </c>
      <c r="B333" s="123">
        <v>6150.7514143236785</v>
      </c>
      <c r="C333" s="127">
        <v>6795.3814474567171</v>
      </c>
      <c r="D333" s="128">
        <v>7842.9052512979088</v>
      </c>
      <c r="E333" s="127">
        <v>6104.5051630881617</v>
      </c>
      <c r="F333" s="127">
        <v>6744.2883538668175</v>
      </c>
      <c r="G333" s="127">
        <v>7783.9360388821351</v>
      </c>
      <c r="H333" s="123">
        <v>6141.644884728852</v>
      </c>
      <c r="I333" s="127">
        <v>6882.9207011179406</v>
      </c>
      <c r="J333" s="128">
        <v>8013.6819717613334</v>
      </c>
      <c r="K333" s="127">
        <v>6084.9164400640775</v>
      </c>
      <c r="L333" s="127">
        <v>6819.3453245773235</v>
      </c>
      <c r="M333" s="127">
        <v>7939.6621085441457</v>
      </c>
      <c r="N333" s="123">
        <v>4339.4663826699298</v>
      </c>
      <c r="O333" s="127">
        <v>5424.3329783374111</v>
      </c>
      <c r="P333" s="128">
        <v>6428.2314313790785</v>
      </c>
      <c r="Q333" s="127">
        <v>4814.9779309089281</v>
      </c>
      <c r="R333" s="127">
        <v>5130.766829535758</v>
      </c>
      <c r="S333" s="127">
        <v>5855.6759467194088</v>
      </c>
      <c r="T333" s="123">
        <v>4438.265192742193</v>
      </c>
      <c r="U333" s="127">
        <v>4747.0616050071694</v>
      </c>
      <c r="V333" s="128">
        <v>5356.6322804342844</v>
      </c>
      <c r="W333" s="127">
        <v>3972.3438115258264</v>
      </c>
      <c r="X333" s="127">
        <v>4306.9782578214554</v>
      </c>
      <c r="Y333" s="127">
        <v>4957.8173292370975</v>
      </c>
      <c r="Z333" s="123">
        <v>4625.1054766992966</v>
      </c>
      <c r="AA333" s="127">
        <v>5014.7247934707057</v>
      </c>
      <c r="AB333" s="128">
        <v>5772.4930457194378</v>
      </c>
      <c r="AC333" s="127">
        <v>5340.2579952325432</v>
      </c>
      <c r="AD333" s="127">
        <v>6896.2546642158395</v>
      </c>
      <c r="AE333" s="127">
        <v>8860.8680841047226</v>
      </c>
      <c r="AF333" s="17"/>
      <c r="AG333" s="20"/>
      <c r="AH333" s="19"/>
    </row>
    <row r="334" spans="1:47" x14ac:dyDescent="0.3">
      <c r="A334" s="24">
        <v>2023</v>
      </c>
      <c r="B334" s="123">
        <v>5882.1555671849128</v>
      </c>
      <c r="C334" s="127">
        <v>6526.7856003179513</v>
      </c>
      <c r="D334" s="128">
        <v>7654.8881583007687</v>
      </c>
      <c r="E334" s="127">
        <v>5837.9288335970568</v>
      </c>
      <c r="F334" s="127">
        <v>6477.7120243757108</v>
      </c>
      <c r="G334" s="127">
        <v>7597.3326082383574</v>
      </c>
      <c r="H334" s="123">
        <v>5963.2336477554236</v>
      </c>
      <c r="I334" s="127">
        <v>6709.8160547826956</v>
      </c>
      <c r="J334" s="128">
        <v>8013.6819717613334</v>
      </c>
      <c r="K334" s="127">
        <v>5908.1531316463015</v>
      </c>
      <c r="L334" s="127">
        <v>6647.8395914868452</v>
      </c>
      <c r="M334" s="127">
        <v>7939.6621085441457</v>
      </c>
      <c r="N334" s="123">
        <v>4196.8027726347364</v>
      </c>
      <c r="O334" s="127">
        <v>5246.0034657934202</v>
      </c>
      <c r="P334" s="128">
        <v>6428.2314313790785</v>
      </c>
      <c r="Q334" s="127">
        <v>4493.9425217776406</v>
      </c>
      <c r="R334" s="127">
        <v>4872.7954091209631</v>
      </c>
      <c r="S334" s="127">
        <v>5733.3171203506645</v>
      </c>
      <c r="T334" s="123">
        <v>4220.9632096938967</v>
      </c>
      <c r="U334" s="127">
        <v>4552.626091836647</v>
      </c>
      <c r="V334" s="128">
        <v>5223.6772587591149</v>
      </c>
      <c r="W334" s="127">
        <v>3815.0634058999608</v>
      </c>
      <c r="X334" s="127">
        <v>4159.1098812853734</v>
      </c>
      <c r="Y334" s="127">
        <v>4843.7223280205862</v>
      </c>
      <c r="Z334" s="123">
        <v>4269.3785958797926</v>
      </c>
      <c r="AA334" s="127">
        <v>4654.3915864856317</v>
      </c>
      <c r="AB334" s="128">
        <v>5420.51072020213</v>
      </c>
      <c r="AC334" s="127">
        <v>4944.6506308638009</v>
      </c>
      <c r="AD334" s="127">
        <v>6665.4583008553727</v>
      </c>
      <c r="AE334" s="127">
        <v>8817.6098874720956</v>
      </c>
      <c r="AF334" s="17"/>
      <c r="AG334" s="20"/>
      <c r="AH334" s="19"/>
    </row>
    <row r="335" spans="1:47" x14ac:dyDescent="0.3">
      <c r="A335" s="24">
        <v>2024</v>
      </c>
      <c r="B335" s="123">
        <v>5801.5768130432834</v>
      </c>
      <c r="C335" s="127">
        <v>6492.2518485429655</v>
      </c>
      <c r="D335" s="128">
        <v>7654.8881583007687</v>
      </c>
      <c r="E335" s="127">
        <v>5757.9559347497243</v>
      </c>
      <c r="F335" s="127">
        <v>6443.4379248697096</v>
      </c>
      <c r="G335" s="127">
        <v>7597.3326082383574</v>
      </c>
      <c r="H335" s="123">
        <v>5780.7052283902995</v>
      </c>
      <c r="I335" s="127">
        <v>6534.9730425487369</v>
      </c>
      <c r="J335" s="128">
        <v>8013.6819717613334</v>
      </c>
      <c r="K335" s="127">
        <v>5727.3106699573445</v>
      </c>
      <c r="L335" s="127">
        <v>6474.6115492374247</v>
      </c>
      <c r="M335" s="127">
        <v>7939.6621085441457</v>
      </c>
      <c r="N335" s="123">
        <v>4059.5796849410749</v>
      </c>
      <c r="O335" s="127">
        <v>5074.4746061763435</v>
      </c>
      <c r="P335" s="128">
        <v>6428.2314313790785</v>
      </c>
      <c r="Q335" s="127">
        <v>4201.6862915601287</v>
      </c>
      <c r="R335" s="127">
        <v>4639.4289584534317</v>
      </c>
      <c r="S335" s="127">
        <v>5621.2369676821136</v>
      </c>
      <c r="T335" s="123">
        <v>4029.3960816344302</v>
      </c>
      <c r="U335" s="127">
        <v>4380.8587331124727</v>
      </c>
      <c r="V335" s="128">
        <v>5105.3679479598004</v>
      </c>
      <c r="W335" s="127">
        <v>3693.0672454705432</v>
      </c>
      <c r="X335" s="127">
        <v>4044.4142577933735</v>
      </c>
      <c r="Y335" s="127">
        <v>4755.2233696333933</v>
      </c>
      <c r="Z335" s="123">
        <v>3845.7600146422601</v>
      </c>
      <c r="AA335" s="127">
        <v>4211.6337454583918</v>
      </c>
      <c r="AB335" s="128">
        <v>4951.8318189460642</v>
      </c>
      <c r="AC335" s="127">
        <v>4711.2142460822824</v>
      </c>
      <c r="AD335" s="127">
        <v>6516.3583666428731</v>
      </c>
      <c r="AE335" s="127">
        <v>8778.1970609733962</v>
      </c>
      <c r="AF335" s="17"/>
      <c r="AG335" s="20"/>
      <c r="AH335" s="19"/>
    </row>
    <row r="336" spans="1:47" x14ac:dyDescent="0.3">
      <c r="A336" s="24">
        <v>2025</v>
      </c>
      <c r="B336" s="123">
        <v>5720.9980589016532</v>
      </c>
      <c r="C336" s="127">
        <v>6457.7180967679842</v>
      </c>
      <c r="D336" s="128">
        <v>7654.8881583007687</v>
      </c>
      <c r="E336" s="127">
        <v>5677.9830359023927</v>
      </c>
      <c r="F336" s="127">
        <v>6409.1638253637138</v>
      </c>
      <c r="G336" s="127">
        <v>7597.3326082383574</v>
      </c>
      <c r="H336" s="123">
        <v>5593.6936548653302</v>
      </c>
      <c r="I336" s="127">
        <v>6358.6661432421743</v>
      </c>
      <c r="J336" s="128">
        <v>8013.6819717613334</v>
      </c>
      <c r="K336" s="127">
        <v>5542.0264635953245</v>
      </c>
      <c r="L336" s="127">
        <v>6299.9331413804703</v>
      </c>
      <c r="M336" s="127">
        <v>7939.6621085441457</v>
      </c>
      <c r="N336" s="123">
        <v>3927.5816786511723</v>
      </c>
      <c r="O336" s="127">
        <v>4909.4770983139651</v>
      </c>
      <c r="P336" s="128">
        <v>6428.2314313790785</v>
      </c>
      <c r="Q336" s="127">
        <v>3935.4982861075109</v>
      </c>
      <c r="R336" s="127">
        <v>4428.5145969349505</v>
      </c>
      <c r="S336" s="127">
        <v>5518.6846463249221</v>
      </c>
      <c r="T336" s="123">
        <v>3856.6652278862939</v>
      </c>
      <c r="U336" s="127">
        <v>4225.6830192787957</v>
      </c>
      <c r="V336" s="128">
        <v>4997.7783644588089</v>
      </c>
      <c r="W336" s="127">
        <v>3593.389124541759</v>
      </c>
      <c r="X336" s="127">
        <v>3950.7011098697344</v>
      </c>
      <c r="Y336" s="127">
        <v>4682.9144556057763</v>
      </c>
      <c r="Z336" s="123">
        <v>3741.960623425447</v>
      </c>
      <c r="AA336" s="127">
        <v>4114.0459537459583</v>
      </c>
      <c r="AB336" s="128">
        <v>4876.5332360105194</v>
      </c>
      <c r="AC336" s="127">
        <v>4548.2634160302305</v>
      </c>
      <c r="AD336" s="127">
        <v>6405.9604268722978</v>
      </c>
      <c r="AE336" s="127">
        <v>8742.0241506153907</v>
      </c>
      <c r="AF336" s="17"/>
      <c r="AG336" s="20"/>
      <c r="AH336" s="19"/>
    </row>
    <row r="337" spans="1:34" x14ac:dyDescent="0.3">
      <c r="A337" s="24">
        <v>2026</v>
      </c>
      <c r="B337" s="123">
        <v>5640.4193047600229</v>
      </c>
      <c r="C337" s="127">
        <v>6423.1843449929984</v>
      </c>
      <c r="D337" s="128">
        <v>7654.8881583007687</v>
      </c>
      <c r="E337" s="127">
        <v>5598.0101370550601</v>
      </c>
      <c r="F337" s="127">
        <v>6374.8897258577126</v>
      </c>
      <c r="G337" s="127">
        <v>7597.3326082383574</v>
      </c>
      <c r="H337" s="123">
        <v>5402.1074342384773</v>
      </c>
      <c r="I337" s="127">
        <v>6180.7123709789303</v>
      </c>
      <c r="J337" s="128">
        <v>8013.6819717613334</v>
      </c>
      <c r="K337" s="127">
        <v>5352.2098647097728</v>
      </c>
      <c r="L337" s="127">
        <v>6123.6230722150494</v>
      </c>
      <c r="M337" s="127">
        <v>7939.6621085441457</v>
      </c>
      <c r="N337" s="123">
        <v>3800.6019585244335</v>
      </c>
      <c r="O337" s="127">
        <v>4750.752448155542</v>
      </c>
      <c r="P337" s="128">
        <v>6428.2314313790785</v>
      </c>
      <c r="Q337" s="127">
        <v>3693.0716216293754</v>
      </c>
      <c r="R337" s="127">
        <v>4238.2933009360513</v>
      </c>
      <c r="S337" s="127">
        <v>5425.0050891692426</v>
      </c>
      <c r="T337" s="123">
        <v>3698.3209224648754</v>
      </c>
      <c r="U337" s="127">
        <v>4083.1794770801116</v>
      </c>
      <c r="V337" s="128">
        <v>4898.3761683507655</v>
      </c>
      <c r="W337" s="127">
        <v>3516.1085562961757</v>
      </c>
      <c r="X337" s="127">
        <v>3879.1862785450589</v>
      </c>
      <c r="Y337" s="127">
        <v>4630.9925323989228</v>
      </c>
      <c r="Z337" s="123">
        <v>3654.1994886310013</v>
      </c>
      <c r="AA337" s="127">
        <v>4031.5366515008427</v>
      </c>
      <c r="AB337" s="128">
        <v>4812.8691912664217</v>
      </c>
      <c r="AC337" s="127">
        <v>4090.8155950050027</v>
      </c>
      <c r="AD337" s="127">
        <v>6195.947521346342</v>
      </c>
      <c r="AE337" s="127">
        <v>8708.6168600818255</v>
      </c>
      <c r="AF337" s="17"/>
      <c r="AG337" s="20"/>
      <c r="AH337" s="19"/>
    </row>
    <row r="338" spans="1:34" x14ac:dyDescent="0.3">
      <c r="A338" s="24">
        <v>2027</v>
      </c>
      <c r="B338" s="123">
        <v>5559.8405506183926</v>
      </c>
      <c r="C338" s="127">
        <v>6388.6505932180125</v>
      </c>
      <c r="D338" s="128">
        <v>7654.8881583007687</v>
      </c>
      <c r="E338" s="127">
        <v>5518.0372382077276</v>
      </c>
      <c r="F338" s="127">
        <v>6340.6156263517123</v>
      </c>
      <c r="G338" s="127">
        <v>7597.3326082383574</v>
      </c>
      <c r="H338" s="123">
        <v>5206.3125382778944</v>
      </c>
      <c r="I338" s="127">
        <v>6000.9287398749384</v>
      </c>
      <c r="J338" s="128">
        <v>8013.6819717613334</v>
      </c>
      <c r="K338" s="127">
        <v>5158.2234647025734</v>
      </c>
      <c r="L338" s="127">
        <v>5945.5000460402107</v>
      </c>
      <c r="M338" s="127">
        <v>7939.6621085441457</v>
      </c>
      <c r="N338" s="123">
        <v>3678.4420253759299</v>
      </c>
      <c r="O338" s="127">
        <v>4598.0525317199099</v>
      </c>
      <c r="P338" s="128">
        <v>6428.2314313790785</v>
      </c>
      <c r="Q338" s="127">
        <v>3472.3260319242863</v>
      </c>
      <c r="R338" s="127">
        <v>4067.2330602704596</v>
      </c>
      <c r="S338" s="127">
        <v>5339.598432586633</v>
      </c>
      <c r="T338" s="123">
        <v>3551.3249237055688</v>
      </c>
      <c r="U338" s="127">
        <v>3950.6719176927768</v>
      </c>
      <c r="V338" s="128">
        <v>4805.4322957256409</v>
      </c>
      <c r="W338" s="127">
        <v>3449.8196665607325</v>
      </c>
      <c r="X338" s="127">
        <v>3818.0070030596894</v>
      </c>
      <c r="Y338" s="127">
        <v>4587.0502059347546</v>
      </c>
      <c r="Z338" s="123">
        <v>3578.1773357573129</v>
      </c>
      <c r="AA338" s="127">
        <v>3960.0638429111291</v>
      </c>
      <c r="AB338" s="128">
        <v>4757.7208872542978</v>
      </c>
      <c r="AC338" s="127">
        <v>3658.9808837445294</v>
      </c>
      <c r="AD338" s="127">
        <v>6001.2941496321519</v>
      </c>
      <c r="AE338" s="127">
        <v>8677.5966836168136</v>
      </c>
      <c r="AF338" s="17"/>
      <c r="AG338" s="20"/>
      <c r="AH338" s="19"/>
    </row>
    <row r="339" spans="1:34" x14ac:dyDescent="0.3">
      <c r="A339" s="24">
        <v>2028</v>
      </c>
      <c r="B339" s="123">
        <v>5479.2617964767633</v>
      </c>
      <c r="C339" s="127">
        <v>6354.1168414430322</v>
      </c>
      <c r="D339" s="128">
        <v>7654.8881583007687</v>
      </c>
      <c r="E339" s="127">
        <v>5438.0643393603968</v>
      </c>
      <c r="F339" s="127">
        <v>6306.3415268457156</v>
      </c>
      <c r="G339" s="127">
        <v>7597.3326082383574</v>
      </c>
      <c r="H339" s="123">
        <v>5006.6749387517284</v>
      </c>
      <c r="I339" s="127">
        <v>5819.8642075824155</v>
      </c>
      <c r="J339" s="128">
        <v>8013.6819717613334</v>
      </c>
      <c r="K339" s="127">
        <v>4960.429854975604</v>
      </c>
      <c r="L339" s="127">
        <v>5766.107949958785</v>
      </c>
      <c r="M339" s="127">
        <v>7939.6621085441457</v>
      </c>
      <c r="N339" s="123">
        <v>3560.9113406558449</v>
      </c>
      <c r="O339" s="127">
        <v>4451.1391758198051</v>
      </c>
      <c r="P339" s="128">
        <v>6428.2314313790785</v>
      </c>
      <c r="Q339" s="127">
        <v>3271.3256674921781</v>
      </c>
      <c r="R339" s="127">
        <v>3913.9419805728735</v>
      </c>
      <c r="S339" s="127">
        <v>5261.8988852970106</v>
      </c>
      <c r="T339" s="123">
        <v>3413.5101774889031</v>
      </c>
      <c r="U339" s="127">
        <v>3826.2515245528534</v>
      </c>
      <c r="V339" s="128">
        <v>4717.713475671283</v>
      </c>
      <c r="W339" s="127">
        <v>3391.9103878589326</v>
      </c>
      <c r="X339" s="127">
        <v>3764.7075294250531</v>
      </c>
      <c r="Y339" s="127">
        <v>4549.1926239076893</v>
      </c>
      <c r="Z339" s="123">
        <v>3511.1210445990619</v>
      </c>
      <c r="AA339" s="127">
        <v>3897.0203578015594</v>
      </c>
      <c r="AB339" s="128">
        <v>4709.0766356653567</v>
      </c>
      <c r="AC339" s="127">
        <v>3244.0004328853943</v>
      </c>
      <c r="AD339" s="127">
        <v>5689.869851620002</v>
      </c>
      <c r="AE339" s="127">
        <v>8648.6571801221453</v>
      </c>
      <c r="AF339" s="17"/>
      <c r="AG339" s="20"/>
      <c r="AH339" s="19"/>
    </row>
    <row r="340" spans="1:34" x14ac:dyDescent="0.3">
      <c r="A340" s="24">
        <v>2029</v>
      </c>
      <c r="B340" s="123">
        <v>5398.6830423351321</v>
      </c>
      <c r="C340" s="127">
        <v>6319.5830896680463</v>
      </c>
      <c r="D340" s="128">
        <v>7654.8881583007687</v>
      </c>
      <c r="E340" s="127">
        <v>5358.0914405130634</v>
      </c>
      <c r="F340" s="127">
        <v>6272.0674273397153</v>
      </c>
      <c r="G340" s="127">
        <v>7597.3326082383574</v>
      </c>
      <c r="H340" s="123">
        <v>4802.7371709497929</v>
      </c>
      <c r="I340" s="127">
        <v>5637.2442952752554</v>
      </c>
      <c r="J340" s="128">
        <v>8013.6819717613334</v>
      </c>
      <c r="K340" s="127">
        <v>4758.3757962765148</v>
      </c>
      <c r="L340" s="127">
        <v>5585.1748404193577</v>
      </c>
      <c r="M340" s="127">
        <v>7939.6621085441457</v>
      </c>
      <c r="N340" s="123">
        <v>3447.8270046688867</v>
      </c>
      <c r="O340" s="127">
        <v>4309.7837558361089</v>
      </c>
      <c r="P340" s="128">
        <v>6428.2314313790785</v>
      </c>
      <c r="Q340" s="127">
        <v>3088.2408325442611</v>
      </c>
      <c r="R340" s="127">
        <v>3777.1193568889103</v>
      </c>
      <c r="S340" s="127">
        <v>5191.3628307993713</v>
      </c>
      <c r="T340" s="123">
        <v>3283.2766112003428</v>
      </c>
      <c r="U340" s="127">
        <v>3708.5088981060289</v>
      </c>
      <c r="V340" s="128">
        <v>4634.3091065579956</v>
      </c>
      <c r="W340" s="127">
        <v>3340.5989962100284</v>
      </c>
      <c r="X340" s="127">
        <v>3717.612757440163</v>
      </c>
      <c r="Y340" s="127">
        <v>4516.1272852117618</v>
      </c>
      <c r="Z340" s="123">
        <v>3451.1371481477422</v>
      </c>
      <c r="AA340" s="127">
        <v>3840.6260386791632</v>
      </c>
      <c r="AB340" s="128">
        <v>4665.5628698446826</v>
      </c>
      <c r="AC340" s="127">
        <v>3173.7663283768852</v>
      </c>
      <c r="AD340" s="127">
        <v>5508.3784745741577</v>
      </c>
      <c r="AE340" s="127">
        <v>8621.5464559020493</v>
      </c>
      <c r="AF340" s="17"/>
      <c r="AG340" s="20"/>
      <c r="AH340" s="19"/>
    </row>
    <row r="341" spans="1:34" x14ac:dyDescent="0.3">
      <c r="A341" s="24">
        <v>2030</v>
      </c>
      <c r="B341" s="123">
        <v>5318.1042881935027</v>
      </c>
      <c r="C341" s="127">
        <v>6285.0493378930614</v>
      </c>
      <c r="D341" s="128">
        <v>7654.8881583007687</v>
      </c>
      <c r="E341" s="127">
        <v>5278.1185416657318</v>
      </c>
      <c r="F341" s="127">
        <v>6237.793327833715</v>
      </c>
      <c r="G341" s="127">
        <v>7597.3326082383574</v>
      </c>
      <c r="H341" s="123">
        <v>4594.8652066402383</v>
      </c>
      <c r="I341" s="127">
        <v>5453.0690029534517</v>
      </c>
      <c r="J341" s="128">
        <v>8013.6819717613334</v>
      </c>
      <c r="K341" s="127">
        <v>4552.4238800071871</v>
      </c>
      <c r="L341" s="127">
        <v>5402.7007174219279</v>
      </c>
      <c r="M341" s="127">
        <v>7939.6621085441457</v>
      </c>
      <c r="N341" s="123">
        <v>3339.0134478764253</v>
      </c>
      <c r="O341" s="127">
        <v>4173.7668098455324</v>
      </c>
      <c r="P341" s="128">
        <v>6428.2314313790785</v>
      </c>
      <c r="Q341" s="127">
        <v>2921.3312269457465</v>
      </c>
      <c r="R341" s="127">
        <v>3655.5263985594261</v>
      </c>
      <c r="S341" s="127">
        <v>5127.4617084616411</v>
      </c>
      <c r="T341" s="123">
        <v>3159.4091120571943</v>
      </c>
      <c r="U341" s="127">
        <v>3596.3737247934882</v>
      </c>
      <c r="V341" s="128">
        <v>4554.527667469707</v>
      </c>
      <c r="W341" s="127">
        <v>3294.6159213121809</v>
      </c>
      <c r="X341" s="127">
        <v>3675.5290921012065</v>
      </c>
      <c r="Y341" s="127">
        <v>4486.9332173700159</v>
      </c>
      <c r="Z341" s="123">
        <v>3396.8751134524459</v>
      </c>
      <c r="AA341" s="127">
        <v>3789.6111716586361</v>
      </c>
      <c r="AB341" s="128">
        <v>4626.1998806030515</v>
      </c>
      <c r="AC341" s="127">
        <v>3112.768473871763</v>
      </c>
      <c r="AD341" s="127">
        <v>5147.2431468171781</v>
      </c>
      <c r="AE341" s="127">
        <v>7987.9565355390723</v>
      </c>
      <c r="AF341" s="17">
        <v>5512.0167894839378</v>
      </c>
      <c r="AG341" s="20">
        <v>10147.427842945028</v>
      </c>
      <c r="AH341" s="19">
        <v>17789.161303230201</v>
      </c>
    </row>
    <row r="342" spans="1:34" x14ac:dyDescent="0.3">
      <c r="A342" s="24">
        <v>2031</v>
      </c>
      <c r="B342" s="123">
        <v>5277.8149111226885</v>
      </c>
      <c r="C342" s="127">
        <v>6268.9335870647365</v>
      </c>
      <c r="D342" s="128">
        <v>7654.8881583007687</v>
      </c>
      <c r="E342" s="127">
        <v>5238.1320922420673</v>
      </c>
      <c r="F342" s="127">
        <v>6221.7987480642496</v>
      </c>
      <c r="G342" s="127">
        <v>7597.3326082383574</v>
      </c>
      <c r="H342" s="123">
        <v>4582.6966453492296</v>
      </c>
      <c r="I342" s="127">
        <v>5416.8377979065399</v>
      </c>
      <c r="J342" s="128">
        <v>8013.6819717613334</v>
      </c>
      <c r="K342" s="127">
        <v>4540.3677158945893</v>
      </c>
      <c r="L342" s="127">
        <v>5366.80416863555</v>
      </c>
      <c r="M342" s="127">
        <v>7939.6621085441457</v>
      </c>
      <c r="N342" s="123">
        <v>3234.3021347470367</v>
      </c>
      <c r="O342" s="127">
        <v>4042.8776684337954</v>
      </c>
      <c r="P342" s="128">
        <v>6428.2314313790785</v>
      </c>
      <c r="Q342" s="127">
        <v>2768.9399314921016</v>
      </c>
      <c r="R342" s="127">
        <v>3547.9678341844833</v>
      </c>
      <c r="S342" s="127">
        <v>5069.6775403493348</v>
      </c>
      <c r="T342" s="123">
        <v>3091.7094831408876</v>
      </c>
      <c r="U342" s="127">
        <v>3536.7415393818551</v>
      </c>
      <c r="V342" s="128">
        <v>4515.9997957586866</v>
      </c>
      <c r="W342" s="127">
        <v>3246.5698324674149</v>
      </c>
      <c r="X342" s="127">
        <v>3630.3581941237185</v>
      </c>
      <c r="Y342" s="127">
        <v>4452.0794252312025</v>
      </c>
      <c r="Z342" s="123">
        <v>3347.3377569309273</v>
      </c>
      <c r="AA342" s="127">
        <v>3743.0382469667306</v>
      </c>
      <c r="AB342" s="128">
        <v>4590.2642869091369</v>
      </c>
      <c r="AC342" s="127">
        <v>3031.0326282597443</v>
      </c>
      <c r="AD342" s="127">
        <v>4755.4083224026772</v>
      </c>
      <c r="AE342" s="127">
        <v>7308.2617536963116</v>
      </c>
      <c r="AF342" s="17">
        <v>4840.697694763131</v>
      </c>
      <c r="AG342" s="20">
        <v>8932.7986856853913</v>
      </c>
      <c r="AH342" s="19">
        <v>15916.914179308425</v>
      </c>
    </row>
    <row r="343" spans="1:34" x14ac:dyDescent="0.3">
      <c r="A343" s="24">
        <v>2032</v>
      </c>
      <c r="B343" s="123">
        <v>5237.5255340518725</v>
      </c>
      <c r="C343" s="127">
        <v>6252.8178362364097</v>
      </c>
      <c r="D343" s="128">
        <v>7654.8881583007687</v>
      </c>
      <c r="E343" s="127">
        <v>5198.1456428183992</v>
      </c>
      <c r="F343" s="127">
        <v>6205.8041682947824</v>
      </c>
      <c r="G343" s="127">
        <v>7597.3326082383574</v>
      </c>
      <c r="H343" s="123">
        <v>4568.6982252174685</v>
      </c>
      <c r="I343" s="127">
        <v>5379.9661422653671</v>
      </c>
      <c r="J343" s="128">
        <v>8013.6819717613334</v>
      </c>
      <c r="K343" s="127">
        <v>4526.4985947725791</v>
      </c>
      <c r="L343" s="127">
        <v>5330.2730848958763</v>
      </c>
      <c r="M343" s="127">
        <v>7939.6621085441457</v>
      </c>
      <c r="N343" s="123">
        <v>3133.5312796429794</v>
      </c>
      <c r="O343" s="127">
        <v>3916.9140995537241</v>
      </c>
      <c r="P343" s="128">
        <v>6428.2314313790785</v>
      </c>
      <c r="Q343" s="127">
        <v>2629.4926159941851</v>
      </c>
      <c r="R343" s="127">
        <v>3453.2798783217063</v>
      </c>
      <c r="S343" s="127">
        <v>5017.500005054585</v>
      </c>
      <c r="T343" s="123">
        <v>3028.6826364765598</v>
      </c>
      <c r="U343" s="127">
        <v>3481.2253029362414</v>
      </c>
      <c r="V343" s="128">
        <v>4480.1312053172924</v>
      </c>
      <c r="W343" s="127">
        <v>3202.3717151945825</v>
      </c>
      <c r="X343" s="127">
        <v>3588.8049960563658</v>
      </c>
      <c r="Y343" s="127">
        <v>4420.0170445173135</v>
      </c>
      <c r="Z343" s="123">
        <v>3301.7678063778621</v>
      </c>
      <c r="AA343" s="127">
        <v>3700.195309346514</v>
      </c>
      <c r="AB343" s="128">
        <v>4557.2067452331785</v>
      </c>
      <c r="AC343" s="127">
        <v>2962.0334902465024</v>
      </c>
      <c r="AD343" s="127">
        <v>4375.4882355734853</v>
      </c>
      <c r="AE343" s="127">
        <v>6639.040849201102</v>
      </c>
      <c r="AF343" s="17">
        <v>4462.9496155986353</v>
      </c>
      <c r="AG343" s="20">
        <v>8062.032763312317</v>
      </c>
      <c r="AH343" s="19">
        <v>14455.50545145961</v>
      </c>
    </row>
    <row r="344" spans="1:34" x14ac:dyDescent="0.3">
      <c r="A344" s="24">
        <v>2033</v>
      </c>
      <c r="B344" s="123">
        <v>5197.2361569810582</v>
      </c>
      <c r="C344" s="127">
        <v>6236.7020854080847</v>
      </c>
      <c r="D344" s="128">
        <v>7654.8881583007687</v>
      </c>
      <c r="E344" s="127">
        <v>5158.1591933947338</v>
      </c>
      <c r="F344" s="127">
        <v>6189.8095885253178</v>
      </c>
      <c r="G344" s="127">
        <v>7597.3326082383574</v>
      </c>
      <c r="H344" s="123">
        <v>4553.1444250710674</v>
      </c>
      <c r="I344" s="127">
        <v>5342.7285148560395</v>
      </c>
      <c r="J344" s="128">
        <v>8013.6819717613334</v>
      </c>
      <c r="K344" s="127">
        <v>4511.0884601925673</v>
      </c>
      <c r="L344" s="127">
        <v>5293.3794097543196</v>
      </c>
      <c r="M344" s="127">
        <v>7939.6621085441457</v>
      </c>
      <c r="N344" s="123">
        <v>3036.5455742511604</v>
      </c>
      <c r="O344" s="127">
        <v>3795.6819678139505</v>
      </c>
      <c r="P344" s="128">
        <v>6428.2314313790785</v>
      </c>
      <c r="Q344" s="127">
        <v>2556.2763752391911</v>
      </c>
      <c r="R344" s="127">
        <v>3370.3220897023893</v>
      </c>
      <c r="S344" s="127">
        <v>4970.4244578362568</v>
      </c>
      <c r="T344" s="123">
        <v>2969.7249588496825</v>
      </c>
      <c r="U344" s="127">
        <v>3429.2933319644121</v>
      </c>
      <c r="V344" s="128">
        <v>4446.5783797501654</v>
      </c>
      <c r="W344" s="127">
        <v>3161.45065018687</v>
      </c>
      <c r="X344" s="127">
        <v>3550.3327437453468</v>
      </c>
      <c r="Y344" s="127">
        <v>4390.3319165876328</v>
      </c>
      <c r="Z344" s="123">
        <v>3259.576622136482</v>
      </c>
      <c r="AA344" s="127">
        <v>3660.5289447216137</v>
      </c>
      <c r="AB344" s="128">
        <v>4526.6002421650383</v>
      </c>
      <c r="AC344" s="127">
        <v>2902.5208329018601</v>
      </c>
      <c r="AD344" s="127">
        <v>4131.8972119587543</v>
      </c>
      <c r="AE344" s="127">
        <v>5977.7044834685648</v>
      </c>
      <c r="AF344" s="17">
        <v>4206.1041908904008</v>
      </c>
      <c r="AG344" s="20">
        <v>7500.3945518194923</v>
      </c>
      <c r="AH344" s="19">
        <v>13169.821956621028</v>
      </c>
    </row>
    <row r="345" spans="1:34" x14ac:dyDescent="0.3">
      <c r="A345" s="24">
        <v>2034</v>
      </c>
      <c r="B345" s="123">
        <v>5156.9467799102413</v>
      </c>
      <c r="C345" s="127">
        <v>6220.586334579757</v>
      </c>
      <c r="D345" s="128">
        <v>7654.8881583007687</v>
      </c>
      <c r="E345" s="127">
        <v>5118.1727439710667</v>
      </c>
      <c r="F345" s="127">
        <v>6173.8150087558488</v>
      </c>
      <c r="G345" s="127">
        <v>7597.3326082383574</v>
      </c>
      <c r="H345" s="123">
        <v>4536.4012166781768</v>
      </c>
      <c r="I345" s="127">
        <v>5304.5759580263375</v>
      </c>
      <c r="J345" s="128">
        <v>8013.6819717613334</v>
      </c>
      <c r="K345" s="127">
        <v>4494.4999035564379</v>
      </c>
      <c r="L345" s="127">
        <v>5255.5792561080561</v>
      </c>
      <c r="M345" s="127">
        <v>7939.6621085441457</v>
      </c>
      <c r="N345" s="123">
        <v>2943.1959260873023</v>
      </c>
      <c r="O345" s="127">
        <v>3678.9949076091275</v>
      </c>
      <c r="P345" s="128">
        <v>6428.2314313790785</v>
      </c>
      <c r="Q345" s="127">
        <v>2492.726400766222</v>
      </c>
      <c r="R345" s="127">
        <v>3297.971702078783</v>
      </c>
      <c r="S345" s="127">
        <v>4927.9505520365074</v>
      </c>
      <c r="T345" s="123">
        <v>2914.3427336870441</v>
      </c>
      <c r="U345" s="127">
        <v>3380.5107437542133</v>
      </c>
      <c r="V345" s="128">
        <v>4415.0603448614547</v>
      </c>
      <c r="W345" s="127">
        <v>3123.354050089245</v>
      </c>
      <c r="X345" s="127">
        <v>3514.5159337265545</v>
      </c>
      <c r="Y345" s="127">
        <v>4362.6957236544649</v>
      </c>
      <c r="Z345" s="123">
        <v>3220.2975693213584</v>
      </c>
      <c r="AA345" s="127">
        <v>3623.6004427347639</v>
      </c>
      <c r="AB345" s="128">
        <v>4498.1062694995198</v>
      </c>
      <c r="AC345" s="127">
        <v>2850.3291686968159</v>
      </c>
      <c r="AD345" s="127">
        <v>3895.2148238167388</v>
      </c>
      <c r="AE345" s="127">
        <v>5322.5095787324235</v>
      </c>
      <c r="AF345" s="17">
        <v>4014.2399114891523</v>
      </c>
      <c r="AG345" s="20">
        <v>7017.3405265659367</v>
      </c>
      <c r="AH345" s="19">
        <v>11981.049239534395</v>
      </c>
    </row>
    <row r="346" spans="1:34" x14ac:dyDescent="0.3">
      <c r="A346" s="24">
        <v>2035</v>
      </c>
      <c r="B346" s="123">
        <v>5116.657402839428</v>
      </c>
      <c r="C346" s="127">
        <v>6204.4705837514311</v>
      </c>
      <c r="D346" s="128">
        <v>7654.8881583007687</v>
      </c>
      <c r="E346" s="127">
        <v>5078.1862945474022</v>
      </c>
      <c r="F346" s="127">
        <v>6157.8204289863834</v>
      </c>
      <c r="G346" s="127">
        <v>7597.3326082383574</v>
      </c>
      <c r="H346" s="123">
        <v>4517.9196423865706</v>
      </c>
      <c r="I346" s="127">
        <v>5265.5084717762575</v>
      </c>
      <c r="J346" s="128">
        <v>8013.6819717613334</v>
      </c>
      <c r="K346" s="127">
        <v>4476.1890377613654</v>
      </c>
      <c r="L346" s="127">
        <v>5216.8726239570879</v>
      </c>
      <c r="M346" s="127">
        <v>7939.6621085441457</v>
      </c>
      <c r="N346" s="123">
        <v>2853.3392076212904</v>
      </c>
      <c r="O346" s="127">
        <v>3566.6740095266127</v>
      </c>
      <c r="P346" s="128">
        <v>6428.2314313790785</v>
      </c>
      <c r="Q346" s="127">
        <v>2437.7162722234266</v>
      </c>
      <c r="R346" s="127">
        <v>3235.1195779565874</v>
      </c>
      <c r="S346" s="127">
        <v>4889.5812551388472</v>
      </c>
      <c r="T346" s="123">
        <v>2862.1269828851937</v>
      </c>
      <c r="U346" s="127">
        <v>3334.5172961819535</v>
      </c>
      <c r="V346" s="128">
        <v>4385.3443511345868</v>
      </c>
      <c r="W346" s="127">
        <v>3087.7170606774453</v>
      </c>
      <c r="X346" s="127">
        <v>3481.0115455099349</v>
      </c>
      <c r="Y346" s="127">
        <v>4336.8437916600606</v>
      </c>
      <c r="Z346" s="123">
        <v>3183.5544692627946</v>
      </c>
      <c r="AA346" s="127">
        <v>3589.056136131901</v>
      </c>
      <c r="AB346" s="128">
        <v>4471.4519381529171</v>
      </c>
      <c r="AC346" s="127">
        <v>2803.9468028506017</v>
      </c>
      <c r="AD346" s="127">
        <v>3664.0345749285007</v>
      </c>
      <c r="AE346" s="127">
        <v>4672.228485831879</v>
      </c>
      <c r="AF346" s="17">
        <v>3862.5382636326108</v>
      </c>
      <c r="AG346" s="20">
        <v>6583.3474128146026</v>
      </c>
      <c r="AH346" s="19">
        <v>10853.368393613986</v>
      </c>
    </row>
    <row r="347" spans="1:34" x14ac:dyDescent="0.3">
      <c r="A347" s="24">
        <v>2036</v>
      </c>
      <c r="B347" s="123">
        <v>5076.3680257686128</v>
      </c>
      <c r="C347" s="127">
        <v>6188.3548329231062</v>
      </c>
      <c r="D347" s="128">
        <v>7654.8881583007687</v>
      </c>
      <c r="E347" s="127">
        <v>5038.1998451237359</v>
      </c>
      <c r="F347" s="127">
        <v>6141.825849216917</v>
      </c>
      <c r="G347" s="127">
        <v>7597.3326082383574</v>
      </c>
      <c r="H347" s="123">
        <v>4497.7911951382848</v>
      </c>
      <c r="I347" s="127">
        <v>5225.8920278739533</v>
      </c>
      <c r="J347" s="128">
        <v>8013.6819717613334</v>
      </c>
      <c r="K347" s="127">
        <v>4456.2465106578229</v>
      </c>
      <c r="L347" s="127">
        <v>5177.6221047032932</v>
      </c>
      <c r="M347" s="127">
        <v>7939.6621085441457</v>
      </c>
      <c r="N347" s="123">
        <v>2766.8380155902596</v>
      </c>
      <c r="O347" s="127">
        <v>3458.547519487825</v>
      </c>
      <c r="P347" s="128">
        <v>6428.2314313790785</v>
      </c>
      <c r="Q347" s="127">
        <v>2390.1709654923648</v>
      </c>
      <c r="R347" s="127">
        <v>3180.6672577826052</v>
      </c>
      <c r="S347" s="127">
        <v>4854.8221312109999</v>
      </c>
      <c r="T347" s="123">
        <v>2812.7351197676758</v>
      </c>
      <c r="U347" s="127">
        <v>3291.0112269996389</v>
      </c>
      <c r="V347" s="128">
        <v>4357.2354324267371</v>
      </c>
      <c r="W347" s="127">
        <v>3054.2412547915101</v>
      </c>
      <c r="X347" s="127">
        <v>3449.5390105180995</v>
      </c>
      <c r="Y347" s="127">
        <v>4312.5596343419202</v>
      </c>
      <c r="Z347" s="123">
        <v>3149.0396321368312</v>
      </c>
      <c r="AA347" s="127">
        <v>3556.6067479712151</v>
      </c>
      <c r="AB347" s="128">
        <v>4446.4140425027608</v>
      </c>
      <c r="AC347" s="127">
        <v>2772.9322806894993</v>
      </c>
      <c r="AD347" s="127">
        <v>3633.6117801591713</v>
      </c>
      <c r="AE347" s="127">
        <v>4643.8462084441517</v>
      </c>
      <c r="AF347" s="17">
        <v>3531.5499473831769</v>
      </c>
      <c r="AG347" s="20">
        <v>6155.0503212832518</v>
      </c>
      <c r="AH347" s="19">
        <v>10290.617366540531</v>
      </c>
    </row>
    <row r="348" spans="1:34" x14ac:dyDescent="0.3">
      <c r="A348" s="24">
        <v>2037</v>
      </c>
      <c r="B348" s="123">
        <v>5036.0786486977977</v>
      </c>
      <c r="C348" s="127">
        <v>6172.2390820947803</v>
      </c>
      <c r="D348" s="128">
        <v>7654.8881583007687</v>
      </c>
      <c r="E348" s="127">
        <v>4998.2133957000706</v>
      </c>
      <c r="F348" s="127">
        <v>6125.8312694474516</v>
      </c>
      <c r="G348" s="127">
        <v>7597.3326082383574</v>
      </c>
      <c r="H348" s="123">
        <v>4476.9308043537003</v>
      </c>
      <c r="I348" s="127">
        <v>5185.8181192614584</v>
      </c>
      <c r="J348" s="128">
        <v>8013.6819717613334</v>
      </c>
      <c r="K348" s="127">
        <v>4435.5788007505134</v>
      </c>
      <c r="L348" s="127">
        <v>5137.9183461971461</v>
      </c>
      <c r="M348" s="127">
        <v>7939.6621085441457</v>
      </c>
      <c r="N348" s="123">
        <v>2683.5604400836814</v>
      </c>
      <c r="O348" s="127">
        <v>3354.4505501046019</v>
      </c>
      <c r="P348" s="128">
        <v>6428.2314313790785</v>
      </c>
      <c r="Q348" s="127">
        <v>2349.059170639483</v>
      </c>
      <c r="R348" s="127">
        <v>3133.5247669042292</v>
      </c>
      <c r="S348" s="127">
        <v>4823.1808076172292</v>
      </c>
      <c r="T348" s="123">
        <v>2765.8773135828169</v>
      </c>
      <c r="U348" s="127">
        <v>3249.7372432108614</v>
      </c>
      <c r="V348" s="128">
        <v>4330.5686460019269</v>
      </c>
      <c r="W348" s="127">
        <v>3022.6794254699576</v>
      </c>
      <c r="X348" s="127">
        <v>3419.8659152350874</v>
      </c>
      <c r="Y348" s="127">
        <v>4289.6639218053942</v>
      </c>
      <c r="Z348" s="123">
        <v>3116.4981781045444</v>
      </c>
      <c r="AA348" s="127">
        <v>3526.0126510223313</v>
      </c>
      <c r="AB348" s="128">
        <v>4422.8076865639732</v>
      </c>
      <c r="AC348" s="127">
        <v>2744.1210522855058</v>
      </c>
      <c r="AD348" s="127">
        <v>3605.2874607063923</v>
      </c>
      <c r="AE348" s="127">
        <v>4617.3512490067742</v>
      </c>
      <c r="AF348" s="17">
        <v>3314.0578126795249</v>
      </c>
      <c r="AG348" s="20">
        <v>5868.9140871132058</v>
      </c>
      <c r="AH348" s="19">
        <v>9909.1253621063806</v>
      </c>
    </row>
    <row r="349" spans="1:34" x14ac:dyDescent="0.3">
      <c r="A349" s="24">
        <v>2038</v>
      </c>
      <c r="B349" s="123">
        <v>4995.7892716269826</v>
      </c>
      <c r="C349" s="127">
        <v>6156.1233312664535</v>
      </c>
      <c r="D349" s="128">
        <v>7654.8881583007687</v>
      </c>
      <c r="E349" s="127">
        <v>4958.2269462764043</v>
      </c>
      <c r="F349" s="127">
        <v>6109.8366896779844</v>
      </c>
      <c r="G349" s="127">
        <v>7597.3326082383574</v>
      </c>
      <c r="H349" s="123">
        <v>4454.4235406124362</v>
      </c>
      <c r="I349" s="127">
        <v>5144.8292812285899</v>
      </c>
      <c r="J349" s="128">
        <v>8013.6819717613334</v>
      </c>
      <c r="K349" s="127">
        <v>4413.2794295347321</v>
      </c>
      <c r="L349" s="127">
        <v>5097.3081091862923</v>
      </c>
      <c r="M349" s="127">
        <v>7939.6621085441457</v>
      </c>
      <c r="N349" s="123">
        <v>2603.37984300178</v>
      </c>
      <c r="O349" s="127">
        <v>3254.2248037522245</v>
      </c>
      <c r="P349" s="128">
        <v>6428.2314313790785</v>
      </c>
      <c r="Q349" s="127">
        <v>2313.3861253875293</v>
      </c>
      <c r="R349" s="127">
        <v>3092.6089581484584</v>
      </c>
      <c r="S349" s="127">
        <v>4794.1665719787325</v>
      </c>
      <c r="T349" s="123">
        <v>2721.3061842826573</v>
      </c>
      <c r="U349" s="127">
        <v>3210.4774438740151</v>
      </c>
      <c r="V349" s="128">
        <v>4305.2032078277407</v>
      </c>
      <c r="W349" s="127">
        <v>2992.8244960731859</v>
      </c>
      <c r="X349" s="127">
        <v>3391.7975749740554</v>
      </c>
      <c r="Y349" s="127">
        <v>4268.0064356596222</v>
      </c>
      <c r="Z349" s="123">
        <v>3085.7166032248292</v>
      </c>
      <c r="AA349" s="127">
        <v>3497.0731179217191</v>
      </c>
      <c r="AB349" s="128">
        <v>4400.477989426101</v>
      </c>
      <c r="AC349" s="127">
        <v>2717.239382808134</v>
      </c>
      <c r="AD349" s="127">
        <v>3578.8049185638756</v>
      </c>
      <c r="AE349" s="127">
        <v>4592.5171027572123</v>
      </c>
      <c r="AF349" s="17">
        <v>3154.6251792155267</v>
      </c>
      <c r="AG349" s="20">
        <v>5656.5671208333551</v>
      </c>
      <c r="AH349" s="19">
        <v>9622.9838801510086</v>
      </c>
    </row>
    <row r="350" spans="1:34" x14ac:dyDescent="0.3">
      <c r="A350" s="24">
        <v>2039</v>
      </c>
      <c r="B350" s="123">
        <v>4955.4998945561674</v>
      </c>
      <c r="C350" s="127">
        <v>6140.0075804381295</v>
      </c>
      <c r="D350" s="128">
        <v>7654.8881583007687</v>
      </c>
      <c r="E350" s="127">
        <v>4918.240496852738</v>
      </c>
      <c r="F350" s="127">
        <v>6093.842109908519</v>
      </c>
      <c r="G350" s="127">
        <v>7597.3326082383574</v>
      </c>
      <c r="H350" s="123">
        <v>4430.3608968565331</v>
      </c>
      <c r="I350" s="127">
        <v>5103.3829784855307</v>
      </c>
      <c r="J350" s="128">
        <v>8013.6819717613334</v>
      </c>
      <c r="K350" s="127">
        <v>4389.4390448609502</v>
      </c>
      <c r="L350" s="127">
        <v>5056.244632923087</v>
      </c>
      <c r="M350" s="127">
        <v>7939.6621085441457</v>
      </c>
      <c r="N350" s="123">
        <v>2526.1746455049174</v>
      </c>
      <c r="O350" s="127">
        <v>3157.7183068811464</v>
      </c>
      <c r="P350" s="128">
        <v>6428.2314313790785</v>
      </c>
      <c r="Q350" s="127">
        <v>2282.1870523718262</v>
      </c>
      <c r="R350" s="127">
        <v>3056.8422403234399</v>
      </c>
      <c r="S350" s="127">
        <v>4767.2900629798787</v>
      </c>
      <c r="T350" s="123">
        <v>2678.8088968230813</v>
      </c>
      <c r="U350" s="127">
        <v>3173.0443564871712</v>
      </c>
      <c r="V350" s="128">
        <v>4281.0179934400367</v>
      </c>
      <c r="W350" s="127">
        <v>2964.5012782992762</v>
      </c>
      <c r="X350" s="127">
        <v>3365.1692851127723</v>
      </c>
      <c r="Y350" s="127">
        <v>4247.4600900833229</v>
      </c>
      <c r="Z350" s="123">
        <v>3056.5142816532239</v>
      </c>
      <c r="AA350" s="127">
        <v>3469.6183318999338</v>
      </c>
      <c r="AB350" s="128">
        <v>4379.2939207433001</v>
      </c>
      <c r="AC350" s="127">
        <v>2692.0608783635557</v>
      </c>
      <c r="AD350" s="127">
        <v>3553.951069361754</v>
      </c>
      <c r="AE350" s="127">
        <v>4569.1552928984556</v>
      </c>
      <c r="AF350" s="17">
        <v>3030.0698444331078</v>
      </c>
      <c r="AG350" s="20">
        <v>5489.0368431189645</v>
      </c>
      <c r="AH350" s="19">
        <v>9395.3337330378581</v>
      </c>
    </row>
    <row r="351" spans="1:34" x14ac:dyDescent="0.3">
      <c r="A351" s="24">
        <v>2040</v>
      </c>
      <c r="B351" s="123">
        <v>4915.2105174853523</v>
      </c>
      <c r="C351" s="127">
        <v>6123.8918296098027</v>
      </c>
      <c r="D351" s="128">
        <v>7654.8881583007687</v>
      </c>
      <c r="E351" s="127">
        <v>4878.2540474290709</v>
      </c>
      <c r="F351" s="127">
        <v>6077.8475301390517</v>
      </c>
      <c r="G351" s="127">
        <v>7597.3326082383574</v>
      </c>
      <c r="H351" s="123">
        <v>4405.1088448541395</v>
      </c>
      <c r="I351" s="127">
        <v>5061.3877180902482</v>
      </c>
      <c r="J351" s="128">
        <v>8013.6819717613334</v>
      </c>
      <c r="K351" s="127">
        <v>4364.4202381310488</v>
      </c>
      <c r="L351" s="127">
        <v>5014.6372695570562</v>
      </c>
      <c r="M351" s="127">
        <v>7939.6621085441457</v>
      </c>
      <c r="N351" s="123">
        <v>2451.8281240872534</v>
      </c>
      <c r="O351" s="127">
        <v>3064.7851551090671</v>
      </c>
      <c r="P351" s="128">
        <v>6428.2314313790785</v>
      </c>
      <c r="Q351" s="127">
        <v>2254.5213258868512</v>
      </c>
      <c r="R351" s="127">
        <v>3025.1515895915572</v>
      </c>
      <c r="S351" s="127">
        <v>4742.0630299610884</v>
      </c>
      <c r="T351" s="123">
        <v>2638.2010142530548</v>
      </c>
      <c r="U351" s="127">
        <v>3137.2755225754913</v>
      </c>
      <c r="V351" s="128">
        <v>4257.9080397348498</v>
      </c>
      <c r="W351" s="127">
        <v>2937.5602431894122</v>
      </c>
      <c r="X351" s="127">
        <v>3339.8404648567148</v>
      </c>
      <c r="Y351" s="127">
        <v>4227.9164131618245</v>
      </c>
      <c r="Z351" s="123">
        <v>3028.7370433100982</v>
      </c>
      <c r="AA351" s="127">
        <v>3443.5033487772153</v>
      </c>
      <c r="AB351" s="128">
        <v>4359.1436418198782</v>
      </c>
      <c r="AC351" s="127">
        <v>2668.3953991241947</v>
      </c>
      <c r="AD351" s="127">
        <v>3530.5470871597299</v>
      </c>
      <c r="AE351" s="127">
        <v>4547.1074989210065</v>
      </c>
      <c r="AF351" s="17">
        <v>2928.6043585782249</v>
      </c>
      <c r="AG351" s="20">
        <v>5351.4420183067978</v>
      </c>
      <c r="AH351" s="19">
        <v>9207.065036580143</v>
      </c>
    </row>
    <row r="352" spans="1:34" x14ac:dyDescent="0.3">
      <c r="A352" s="24">
        <v>2041</v>
      </c>
      <c r="B352" s="123">
        <v>4878.9500781216193</v>
      </c>
      <c r="C352" s="127">
        <v>6105.5741413302731</v>
      </c>
      <c r="D352" s="128">
        <v>7654.8881583007687</v>
      </c>
      <c r="E352" s="127">
        <v>4842.2662429477723</v>
      </c>
      <c r="F352" s="127">
        <v>6059.6675688390687</v>
      </c>
      <c r="G352" s="127">
        <v>7597.3326082383574</v>
      </c>
      <c r="H352" s="123">
        <v>4378.5758916632194</v>
      </c>
      <c r="I352" s="127">
        <v>5018.4775282745859</v>
      </c>
      <c r="J352" s="128">
        <v>8013.6819717613334</v>
      </c>
      <c r="K352" s="127">
        <v>4338.1323614945595</v>
      </c>
      <c r="L352" s="127">
        <v>4972.1234276863188</v>
      </c>
      <c r="M352" s="127">
        <v>7939.6621085441457</v>
      </c>
      <c r="N352" s="123">
        <v>2380.2282149229877</v>
      </c>
      <c r="O352" s="127">
        <v>2975.2852686537349</v>
      </c>
      <c r="P352" s="128">
        <v>6428.2314313790785</v>
      </c>
      <c r="Q352" s="127">
        <v>2229.467499123276</v>
      </c>
      <c r="R352" s="127">
        <v>2996.4677714032628</v>
      </c>
      <c r="S352" s="127">
        <v>4717.9981437143579</v>
      </c>
      <c r="T352" s="123">
        <v>2599.3216599914513</v>
      </c>
      <c r="U352" s="127">
        <v>3103.0292364565721</v>
      </c>
      <c r="V352" s="128">
        <v>4235.7817918192204</v>
      </c>
      <c r="W352" s="127">
        <v>2911.8727425247534</v>
      </c>
      <c r="X352" s="127">
        <v>3315.6901645987914</v>
      </c>
      <c r="Y352" s="127">
        <v>4209.2820803730656</v>
      </c>
      <c r="Z352" s="123">
        <v>3002.252246957928</v>
      </c>
      <c r="AA352" s="127">
        <v>3418.6034648794066</v>
      </c>
      <c r="AB352" s="128">
        <v>4339.9309315016699</v>
      </c>
      <c r="AC352" s="127">
        <v>2646.0829615499952</v>
      </c>
      <c r="AD352" s="127">
        <v>3508.4416625739841</v>
      </c>
      <c r="AE352" s="127">
        <v>4526.2387936119449</v>
      </c>
      <c r="AF352" s="17">
        <v>2843.4615176883931</v>
      </c>
      <c r="AG352" s="20">
        <v>5235.1681111299795</v>
      </c>
      <c r="AH352" s="19">
        <v>9047.0314947397783</v>
      </c>
    </row>
    <row r="353" spans="1:34" x14ac:dyDescent="0.3">
      <c r="A353" s="24">
        <v>2042</v>
      </c>
      <c r="B353" s="123">
        <v>4842.6896387578863</v>
      </c>
      <c r="C353" s="127">
        <v>6087.2564530507452</v>
      </c>
      <c r="D353" s="128">
        <v>7654.8881583007687</v>
      </c>
      <c r="E353" s="127">
        <v>4806.2784384664737</v>
      </c>
      <c r="F353" s="127">
        <v>6041.4876075390857</v>
      </c>
      <c r="G353" s="127">
        <v>7597.3326082383574</v>
      </c>
      <c r="H353" s="123">
        <v>4350.6705443417341</v>
      </c>
      <c r="I353" s="127">
        <v>4975.2013666907751</v>
      </c>
      <c r="J353" s="128">
        <v>8013.6819717613334</v>
      </c>
      <c r="K353" s="127">
        <v>4310.4847671010093</v>
      </c>
      <c r="L353" s="127">
        <v>4929.2469944136992</v>
      </c>
      <c r="M353" s="127">
        <v>7939.6621085441457</v>
      </c>
      <c r="N353" s="123">
        <v>2311.267326147909</v>
      </c>
      <c r="O353" s="127">
        <v>2889.084157684887</v>
      </c>
      <c r="P353" s="128">
        <v>6428.2314313790785</v>
      </c>
      <c r="Q353" s="127">
        <v>2206.1193086813892</v>
      </c>
      <c r="R353" s="127">
        <v>2969.724721368158</v>
      </c>
      <c r="S353" s="127">
        <v>4694.6088459279599</v>
      </c>
      <c r="T353" s="123">
        <v>2562.0296683159527</v>
      </c>
      <c r="U353" s="127">
        <v>3070.1811544573088</v>
      </c>
      <c r="V353" s="128">
        <v>4214.5589122536876</v>
      </c>
      <c r="W353" s="127">
        <v>2887.3272933240219</v>
      </c>
      <c r="X353" s="127">
        <v>3292.6135727613137</v>
      </c>
      <c r="Y353" s="127">
        <v>4191.476219272482</v>
      </c>
      <c r="Z353" s="123">
        <v>2976.9449493760994</v>
      </c>
      <c r="AA353" s="127">
        <v>3394.8106154583402</v>
      </c>
      <c r="AB353" s="128">
        <v>4321.5724072030098</v>
      </c>
      <c r="AC353" s="127">
        <v>2624.9866427913621</v>
      </c>
      <c r="AD353" s="127">
        <v>3487.5055490928139</v>
      </c>
      <c r="AE353" s="127">
        <v>4506.4343169937947</v>
      </c>
      <c r="AF353" s="17">
        <v>2770.4174458737934</v>
      </c>
      <c r="AG353" s="20">
        <v>5134.8003627119642</v>
      </c>
      <c r="AH353" s="19">
        <v>8908.1823014091224</v>
      </c>
    </row>
    <row r="354" spans="1:34" x14ac:dyDescent="0.3">
      <c r="A354" s="24">
        <v>2043</v>
      </c>
      <c r="B354" s="123">
        <v>4806.4291993941524</v>
      </c>
      <c r="C354" s="127">
        <v>6068.9387647712147</v>
      </c>
      <c r="D354" s="128">
        <v>7654.8881583007687</v>
      </c>
      <c r="E354" s="127">
        <v>4770.2906339851743</v>
      </c>
      <c r="F354" s="127">
        <v>6023.3076462391009</v>
      </c>
      <c r="G354" s="127">
        <v>7597.3326082383574</v>
      </c>
      <c r="H354" s="123">
        <v>4321.5757887737591</v>
      </c>
      <c r="I354" s="127">
        <v>4931.2847545126988</v>
      </c>
      <c r="J354" s="128">
        <v>8013.6819717613334</v>
      </c>
      <c r="K354" s="127">
        <v>4281.6587506513397</v>
      </c>
      <c r="L354" s="127">
        <v>4885.7360261877848</v>
      </c>
      <c r="M354" s="127">
        <v>7939.6621085441457</v>
      </c>
      <c r="N354" s="123">
        <v>2244.8421577527729</v>
      </c>
      <c r="O354" s="127">
        <v>2806.0526971909658</v>
      </c>
      <c r="P354" s="128">
        <v>6428.2314313790785</v>
      </c>
      <c r="Q354" s="127">
        <v>2183.5827506128044</v>
      </c>
      <c r="R354" s="127">
        <v>2943.8590476279801</v>
      </c>
      <c r="S354" s="127">
        <v>4671.40922817715</v>
      </c>
      <c r="T354" s="123">
        <v>2526.2004903052207</v>
      </c>
      <c r="U354" s="127">
        <v>3038.6215695602673</v>
      </c>
      <c r="V354" s="128">
        <v>4194.1685202233948</v>
      </c>
      <c r="W354" s="127">
        <v>2863.8266536799879</v>
      </c>
      <c r="X354" s="127">
        <v>3270.5192666213047</v>
      </c>
      <c r="Y354" s="127">
        <v>4174.4282882342522</v>
      </c>
      <c r="Z354" s="123">
        <v>2952.7148904364103</v>
      </c>
      <c r="AA354" s="127">
        <v>3372.0305401875007</v>
      </c>
      <c r="AB354" s="128">
        <v>4303.9953378077535</v>
      </c>
      <c r="AC354" s="127">
        <v>2604.9889220219197</v>
      </c>
      <c r="AD354" s="127">
        <v>3467.6275401265179</v>
      </c>
      <c r="AE354" s="127">
        <v>4487.5946198389556</v>
      </c>
      <c r="AF354" s="17">
        <v>2706.668495344471</v>
      </c>
      <c r="AG354" s="20">
        <v>5046.7234132441927</v>
      </c>
      <c r="AH354" s="19">
        <v>8785.7841390028971</v>
      </c>
    </row>
    <row r="355" spans="1:34" x14ac:dyDescent="0.3">
      <c r="A355" s="24">
        <v>2044</v>
      </c>
      <c r="B355" s="123">
        <v>4770.1687600304185</v>
      </c>
      <c r="C355" s="127">
        <v>6050.6210764916887</v>
      </c>
      <c r="D355" s="128">
        <v>7654.8881583007687</v>
      </c>
      <c r="E355" s="127">
        <v>4734.3028295038739</v>
      </c>
      <c r="F355" s="127">
        <v>6005.1276849391188</v>
      </c>
      <c r="G355" s="127">
        <v>7597.3326082383574</v>
      </c>
      <c r="H355" s="123">
        <v>4291.2001320172576</v>
      </c>
      <c r="I355" s="127">
        <v>4886.9106776244362</v>
      </c>
      <c r="J355" s="128">
        <v>8013.6819717613334</v>
      </c>
      <c r="K355" s="127">
        <v>4251.5636642950831</v>
      </c>
      <c r="L355" s="127">
        <v>4841.771818709517</v>
      </c>
      <c r="M355" s="127">
        <v>7939.6621085441457</v>
      </c>
      <c r="N355" s="123">
        <v>2180.8535287782615</v>
      </c>
      <c r="O355" s="127">
        <v>2726.0669109728274</v>
      </c>
      <c r="P355" s="128">
        <v>6428.2314313790785</v>
      </c>
      <c r="Q355" s="127">
        <v>2160.9743007655452</v>
      </c>
      <c r="R355" s="127">
        <v>2917.8096271956879</v>
      </c>
      <c r="S355" s="127">
        <v>4647.9139337648112</v>
      </c>
      <c r="T355" s="123">
        <v>2491.7236840269629</v>
      </c>
      <c r="U355" s="127">
        <v>3008.253200674113</v>
      </c>
      <c r="V355" s="128">
        <v>4174.5477632036409</v>
      </c>
      <c r="W355" s="127">
        <v>2841.2854959211068</v>
      </c>
      <c r="X355" s="127">
        <v>3249.3270247156083</v>
      </c>
      <c r="Y355" s="127">
        <v>4158.0763885065835</v>
      </c>
      <c r="Z355" s="123">
        <v>2929.4740940436545</v>
      </c>
      <c r="AA355" s="127">
        <v>3350.1805276679675</v>
      </c>
      <c r="AB355" s="128">
        <v>4287.1359033336848</v>
      </c>
      <c r="AC355" s="127">
        <v>2585.9883543773926</v>
      </c>
      <c r="AD355" s="127">
        <v>3448.7113118890584</v>
      </c>
      <c r="AE355" s="127">
        <v>4469.6335571643212</v>
      </c>
      <c r="AF355" s="17">
        <v>2650.2652616757664</v>
      </c>
      <c r="AG355" s="20">
        <v>4968.4090550334549</v>
      </c>
      <c r="AH355" s="19">
        <v>8676.5110572660051</v>
      </c>
    </row>
    <row r="356" spans="1:34" x14ac:dyDescent="0.3">
      <c r="A356" s="24">
        <v>2045</v>
      </c>
      <c r="B356" s="123">
        <v>4733.9083206666874</v>
      </c>
      <c r="C356" s="127">
        <v>6032.3033882121563</v>
      </c>
      <c r="D356" s="128">
        <v>7654.8881583007687</v>
      </c>
      <c r="E356" s="127">
        <v>4698.3150250225763</v>
      </c>
      <c r="F356" s="127">
        <v>5986.9477236391331</v>
      </c>
      <c r="G356" s="127">
        <v>7597.3326082383574</v>
      </c>
      <c r="H356" s="123">
        <v>4259.5435740722296</v>
      </c>
      <c r="I356" s="127">
        <v>4841.8046571998721</v>
      </c>
      <c r="J356" s="128">
        <v>8013.6819717613334</v>
      </c>
      <c r="K356" s="127">
        <v>4220.1995080322367</v>
      </c>
      <c r="L356" s="127">
        <v>4797.082428427485</v>
      </c>
      <c r="M356" s="127">
        <v>7939.6621085441457</v>
      </c>
      <c r="N356" s="123">
        <v>2119.2062115139952</v>
      </c>
      <c r="O356" s="127">
        <v>2649.0077643924938</v>
      </c>
      <c r="P356" s="128">
        <v>6428.2314313790785</v>
      </c>
      <c r="Q356" s="127">
        <v>2137.4203391528526</v>
      </c>
      <c r="R356" s="127">
        <v>2890.5172757410796</v>
      </c>
      <c r="S356" s="127">
        <v>4623.6380774223317</v>
      </c>
      <c r="T356" s="123">
        <v>2458.5008613889149</v>
      </c>
      <c r="U356" s="127">
        <v>2978.9893841486328</v>
      </c>
      <c r="V356" s="128">
        <v>4155.6406485123744</v>
      </c>
      <c r="W356" s="127">
        <v>2819.628536407155</v>
      </c>
      <c r="X356" s="127">
        <v>3228.9660685539516</v>
      </c>
      <c r="Y356" s="127">
        <v>4142.3659075203632</v>
      </c>
      <c r="Z356" s="123">
        <v>2907.1449398833447</v>
      </c>
      <c r="AA356" s="127">
        <v>3329.187602567285</v>
      </c>
      <c r="AB356" s="128">
        <v>4270.9377961317959</v>
      </c>
      <c r="AC356" s="127">
        <v>2567.8965775005918</v>
      </c>
      <c r="AD356" s="127">
        <v>3430.6729473303358</v>
      </c>
      <c r="AE356" s="127">
        <v>4452.4761817259005</v>
      </c>
      <c r="AF356" s="17">
        <v>2599.7999340626779</v>
      </c>
      <c r="AG356" s="20">
        <v>4898.0232240636169</v>
      </c>
      <c r="AH356" s="19">
        <v>8577.939688063645</v>
      </c>
    </row>
    <row r="357" spans="1:34" x14ac:dyDescent="0.3">
      <c r="A357" s="24">
        <v>2046</v>
      </c>
      <c r="B357" s="123">
        <v>4697.6478813029516</v>
      </c>
      <c r="C357" s="127">
        <v>6013.9856999326284</v>
      </c>
      <c r="D357" s="128">
        <v>7654.8881583007687</v>
      </c>
      <c r="E357" s="127">
        <v>4662.327220541275</v>
      </c>
      <c r="F357" s="127">
        <v>5968.7677623391501</v>
      </c>
      <c r="G357" s="127">
        <v>7597.3326082383574</v>
      </c>
      <c r="H357" s="123">
        <v>4226.789100822748</v>
      </c>
      <c r="I357" s="127">
        <v>4796.4241579491945</v>
      </c>
      <c r="J357" s="128">
        <v>8013.6819717613334</v>
      </c>
      <c r="K357" s="127">
        <v>4187.7475775637431</v>
      </c>
      <c r="L357" s="127">
        <v>4752.1210945940402</v>
      </c>
      <c r="M357" s="127">
        <v>7939.6621085441457</v>
      </c>
      <c r="N357" s="123">
        <v>2059.8087724162187</v>
      </c>
      <c r="O357" s="127">
        <v>2574.7609655202727</v>
      </c>
      <c r="P357" s="128">
        <v>6428.2314313790785</v>
      </c>
      <c r="Q357" s="127">
        <v>2112.0578391061777</v>
      </c>
      <c r="R357" s="127">
        <v>2860.9244753480225</v>
      </c>
      <c r="S357" s="127">
        <v>4598.0971791075699</v>
      </c>
      <c r="T357" s="123">
        <v>2426.4439954355657</v>
      </c>
      <c r="U357" s="127">
        <v>2950.752582782864</v>
      </c>
      <c r="V357" s="128">
        <v>4137.3970799924518</v>
      </c>
      <c r="W357" s="127">
        <v>2798.7890184724997</v>
      </c>
      <c r="X357" s="127">
        <v>3209.3736363464568</v>
      </c>
      <c r="Y357" s="127">
        <v>4127.248418379585</v>
      </c>
      <c r="Z357" s="123">
        <v>2885.6585992781606</v>
      </c>
      <c r="AA357" s="127">
        <v>3308.9870550779315</v>
      </c>
      <c r="AB357" s="128">
        <v>4255.3510862188132</v>
      </c>
      <c r="AC357" s="127">
        <v>2550.6360941673338</v>
      </c>
      <c r="AD357" s="127">
        <v>3413.4387398799554</v>
      </c>
      <c r="AE357" s="127">
        <v>4436.0559723012184</v>
      </c>
      <c r="AF357" s="17">
        <v>2554.2254684634349</v>
      </c>
      <c r="AG357" s="20">
        <v>4834.1952135893298</v>
      </c>
      <c r="AH357" s="19">
        <v>8488.2518955168434</v>
      </c>
    </row>
    <row r="358" spans="1:34" x14ac:dyDescent="0.3">
      <c r="A358" s="24">
        <v>2047</v>
      </c>
      <c r="B358" s="123">
        <v>4661.3874419392187</v>
      </c>
      <c r="C358" s="127">
        <v>5995.6680116531006</v>
      </c>
      <c r="D358" s="128">
        <v>7654.8881583007687</v>
      </c>
      <c r="E358" s="127">
        <v>4626.3394160599764</v>
      </c>
      <c r="F358" s="127">
        <v>5950.587801039168</v>
      </c>
      <c r="G358" s="127">
        <v>7597.3326082383574</v>
      </c>
      <c r="H358" s="123">
        <v>4192.8452193267785</v>
      </c>
      <c r="I358" s="127">
        <v>4750.1287292781408</v>
      </c>
      <c r="J358" s="128">
        <v>8013.6819717613334</v>
      </c>
      <c r="K358" s="127">
        <v>4154.1172250391301</v>
      </c>
      <c r="L358" s="127">
        <v>4706.2532822558878</v>
      </c>
      <c r="M358" s="127">
        <v>7939.6621085441457</v>
      </c>
      <c r="N358" s="123">
        <v>2002.5734194704783</v>
      </c>
      <c r="O358" s="127">
        <v>2503.2167743380978</v>
      </c>
      <c r="P358" s="128">
        <v>6428.2314313790785</v>
      </c>
      <c r="Q358" s="127">
        <v>2084.0364020021889</v>
      </c>
      <c r="R358" s="127">
        <v>2827.9751484436138</v>
      </c>
      <c r="S358" s="127">
        <v>4570.8071090306039</v>
      </c>
      <c r="T358" s="123">
        <v>2395.4740147245861</v>
      </c>
      <c r="U358" s="127">
        <v>2923.4731477030205</v>
      </c>
      <c r="V358" s="128">
        <v>4119.7720580709793</v>
      </c>
      <c r="W358" s="127">
        <v>2778.707471399443</v>
      </c>
      <c r="X358" s="127">
        <v>3190.4938162429321</v>
      </c>
      <c r="Y358" s="127">
        <v>4112.6807795906816</v>
      </c>
      <c r="Z358" s="123">
        <v>2864.9537556419641</v>
      </c>
      <c r="AA358" s="127">
        <v>3289.5212379423856</v>
      </c>
      <c r="AB358" s="128">
        <v>4240.3312930636566</v>
      </c>
      <c r="AC358" s="127">
        <v>2534.1388309932831</v>
      </c>
      <c r="AD358" s="127">
        <v>3396.9438049486916</v>
      </c>
      <c r="AE358" s="127">
        <v>4420.3148336893109</v>
      </c>
      <c r="AF358" s="17">
        <v>2512.7426123899863</v>
      </c>
      <c r="AG358" s="20">
        <v>4775.8750441878874</v>
      </c>
      <c r="AH358" s="19">
        <v>8406.0504013474929</v>
      </c>
    </row>
    <row r="359" spans="1:34" x14ac:dyDescent="0.3">
      <c r="A359" s="24">
        <v>2048</v>
      </c>
      <c r="B359" s="123">
        <v>4625.1270025754848</v>
      </c>
      <c r="C359" s="127">
        <v>5977.3503233735728</v>
      </c>
      <c r="D359" s="128">
        <v>7654.8881583007687</v>
      </c>
      <c r="E359" s="127">
        <v>4590.351611578677</v>
      </c>
      <c r="F359" s="127">
        <v>5932.407839739185</v>
      </c>
      <c r="G359" s="127">
        <v>7597.3326082383574</v>
      </c>
      <c r="H359" s="123">
        <v>4157.7119295843177</v>
      </c>
      <c r="I359" s="127">
        <v>4703.4673288389367</v>
      </c>
      <c r="J359" s="128">
        <v>8013.6819717613334</v>
      </c>
      <c r="K359" s="127">
        <v>4119.3084504583967</v>
      </c>
      <c r="L359" s="127">
        <v>4660.0228785158542</v>
      </c>
      <c r="M359" s="127">
        <v>7939.6621085441457</v>
      </c>
      <c r="N359" s="123">
        <v>1947.4158557367889</v>
      </c>
      <c r="O359" s="127">
        <v>2434.2698196709862</v>
      </c>
      <c r="P359" s="128">
        <v>6428.2314313790785</v>
      </c>
      <c r="Q359" s="127">
        <v>2052.5217630159127</v>
      </c>
      <c r="R359" s="127">
        <v>2790.6144688099116</v>
      </c>
      <c r="S359" s="127">
        <v>4541.2840416969239</v>
      </c>
      <c r="T359" s="123">
        <v>2365.5196282687903</v>
      </c>
      <c r="U359" s="127">
        <v>2897.0882833305445</v>
      </c>
      <c r="V359" s="128">
        <v>4102.7250110335754</v>
      </c>
      <c r="W359" s="127">
        <v>2759.3306872631188</v>
      </c>
      <c r="X359" s="127">
        <v>3172.2765844057762</v>
      </c>
      <c r="Y359" s="127">
        <v>4098.6243928411141</v>
      </c>
      <c r="Z359" s="123">
        <v>2844.9755495677332</v>
      </c>
      <c r="AA359" s="127">
        <v>3270.738574669459</v>
      </c>
      <c r="AB359" s="128">
        <v>4225.8386203287882</v>
      </c>
      <c r="AC359" s="127">
        <v>2518.3444754033958</v>
      </c>
      <c r="AD359" s="127">
        <v>3381.1306967094215</v>
      </c>
      <c r="AE359" s="127">
        <v>4405.2009902053533</v>
      </c>
      <c r="AF359" s="17">
        <v>2474.7288380686628</v>
      </c>
      <c r="AG359" s="20">
        <v>4722.2415060883641</v>
      </c>
      <c r="AH359" s="19">
        <v>8330.2381597282583</v>
      </c>
    </row>
    <row r="360" spans="1:34" x14ac:dyDescent="0.3">
      <c r="A360" s="24">
        <v>2049</v>
      </c>
      <c r="B360" s="123">
        <v>4588.8665632117518</v>
      </c>
      <c r="C360" s="127">
        <v>5959.032635094045</v>
      </c>
      <c r="D360" s="128">
        <v>7654.8881583007687</v>
      </c>
      <c r="E360" s="127">
        <v>4554.3638070973784</v>
      </c>
      <c r="F360" s="127">
        <v>5914.227878439202</v>
      </c>
      <c r="G360" s="127">
        <v>7597.3326082383574</v>
      </c>
      <c r="H360" s="123">
        <v>4121.389231595369</v>
      </c>
      <c r="I360" s="127">
        <v>4655.9824919213925</v>
      </c>
      <c r="J360" s="128">
        <v>8013.6819717613334</v>
      </c>
      <c r="K360" s="127">
        <v>4083.3212538215475</v>
      </c>
      <c r="L360" s="127">
        <v>4612.9766441215843</v>
      </c>
      <c r="M360" s="127">
        <v>7939.6621085441457</v>
      </c>
      <c r="N360" s="123">
        <v>1894.2551388255335</v>
      </c>
      <c r="O360" s="127">
        <v>2367.8189235319169</v>
      </c>
      <c r="P360" s="128">
        <v>6428.2314313790785</v>
      </c>
      <c r="Q360" s="127">
        <v>2016.7009713555171</v>
      </c>
      <c r="R360" s="127">
        <v>2747.7887026102994</v>
      </c>
      <c r="S360" s="127">
        <v>4509.0444172493835</v>
      </c>
      <c r="T360" s="123">
        <v>2336.5163370977093</v>
      </c>
      <c r="U360" s="127">
        <v>2871.5411767311903</v>
      </c>
      <c r="V360" s="128">
        <v>4086.2192325038523</v>
      </c>
      <c r="W360" s="127">
        <v>2740.6108713018189</v>
      </c>
      <c r="X360" s="127">
        <v>3154.6770062241399</v>
      </c>
      <c r="Y360" s="127">
        <v>4085.0445866575133</v>
      </c>
      <c r="Z360" s="123">
        <v>2825.6747028268405</v>
      </c>
      <c r="AA360" s="127">
        <v>3252.5927359555344</v>
      </c>
      <c r="AB360" s="128">
        <v>4211.8373203981382</v>
      </c>
      <c r="AC360" s="127">
        <v>2503.1994778135781</v>
      </c>
      <c r="AD360" s="127">
        <v>3365.9481885413747</v>
      </c>
      <c r="AE360" s="127">
        <v>4390.6680987310192</v>
      </c>
      <c r="AF360" s="17">
        <v>2439.6900036851698</v>
      </c>
      <c r="AG360" s="20">
        <v>4672.6407326300568</v>
      </c>
      <c r="AH360" s="19">
        <v>8259.9396405026528</v>
      </c>
    </row>
    <row r="361" spans="1:34" ht="15" thickBot="1" x14ac:dyDescent="0.35">
      <c r="A361" s="25">
        <v>2050</v>
      </c>
      <c r="B361" s="124">
        <v>4552.6061238480179</v>
      </c>
      <c r="C361" s="129">
        <v>5940.7149468145153</v>
      </c>
      <c r="D361" s="130">
        <v>7654.8881583007687</v>
      </c>
      <c r="E361" s="129">
        <v>4518.376002616078</v>
      </c>
      <c r="F361" s="129">
        <v>5896.047917139219</v>
      </c>
      <c r="G361" s="129">
        <v>7597.3326082383574</v>
      </c>
      <c r="H361" s="124">
        <v>4084.1516041860423</v>
      </c>
      <c r="I361" s="129">
        <v>4608.5891479458869</v>
      </c>
      <c r="J361" s="130">
        <v>8013.6819717613334</v>
      </c>
      <c r="K361" s="129">
        <v>4046.4275786799908</v>
      </c>
      <c r="L361" s="129">
        <v>4566.0210575777837</v>
      </c>
      <c r="M361" s="129">
        <v>7939.6621085441457</v>
      </c>
      <c r="N361" s="124">
        <v>1843.0135460626341</v>
      </c>
      <c r="O361" s="129">
        <v>2303.7669325782917</v>
      </c>
      <c r="P361" s="130">
        <v>6428.2314313790785</v>
      </c>
      <c r="Q361" s="129">
        <v>1975.789575299445</v>
      </c>
      <c r="R361" s="129">
        <v>2698.4450738858905</v>
      </c>
      <c r="S361" s="129">
        <v>4473.6049087605916</v>
      </c>
      <c r="T361" s="124">
        <v>2308.4055979648506</v>
      </c>
      <c r="U361" s="129">
        <v>2846.7802609793321</v>
      </c>
      <c r="V361" s="130">
        <v>4070.2214055090913</v>
      </c>
      <c r="W361" s="129">
        <v>2722.5049316527393</v>
      </c>
      <c r="X361" s="129">
        <v>3137.6545685535611</v>
      </c>
      <c r="Y361" s="129">
        <v>4071.9101011628482</v>
      </c>
      <c r="Z361" s="124">
        <v>2807.0067860594327</v>
      </c>
      <c r="AA361" s="129">
        <v>3235.0419511980635</v>
      </c>
      <c r="AB361" s="130">
        <v>4198.2951631420483</v>
      </c>
      <c r="AC361" s="129">
        <v>2488.6558320749441</v>
      </c>
      <c r="AD361" s="129">
        <v>3351.3506078179134</v>
      </c>
      <c r="AE361" s="129">
        <v>4376.6750269770782</v>
      </c>
      <c r="AF361" s="21">
        <v>2407.2283123291018</v>
      </c>
      <c r="AG361" s="22">
        <v>4626.5441440673849</v>
      </c>
      <c r="AH361" s="23">
        <v>8194.4448404894465</v>
      </c>
    </row>
    <row r="362" spans="1:34" ht="15" thickBot="1" x14ac:dyDescent="0.35"/>
    <row r="363" spans="1:34" ht="18.600000000000001" customHeight="1" thickBot="1" x14ac:dyDescent="0.4">
      <c r="A363" s="289" t="s">
        <v>0</v>
      </c>
      <c r="B363" s="348" t="s">
        <v>426</v>
      </c>
      <c r="C363" s="349"/>
      <c r="D363" s="349"/>
      <c r="E363" s="349"/>
      <c r="F363" s="349"/>
      <c r="G363" s="349"/>
      <c r="H363" s="349"/>
      <c r="I363" s="349"/>
      <c r="J363" s="349"/>
      <c r="K363" s="349"/>
      <c r="L363" s="349"/>
      <c r="M363" s="349"/>
      <c r="N363" s="349"/>
      <c r="O363" s="349"/>
      <c r="P363" s="349"/>
      <c r="Q363" s="349"/>
      <c r="R363" s="349"/>
      <c r="S363" s="349"/>
      <c r="T363" s="349"/>
      <c r="U363" s="349"/>
      <c r="V363" s="349"/>
      <c r="W363" s="349"/>
      <c r="X363" s="349"/>
      <c r="Y363" s="349"/>
      <c r="Z363" s="349"/>
      <c r="AA363" s="349"/>
      <c r="AB363" s="349"/>
      <c r="AC363" s="349"/>
      <c r="AD363" s="349"/>
      <c r="AE363" s="349"/>
      <c r="AF363" s="349" t="s">
        <v>68</v>
      </c>
      <c r="AG363" s="349"/>
      <c r="AH363" s="349"/>
    </row>
    <row r="364" spans="1:34" ht="18.600000000000001" customHeight="1" thickBot="1" x14ac:dyDescent="0.35">
      <c r="A364" s="344"/>
      <c r="B364" s="338" t="s">
        <v>412</v>
      </c>
      <c r="C364" s="339"/>
      <c r="D364" s="340"/>
      <c r="E364" s="338" t="s">
        <v>413</v>
      </c>
      <c r="F364" s="339"/>
      <c r="G364" s="340"/>
      <c r="H364" s="338" t="s">
        <v>414</v>
      </c>
      <c r="I364" s="339"/>
      <c r="J364" s="340"/>
      <c r="K364" s="338" t="s">
        <v>415</v>
      </c>
      <c r="L364" s="339"/>
      <c r="M364" s="340"/>
      <c r="N364" s="338" t="s">
        <v>416</v>
      </c>
      <c r="O364" s="339"/>
      <c r="P364" s="340"/>
      <c r="Q364" s="338" t="s">
        <v>406</v>
      </c>
      <c r="R364" s="339"/>
      <c r="S364" s="340"/>
      <c r="T364" s="338" t="s">
        <v>407</v>
      </c>
      <c r="U364" s="339"/>
      <c r="V364" s="340"/>
      <c r="W364" s="338" t="s">
        <v>408</v>
      </c>
      <c r="X364" s="339"/>
      <c r="Y364" s="340"/>
      <c r="Z364" s="338" t="s">
        <v>312</v>
      </c>
      <c r="AA364" s="339"/>
      <c r="AB364" s="340"/>
      <c r="AC364" s="338" t="s">
        <v>409</v>
      </c>
      <c r="AD364" s="339"/>
      <c r="AE364" s="340"/>
      <c r="AF364" s="338" t="s">
        <v>409</v>
      </c>
      <c r="AG364" s="339"/>
      <c r="AH364" s="340"/>
    </row>
    <row r="365" spans="1:34" ht="15" customHeight="1" thickBot="1" x14ac:dyDescent="0.35">
      <c r="A365" s="290"/>
      <c r="B365" s="78" t="s">
        <v>69</v>
      </c>
      <c r="C365" s="79" t="s">
        <v>70</v>
      </c>
      <c r="D365" s="80" t="s">
        <v>71</v>
      </c>
      <c r="E365" s="78" t="s">
        <v>69</v>
      </c>
      <c r="F365" s="79" t="s">
        <v>70</v>
      </c>
      <c r="G365" s="80" t="s">
        <v>71</v>
      </c>
      <c r="H365" s="78" t="s">
        <v>69</v>
      </c>
      <c r="I365" s="79" t="s">
        <v>70</v>
      </c>
      <c r="J365" s="80" t="s">
        <v>71</v>
      </c>
      <c r="K365" s="78" t="s">
        <v>69</v>
      </c>
      <c r="L365" s="79" t="s">
        <v>70</v>
      </c>
      <c r="M365" s="80" t="s">
        <v>71</v>
      </c>
      <c r="N365" s="78" t="s">
        <v>69</v>
      </c>
      <c r="O365" s="79" t="s">
        <v>70</v>
      </c>
      <c r="P365" s="80" t="s">
        <v>71</v>
      </c>
      <c r="Q365" s="78" t="s">
        <v>69</v>
      </c>
      <c r="R365" s="79" t="s">
        <v>70</v>
      </c>
      <c r="S365" s="80" t="s">
        <v>71</v>
      </c>
      <c r="T365" s="78" t="s">
        <v>69</v>
      </c>
      <c r="U365" s="79" t="s">
        <v>70</v>
      </c>
      <c r="V365" s="80" t="s">
        <v>71</v>
      </c>
      <c r="W365" s="78" t="s">
        <v>69</v>
      </c>
      <c r="X365" s="79" t="s">
        <v>70</v>
      </c>
      <c r="Y365" s="80" t="s">
        <v>71</v>
      </c>
      <c r="Z365" s="78" t="s">
        <v>69</v>
      </c>
      <c r="AA365" s="79" t="s">
        <v>70</v>
      </c>
      <c r="AB365" s="80" t="s">
        <v>71</v>
      </c>
      <c r="AC365" s="78" t="s">
        <v>69</v>
      </c>
      <c r="AD365" s="79" t="s">
        <v>70</v>
      </c>
      <c r="AE365" s="80" t="s">
        <v>71</v>
      </c>
      <c r="AF365" s="78" t="s">
        <v>69</v>
      </c>
      <c r="AG365" s="79" t="s">
        <v>70</v>
      </c>
      <c r="AH365" s="80" t="s">
        <v>71</v>
      </c>
    </row>
    <row r="366" spans="1:34" x14ac:dyDescent="0.3">
      <c r="A366" s="52">
        <v>2015</v>
      </c>
      <c r="B366" s="122">
        <v>214.90618704307121</v>
      </c>
      <c r="C366" s="125">
        <v>268.4889186273324</v>
      </c>
      <c r="D366" s="126">
        <v>324.23988322784902</v>
      </c>
      <c r="E366" s="125">
        <v>205.55685866114544</v>
      </c>
      <c r="F366" s="125">
        <v>255.28688879066334</v>
      </c>
      <c r="G366" s="125">
        <v>305.2517101331714</v>
      </c>
      <c r="H366" s="122">
        <v>134.60875804595526</v>
      </c>
      <c r="I366" s="125">
        <v>210.37093005831997</v>
      </c>
      <c r="J366" s="126">
        <v>346.35995883295755</v>
      </c>
      <c r="K366" s="16"/>
      <c r="L366" s="16"/>
      <c r="M366" s="16"/>
      <c r="N366" s="15"/>
      <c r="O366" s="16"/>
      <c r="P366" s="18"/>
      <c r="Q366" s="16"/>
      <c r="R366" s="16"/>
      <c r="S366" s="16"/>
      <c r="T366" s="15"/>
      <c r="U366" s="16"/>
      <c r="V366" s="18"/>
      <c r="W366" s="16"/>
      <c r="X366" s="16"/>
      <c r="Y366" s="16"/>
      <c r="Z366" s="15"/>
      <c r="AA366" s="16"/>
      <c r="AB366" s="18"/>
      <c r="AC366" s="16"/>
      <c r="AD366" s="16"/>
      <c r="AE366" s="16"/>
      <c r="AF366" s="15"/>
      <c r="AG366" s="16"/>
      <c r="AH366" s="18"/>
    </row>
    <row r="367" spans="1:34" x14ac:dyDescent="0.3">
      <c r="A367" s="24">
        <v>2016</v>
      </c>
      <c r="B367" s="123">
        <v>202.64861886474813</v>
      </c>
      <c r="C367" s="127">
        <v>263.30540655705335</v>
      </c>
      <c r="D367" s="128">
        <v>329.28207810158369</v>
      </c>
      <c r="E367" s="127">
        <v>193.8753237080962</v>
      </c>
      <c r="F367" s="127">
        <v>248.97618335317833</v>
      </c>
      <c r="G367" s="127">
        <v>305.2517101331714</v>
      </c>
      <c r="H367" s="123">
        <v>126.12169034871387</v>
      </c>
      <c r="I367" s="127">
        <v>203.61771338489572</v>
      </c>
      <c r="J367" s="128">
        <v>346.35995883295755</v>
      </c>
      <c r="K367" s="127">
        <v>133.31560204708421</v>
      </c>
      <c r="L367" s="127">
        <v>208.50688480791797</v>
      </c>
      <c r="M367" s="127">
        <v>343.38263762939044</v>
      </c>
      <c r="N367" s="17"/>
      <c r="O367" s="20"/>
      <c r="P367" s="19"/>
      <c r="Q367" s="20"/>
      <c r="R367" s="20"/>
      <c r="S367" s="20"/>
      <c r="T367" s="17"/>
      <c r="U367" s="20"/>
      <c r="V367" s="19"/>
      <c r="W367" s="20"/>
      <c r="X367" s="20"/>
      <c r="Y367" s="20"/>
      <c r="Z367" s="17"/>
      <c r="AA367" s="20"/>
      <c r="AB367" s="19"/>
      <c r="AC367" s="20"/>
      <c r="AD367" s="20"/>
      <c r="AE367" s="20"/>
      <c r="AF367" s="17"/>
      <c r="AG367" s="20"/>
      <c r="AH367" s="19"/>
    </row>
    <row r="368" spans="1:34" x14ac:dyDescent="0.3">
      <c r="A368" s="24">
        <v>2017</v>
      </c>
      <c r="B368" s="123">
        <v>195.96141254534317</v>
      </c>
      <c r="C368" s="127">
        <v>255.87649155530033</v>
      </c>
      <c r="D368" s="128">
        <v>322.54764840148766</v>
      </c>
      <c r="E368" s="127">
        <v>187.49417581212504</v>
      </c>
      <c r="F368" s="127">
        <v>243.7239014594067</v>
      </c>
      <c r="G368" s="127">
        <v>305.2517101331714</v>
      </c>
      <c r="H368" s="123">
        <v>121.85935568927523</v>
      </c>
      <c r="I368" s="127">
        <v>200.22916244203805</v>
      </c>
      <c r="J368" s="128">
        <v>346.35995883295755</v>
      </c>
      <c r="K368" s="127">
        <v>122.38916921656153</v>
      </c>
      <c r="L368" s="127">
        <v>201.47574663546467</v>
      </c>
      <c r="M368" s="127">
        <v>348.06198567886969</v>
      </c>
      <c r="N368" s="123">
        <v>111.19954611896942</v>
      </c>
      <c r="O368" s="127">
        <v>154.24864665734648</v>
      </c>
      <c r="P368" s="128">
        <v>236.58510987729835</v>
      </c>
      <c r="Q368" s="20"/>
      <c r="R368" s="20"/>
      <c r="S368" s="20"/>
      <c r="T368" s="17"/>
      <c r="U368" s="20"/>
      <c r="V368" s="19"/>
      <c r="W368" s="20"/>
      <c r="X368" s="20"/>
      <c r="Y368" s="20"/>
      <c r="Z368" s="17"/>
      <c r="AA368" s="20"/>
      <c r="AB368" s="19"/>
      <c r="AC368" s="20"/>
      <c r="AD368" s="20"/>
      <c r="AE368" s="20"/>
      <c r="AF368" s="17"/>
      <c r="AG368" s="20"/>
      <c r="AH368" s="19"/>
    </row>
    <row r="369" spans="1:34" x14ac:dyDescent="0.3">
      <c r="A369" s="24">
        <v>2018</v>
      </c>
      <c r="B369" s="123">
        <v>189.34741440369055</v>
      </c>
      <c r="C369" s="127">
        <v>248.5155432901843</v>
      </c>
      <c r="D369" s="128">
        <v>315.83803367021898</v>
      </c>
      <c r="E369" s="127">
        <v>181.18288546567302</v>
      </c>
      <c r="F369" s="127">
        <v>238.52976123460661</v>
      </c>
      <c r="G369" s="127">
        <v>305.2517101331714</v>
      </c>
      <c r="H369" s="123">
        <v>117.6048825225395</v>
      </c>
      <c r="I369" s="127">
        <v>196.84411141099784</v>
      </c>
      <c r="J369" s="128">
        <v>346.35995883295755</v>
      </c>
      <c r="K369" s="127">
        <v>116.12418782024039</v>
      </c>
      <c r="L369" s="127">
        <v>194.95594723338786</v>
      </c>
      <c r="M369" s="127">
        <v>343.41316101730433</v>
      </c>
      <c r="N369" s="123">
        <v>80.4713523721922</v>
      </c>
      <c r="O369" s="127">
        <v>137.33076341846035</v>
      </c>
      <c r="P369" s="128">
        <v>236.58510987729835</v>
      </c>
      <c r="Q369" s="127">
        <v>102.14667349665291</v>
      </c>
      <c r="R369" s="127">
        <v>130.86097870031696</v>
      </c>
      <c r="S369" s="127">
        <v>207.5805085846431</v>
      </c>
      <c r="T369" s="17"/>
      <c r="U369" s="20"/>
      <c r="V369" s="19"/>
      <c r="W369" s="20"/>
      <c r="X369" s="20"/>
      <c r="Y369" s="20"/>
      <c r="Z369" s="17"/>
      <c r="AA369" s="20"/>
      <c r="AB369" s="19"/>
      <c r="AC369" s="20"/>
      <c r="AD369" s="20"/>
      <c r="AE369" s="20"/>
      <c r="AF369" s="17"/>
      <c r="AG369" s="20"/>
      <c r="AH369" s="19"/>
    </row>
    <row r="370" spans="1:34" x14ac:dyDescent="0.3">
      <c r="A370" s="24">
        <v>2019</v>
      </c>
      <c r="B370" s="123">
        <v>182.80542873370027</v>
      </c>
      <c r="C370" s="127">
        <v>241.22152129936899</v>
      </c>
      <c r="D370" s="128">
        <v>309.15309697683921</v>
      </c>
      <c r="E370" s="127">
        <v>174.9403116832176</v>
      </c>
      <c r="F370" s="127">
        <v>233.39280676965819</v>
      </c>
      <c r="G370" s="127">
        <v>305.2517101331714</v>
      </c>
      <c r="H370" s="123">
        <v>113.33236690019071</v>
      </c>
      <c r="I370" s="127">
        <v>193.45812266566941</v>
      </c>
      <c r="J370" s="128">
        <v>346.35995883295755</v>
      </c>
      <c r="K370" s="127">
        <v>110.1083953012364</v>
      </c>
      <c r="L370" s="127">
        <v>188.65195329323973</v>
      </c>
      <c r="M370" s="127">
        <v>338.80116893845576</v>
      </c>
      <c r="N370" s="123">
        <v>76.459074424523251</v>
      </c>
      <c r="O370" s="127">
        <v>132.92660445400637</v>
      </c>
      <c r="P370" s="128">
        <v>236.58510987729835</v>
      </c>
      <c r="Q370" s="127">
        <v>92.73764304459165</v>
      </c>
      <c r="R370" s="127">
        <v>121.69748700500185</v>
      </c>
      <c r="S370" s="127">
        <v>200.03414560339877</v>
      </c>
      <c r="T370" s="123">
        <v>84.72650561203163</v>
      </c>
      <c r="U370" s="127">
        <v>113.689690270464</v>
      </c>
      <c r="V370" s="128">
        <v>191.52200248566416</v>
      </c>
      <c r="W370" s="20"/>
      <c r="X370" s="20"/>
      <c r="Y370" s="20"/>
      <c r="Z370" s="17"/>
      <c r="AA370" s="20"/>
      <c r="AB370" s="19"/>
      <c r="AC370" s="20"/>
      <c r="AD370" s="20"/>
      <c r="AE370" s="20"/>
      <c r="AF370" s="17"/>
      <c r="AG370" s="20"/>
      <c r="AH370" s="19"/>
    </row>
    <row r="371" spans="1:34" x14ac:dyDescent="0.3">
      <c r="A371" s="24">
        <v>2020</v>
      </c>
      <c r="B371" s="123">
        <v>176.33428571706617</v>
      </c>
      <c r="C371" s="127">
        <v>233.99340773977988</v>
      </c>
      <c r="D371" s="128">
        <v>302.49270239383725</v>
      </c>
      <c r="E371" s="127">
        <v>168.76533818162491</v>
      </c>
      <c r="F371" s="127">
        <v>228.31210354194113</v>
      </c>
      <c r="G371" s="127">
        <v>305.2517101331714</v>
      </c>
      <c r="H371" s="123">
        <v>109.08781622536583</v>
      </c>
      <c r="I371" s="127">
        <v>190.07552715226595</v>
      </c>
      <c r="J371" s="128">
        <v>346.35995883295755</v>
      </c>
      <c r="K371" s="127">
        <v>104.37495262610972</v>
      </c>
      <c r="L371" s="127">
        <v>182.56082796161525</v>
      </c>
      <c r="M371" s="127">
        <v>334.22638994883152</v>
      </c>
      <c r="N371" s="123">
        <v>72.672569711799255</v>
      </c>
      <c r="O371" s="127">
        <v>128.77751766373757</v>
      </c>
      <c r="P371" s="128">
        <v>236.58510987729835</v>
      </c>
      <c r="Q371" s="127">
        <v>84.978691391353365</v>
      </c>
      <c r="R371" s="127">
        <v>114.48627998494339</v>
      </c>
      <c r="S371" s="127">
        <v>193.35073361058119</v>
      </c>
      <c r="T371" s="123">
        <v>77.027605020592958</v>
      </c>
      <c r="U371" s="127">
        <v>106.08907133766728</v>
      </c>
      <c r="V371" s="128">
        <v>183.63086921795124</v>
      </c>
      <c r="W371" s="127">
        <v>61.840744332037872</v>
      </c>
      <c r="X371" s="127">
        <v>84.425334960129206</v>
      </c>
      <c r="Y371" s="127">
        <v>143.66143738383286</v>
      </c>
      <c r="Z371" s="17"/>
      <c r="AA371" s="20"/>
      <c r="AB371" s="19"/>
      <c r="AC371" s="20"/>
      <c r="AD371" s="20"/>
      <c r="AE371" s="20"/>
      <c r="AF371" s="17"/>
      <c r="AG371" s="20"/>
      <c r="AH371" s="19"/>
    </row>
    <row r="372" spans="1:34" x14ac:dyDescent="0.3">
      <c r="A372" s="24">
        <v>2021</v>
      </c>
      <c r="B372" s="123">
        <v>164.75460675384062</v>
      </c>
      <c r="C372" s="127">
        <v>221.17954144692976</v>
      </c>
      <c r="D372" s="128">
        <v>288.5932888765123</v>
      </c>
      <c r="E372" s="127">
        <v>157.72966463031986</v>
      </c>
      <c r="F372" s="127">
        <v>219.89099447147379</v>
      </c>
      <c r="G372" s="127">
        <v>305.2517101331714</v>
      </c>
      <c r="H372" s="123">
        <v>106.11822163871167</v>
      </c>
      <c r="I372" s="127">
        <v>187.15745728424739</v>
      </c>
      <c r="J372" s="128">
        <v>346.35995883295755</v>
      </c>
      <c r="K372" s="127">
        <v>100.03245671850468</v>
      </c>
      <c r="L372" s="127">
        <v>177.0876671501332</v>
      </c>
      <c r="M372" s="127">
        <v>329.68919996024096</v>
      </c>
      <c r="N372" s="123">
        <v>69.098593341723799</v>
      </c>
      <c r="O372" s="127">
        <v>124.86784860653728</v>
      </c>
      <c r="P372" s="128">
        <v>236.58510987729835</v>
      </c>
      <c r="Q372" s="127">
        <v>78.174085945166681</v>
      </c>
      <c r="R372" s="127">
        <v>108.3583934968507</v>
      </c>
      <c r="S372" s="127">
        <v>187.67882171238426</v>
      </c>
      <c r="T372" s="123">
        <v>71.575266401245514</v>
      </c>
      <c r="U372" s="127">
        <v>100.60132307101418</v>
      </c>
      <c r="V372" s="128">
        <v>177.79607389084029</v>
      </c>
      <c r="W372" s="127">
        <v>55.559326020602974</v>
      </c>
      <c r="X372" s="127">
        <v>77.994099264429479</v>
      </c>
      <c r="Y372" s="127">
        <v>137.29955980664548</v>
      </c>
      <c r="Z372" s="123">
        <v>74.924321845982206</v>
      </c>
      <c r="AA372" s="127">
        <v>108.98023967764603</v>
      </c>
      <c r="AB372" s="128">
        <v>199.07243410860434</v>
      </c>
      <c r="AC372" s="20"/>
      <c r="AD372" s="20"/>
      <c r="AE372" s="20"/>
      <c r="AF372" s="17"/>
      <c r="AG372" s="20"/>
      <c r="AH372" s="19"/>
    </row>
    <row r="373" spans="1:34" x14ac:dyDescent="0.3">
      <c r="A373" s="24">
        <v>2022</v>
      </c>
      <c r="B373" s="123">
        <v>153.88509047151342</v>
      </c>
      <c r="C373" s="127">
        <v>209.03019639628266</v>
      </c>
      <c r="D373" s="128">
        <v>275.41188737631813</v>
      </c>
      <c r="E373" s="127">
        <v>147.37079058190886</v>
      </c>
      <c r="F373" s="127">
        <v>211.90733192987548</v>
      </c>
      <c r="G373" s="127">
        <v>305.2517101331714</v>
      </c>
      <c r="H373" s="123">
        <v>103.15570953778264</v>
      </c>
      <c r="I373" s="127">
        <v>184.24289400675528</v>
      </c>
      <c r="J373" s="128">
        <v>346.35995883295755</v>
      </c>
      <c r="K373" s="127">
        <v>95.871924078919093</v>
      </c>
      <c r="L373" s="127">
        <v>171.79133412175102</v>
      </c>
      <c r="M373" s="127">
        <v>325.18996993684277</v>
      </c>
      <c r="N373" s="123">
        <v>65.724671881748179</v>
      </c>
      <c r="O373" s="127">
        <v>121.18292103152213</v>
      </c>
      <c r="P373" s="128">
        <v>236.58510987729835</v>
      </c>
      <c r="Q373" s="127">
        <v>72.091972557547024</v>
      </c>
      <c r="R373" s="127">
        <v>102.97506871437943</v>
      </c>
      <c r="S373" s="127">
        <v>182.69003775614584</v>
      </c>
      <c r="T373" s="123">
        <v>67.324033902562732</v>
      </c>
      <c r="U373" s="127">
        <v>96.254593314087231</v>
      </c>
      <c r="V373" s="128">
        <v>173.08300323706047</v>
      </c>
      <c r="W373" s="127">
        <v>52.217327233760926</v>
      </c>
      <c r="X373" s="127">
        <v>74.172278099327357</v>
      </c>
      <c r="Y373" s="127">
        <v>132.79698329641278</v>
      </c>
      <c r="Z373" s="123">
        <v>75.298427206891972</v>
      </c>
      <c r="AA373" s="127">
        <v>112.56211125172301</v>
      </c>
      <c r="AB373" s="128">
        <v>211.08306110153927</v>
      </c>
      <c r="AC373" s="127">
        <v>103.37684924603001</v>
      </c>
      <c r="AD373" s="127">
        <v>148.60024014733509</v>
      </c>
      <c r="AE373" s="127">
        <v>271.59777558219668</v>
      </c>
      <c r="AF373" s="17"/>
      <c r="AG373" s="20"/>
      <c r="AH373" s="19"/>
    </row>
    <row r="374" spans="1:34" x14ac:dyDescent="0.3">
      <c r="A374" s="24">
        <v>2023</v>
      </c>
      <c r="B374" s="123">
        <v>143.66235061649851</v>
      </c>
      <c r="C374" s="127">
        <v>197.49380099020215</v>
      </c>
      <c r="D374" s="128">
        <v>262.89426237289371</v>
      </c>
      <c r="E374" s="127">
        <v>137.62830761886818</v>
      </c>
      <c r="F374" s="127">
        <v>204.32676427237067</v>
      </c>
      <c r="G374" s="127">
        <v>305.2517101331714</v>
      </c>
      <c r="H374" s="123">
        <v>100.17562320284289</v>
      </c>
      <c r="I374" s="127">
        <v>181.32687748979907</v>
      </c>
      <c r="J374" s="128">
        <v>346.35995883295755</v>
      </c>
      <c r="K374" s="127">
        <v>91.864914289197472</v>
      </c>
      <c r="L374" s="127">
        <v>166.66184201587944</v>
      </c>
      <c r="M374" s="127">
        <v>320.72906553896991</v>
      </c>
      <c r="N374" s="123">
        <v>62.539061577965342</v>
      </c>
      <c r="O374" s="127">
        <v>117.70897712688296</v>
      </c>
      <c r="P374" s="128">
        <v>236.58510987729835</v>
      </c>
      <c r="Q374" s="127">
        <v>66.615842419136513</v>
      </c>
      <c r="R374" s="127">
        <v>98.176197476705568</v>
      </c>
      <c r="S374" s="127">
        <v>178.2305980880725</v>
      </c>
      <c r="T374" s="123">
        <v>63.818910268500233</v>
      </c>
      <c r="U374" s="127">
        <v>92.621951765861013</v>
      </c>
      <c r="V374" s="128">
        <v>169.07714872153579</v>
      </c>
      <c r="W374" s="127">
        <v>49.425269386271474</v>
      </c>
      <c r="X374" s="127">
        <v>71.26287784873584</v>
      </c>
      <c r="Y374" s="127">
        <v>129.40644050651673</v>
      </c>
      <c r="Z374" s="123">
        <v>69.352267323617568</v>
      </c>
      <c r="AA374" s="127">
        <v>104.90299943891333</v>
      </c>
      <c r="AB374" s="128">
        <v>198.93591709620409</v>
      </c>
      <c r="AC374" s="127">
        <v>93.216818486501737</v>
      </c>
      <c r="AD374" s="127">
        <v>141.88508673447981</v>
      </c>
      <c r="AE374" s="127">
        <v>269.84035696508778</v>
      </c>
      <c r="AF374" s="17"/>
      <c r="AG374" s="20"/>
      <c r="AH374" s="19"/>
    </row>
    <row r="375" spans="1:34" x14ac:dyDescent="0.3">
      <c r="A375" s="24">
        <v>2024</v>
      </c>
      <c r="B375" s="123">
        <v>141.74261094856834</v>
      </c>
      <c r="C375" s="127">
        <v>196.2802191525484</v>
      </c>
      <c r="D375" s="128">
        <v>262.81790230123562</v>
      </c>
      <c r="E375" s="127">
        <v>135.79721043211509</v>
      </c>
      <c r="F375" s="127">
        <v>203.18796952844406</v>
      </c>
      <c r="G375" s="127">
        <v>305.2517101331714</v>
      </c>
      <c r="H375" s="123">
        <v>97.223305982572384</v>
      </c>
      <c r="I375" s="127">
        <v>178.41530112647354</v>
      </c>
      <c r="J375" s="128">
        <v>346.35995883295755</v>
      </c>
      <c r="K375" s="127">
        <v>88.043495663090511</v>
      </c>
      <c r="L375" s="127">
        <v>161.69885656094661</v>
      </c>
      <c r="M375" s="127">
        <v>316.30684676420799</v>
      </c>
      <c r="N375" s="123">
        <v>59.492106030312613</v>
      </c>
      <c r="O375" s="127">
        <v>114.43312121039011</v>
      </c>
      <c r="P375" s="128">
        <v>236.58510987729835</v>
      </c>
      <c r="Q375" s="127">
        <v>61.671460391596767</v>
      </c>
      <c r="R375" s="127">
        <v>93.867965021027857</v>
      </c>
      <c r="S375" s="127">
        <v>174.212038254753</v>
      </c>
      <c r="T375" s="123">
        <v>60.821372472232007</v>
      </c>
      <c r="U375" s="127">
        <v>89.478003484113927</v>
      </c>
      <c r="V375" s="128">
        <v>165.55810732748461</v>
      </c>
      <c r="W375" s="127">
        <v>47.149254652425689</v>
      </c>
      <c r="X375" s="127">
        <v>68.89167588914178</v>
      </c>
      <c r="Y375" s="127">
        <v>126.65295584731432</v>
      </c>
      <c r="Z375" s="123">
        <v>63.116061321269385</v>
      </c>
      <c r="AA375" s="127">
        <v>96.101162853810095</v>
      </c>
      <c r="AB375" s="128">
        <v>183.26733708872322</v>
      </c>
      <c r="AC375" s="127">
        <v>87.496249990839019</v>
      </c>
      <c r="AD375" s="127">
        <v>137.69895499342459</v>
      </c>
      <c r="AE375" s="127">
        <v>268.30855141908938</v>
      </c>
      <c r="AF375" s="17"/>
      <c r="AG375" s="20"/>
      <c r="AH375" s="19"/>
    </row>
    <row r="376" spans="1:34" x14ac:dyDescent="0.3">
      <c r="A376" s="24">
        <v>2025</v>
      </c>
      <c r="B376" s="123">
        <v>139.82582646342942</v>
      </c>
      <c r="C376" s="127">
        <v>195.06855747914301</v>
      </c>
      <c r="D376" s="128">
        <v>262.7415865756758</v>
      </c>
      <c r="E376" s="127">
        <v>133.96893195995995</v>
      </c>
      <c r="F376" s="127">
        <v>202.05099827133515</v>
      </c>
      <c r="G376" s="127">
        <v>305.2517101331714</v>
      </c>
      <c r="H376" s="123">
        <v>94.274030252277825</v>
      </c>
      <c r="I376" s="127">
        <v>175.50563208222786</v>
      </c>
      <c r="J376" s="128">
        <v>346.35995883295755</v>
      </c>
      <c r="K376" s="127">
        <v>84.379117340740137</v>
      </c>
      <c r="L376" s="127">
        <v>156.89473336864495</v>
      </c>
      <c r="M376" s="127">
        <v>311.92366758625838</v>
      </c>
      <c r="N376" s="123">
        <v>56.306756319240904</v>
      </c>
      <c r="O376" s="127">
        <v>111.34326667928269</v>
      </c>
      <c r="P376" s="128">
        <v>236.58510987729835</v>
      </c>
      <c r="Q376" s="127">
        <v>57.203554125680554</v>
      </c>
      <c r="R376" s="127">
        <v>89.986868174251157</v>
      </c>
      <c r="S376" s="127">
        <v>170.57598706851644</v>
      </c>
      <c r="T376" s="123">
        <v>58.19101741099719</v>
      </c>
      <c r="U376" s="127">
        <v>86.689314616882839</v>
      </c>
      <c r="V376" s="128">
        <v>162.39465384774243</v>
      </c>
      <c r="W376" s="127">
        <v>45.222163714181555</v>
      </c>
      <c r="X376" s="127">
        <v>66.879787494825905</v>
      </c>
      <c r="Y376" s="127">
        <v>124.3162620899997</v>
      </c>
      <c r="Z376" s="123">
        <v>60.543619907405009</v>
      </c>
      <c r="AA376" s="127">
        <v>93.29286000265428</v>
      </c>
      <c r="AB376" s="128">
        <v>179.83906039764315</v>
      </c>
      <c r="AC376" s="127">
        <v>83.605470769877243</v>
      </c>
      <c r="AD376" s="127">
        <v>134.66767771847316</v>
      </c>
      <c r="AE376" s="127">
        <v>266.88105838313658</v>
      </c>
      <c r="AF376" s="17"/>
      <c r="AG376" s="20"/>
      <c r="AH376" s="19"/>
    </row>
    <row r="377" spans="1:34" x14ac:dyDescent="0.3">
      <c r="A377" s="24">
        <v>2026</v>
      </c>
      <c r="B377" s="123">
        <v>137.91199033523537</v>
      </c>
      <c r="C377" s="127">
        <v>193.85881160003439</v>
      </c>
      <c r="D377" s="128">
        <v>262.66531515759465</v>
      </c>
      <c r="E377" s="127">
        <v>132.1434656911504</v>
      </c>
      <c r="F377" s="127">
        <v>200.91584635461527</v>
      </c>
      <c r="G377" s="127">
        <v>305.2517101331714</v>
      </c>
      <c r="H377" s="123">
        <v>91.303662913742173</v>
      </c>
      <c r="I377" s="127">
        <v>172.59589415778123</v>
      </c>
      <c r="J377" s="128">
        <v>346.35995883295755</v>
      </c>
      <c r="K377" s="127">
        <v>80.845884098141909</v>
      </c>
      <c r="L377" s="127">
        <v>152.24251132076617</v>
      </c>
      <c r="M377" s="127">
        <v>307.57987559212768</v>
      </c>
      <c r="N377" s="123">
        <v>53.325065954319278</v>
      </c>
      <c r="O377" s="127">
        <v>108.42808604650691</v>
      </c>
      <c r="P377" s="128">
        <v>236.58510987729835</v>
      </c>
      <c r="Q377" s="127">
        <v>53.166586496602612</v>
      </c>
      <c r="R377" s="127">
        <v>86.48525319615851</v>
      </c>
      <c r="S377" s="127">
        <v>167.27990153300689</v>
      </c>
      <c r="T377" s="123">
        <v>55.838331719926011</v>
      </c>
      <c r="U377" s="127">
        <v>84.170407018151437</v>
      </c>
      <c r="V377" s="128">
        <v>159.50232444917177</v>
      </c>
      <c r="W377" s="127">
        <v>43.811321953442132</v>
      </c>
      <c r="X377" s="127">
        <v>65.586400699444283</v>
      </c>
      <c r="Y377" s="127">
        <v>123.25304783429957</v>
      </c>
      <c r="Z377" s="123">
        <v>58.316002155884483</v>
      </c>
      <c r="AA377" s="127">
        <v>90.852626403561359</v>
      </c>
      <c r="AB377" s="128">
        <v>176.85275032971381</v>
      </c>
      <c r="AC377" s="127">
        <v>75.950133599907304</v>
      </c>
      <c r="AD377" s="127">
        <v>130.26283566931031</v>
      </c>
      <c r="AE377" s="127">
        <v>265.64216533185618</v>
      </c>
      <c r="AF377" s="17"/>
      <c r="AG377" s="20"/>
      <c r="AH377" s="19"/>
    </row>
    <row r="378" spans="1:34" x14ac:dyDescent="0.3">
      <c r="A378" s="24">
        <v>2027</v>
      </c>
      <c r="B378" s="123">
        <v>136.0010957587296</v>
      </c>
      <c r="C378" s="127">
        <v>192.65097717140321</v>
      </c>
      <c r="D378" s="128">
        <v>262.58908800841709</v>
      </c>
      <c r="E378" s="127">
        <v>130.32080513404028</v>
      </c>
      <c r="F378" s="127">
        <v>199.78250965796096</v>
      </c>
      <c r="G378" s="127">
        <v>305.2517101331714</v>
      </c>
      <c r="H378" s="123">
        <v>88.356808618191749</v>
      </c>
      <c r="I378" s="127">
        <v>169.68585725211125</v>
      </c>
      <c r="J378" s="128">
        <v>346.35995883295755</v>
      </c>
      <c r="K378" s="127">
        <v>77.473034975164097</v>
      </c>
      <c r="L378" s="127">
        <v>147.7368162990555</v>
      </c>
      <c r="M378" s="127">
        <v>303.27581161820234</v>
      </c>
      <c r="N378" s="123">
        <v>50.533046189164288</v>
      </c>
      <c r="O378" s="127">
        <v>105.67696389895897</v>
      </c>
      <c r="P378" s="128">
        <v>236.58510987729835</v>
      </c>
      <c r="Q378" s="127">
        <v>49.520610270996727</v>
      </c>
      <c r="R378" s="127">
        <v>83.324602558854011</v>
      </c>
      <c r="S378" s="127">
        <v>164.2903732876145</v>
      </c>
      <c r="T378" s="123">
        <v>53.702804146889079</v>
      </c>
      <c r="U378" s="127">
        <v>81.863258586532936</v>
      </c>
      <c r="V378" s="128">
        <v>156.82355176228958</v>
      </c>
      <c r="W378" s="127">
        <v>42.577744944435565</v>
      </c>
      <c r="X378" s="127">
        <v>64.470490426040712</v>
      </c>
      <c r="Y378" s="127">
        <v>122.38809558298404</v>
      </c>
      <c r="Z378" s="123">
        <v>56.349137477419184</v>
      </c>
      <c r="AA378" s="127">
        <v>88.68943377129564</v>
      </c>
      <c r="AB378" s="128">
        <v>174.19568722868502</v>
      </c>
      <c r="AC378" s="127">
        <v>68.990391374261193</v>
      </c>
      <c r="AD378" s="127">
        <v>126.31034954291329</v>
      </c>
      <c r="AE378" s="127">
        <v>264.38044693303715</v>
      </c>
      <c r="AF378" s="17"/>
      <c r="AG378" s="20"/>
      <c r="AH378" s="19"/>
    </row>
    <row r="379" spans="1:34" x14ac:dyDescent="0.3">
      <c r="A379" s="24">
        <v>2028</v>
      </c>
      <c r="B379" s="123">
        <v>134.09313594913797</v>
      </c>
      <c r="C379" s="127">
        <v>191.44504987632774</v>
      </c>
      <c r="D379" s="128">
        <v>262.51290508961301</v>
      </c>
      <c r="E379" s="127">
        <v>128.50094381648492</v>
      </c>
      <c r="F379" s="127">
        <v>198.65098408796845</v>
      </c>
      <c r="G379" s="127">
        <v>305.2517101331714</v>
      </c>
      <c r="H379" s="123">
        <v>85.409261106305948</v>
      </c>
      <c r="I379" s="127">
        <v>166.78049315489395</v>
      </c>
      <c r="J379" s="128">
        <v>346.35995883295755</v>
      </c>
      <c r="K379" s="127">
        <v>74.234607085276807</v>
      </c>
      <c r="L379" s="127">
        <v>143.3765726362829</v>
      </c>
      <c r="M379" s="127">
        <v>299.01180938580717</v>
      </c>
      <c r="N379" s="123">
        <v>47.917692163125366</v>
      </c>
      <c r="O379" s="127">
        <v>103.07995262154613</v>
      </c>
      <c r="P379" s="128">
        <v>236.58510987729835</v>
      </c>
      <c r="Q379" s="127">
        <v>46.229263981921655</v>
      </c>
      <c r="R379" s="127">
        <v>80.472094097981596</v>
      </c>
      <c r="S379" s="127">
        <v>161.57964234217673</v>
      </c>
      <c r="T379" s="123">
        <v>51.741649912904059</v>
      </c>
      <c r="U379" s="127">
        <v>79.726695798719561</v>
      </c>
      <c r="V379" s="128">
        <v>154.31733958128274</v>
      </c>
      <c r="W379" s="127">
        <v>41.48333904573186</v>
      </c>
      <c r="X379" s="127">
        <v>63.493288870016812</v>
      </c>
      <c r="Y379" s="127">
        <v>121.67661519731271</v>
      </c>
      <c r="Z379" s="123">
        <v>54.586851766763026</v>
      </c>
      <c r="AA379" s="127">
        <v>86.742938222115313</v>
      </c>
      <c r="AB379" s="128">
        <v>171.79398643606532</v>
      </c>
      <c r="AC379" s="127">
        <v>62.477263882147142</v>
      </c>
      <c r="AD379" s="127">
        <v>120.50150269511921</v>
      </c>
      <c r="AE379" s="127">
        <v>263.28441672884236</v>
      </c>
      <c r="AF379" s="17"/>
      <c r="AG379" s="20"/>
      <c r="AH379" s="19"/>
    </row>
    <row r="380" spans="1:34" x14ac:dyDescent="0.3">
      <c r="A380" s="24">
        <v>2029</v>
      </c>
      <c r="B380" s="123">
        <v>132.18810414206007</v>
      </c>
      <c r="C380" s="127">
        <v>190.24102542562443</v>
      </c>
      <c r="D380" s="128">
        <v>262.43676636269691</v>
      </c>
      <c r="E380" s="127">
        <v>126.68387528573493</v>
      </c>
      <c r="F380" s="127">
        <v>197.52126557904504</v>
      </c>
      <c r="G380" s="127">
        <v>305.2517101331714</v>
      </c>
      <c r="H380" s="123">
        <v>82.459832516607733</v>
      </c>
      <c r="I380" s="127">
        <v>163.87419178024001</v>
      </c>
      <c r="J380" s="128">
        <v>346.35995883295755</v>
      </c>
      <c r="K380" s="127">
        <v>71.123547013879531</v>
      </c>
      <c r="L380" s="127">
        <v>139.15220413898052</v>
      </c>
      <c r="M380" s="127">
        <v>294.78819513682197</v>
      </c>
      <c r="N380" s="123">
        <v>45.466915485253857</v>
      </c>
      <c r="O380" s="127">
        <v>100.62773073857494</v>
      </c>
      <c r="P380" s="128">
        <v>236.58510987729835</v>
      </c>
      <c r="Q380" s="127">
        <v>43.258768311254016</v>
      </c>
      <c r="R380" s="127">
        <v>77.898706590686388</v>
      </c>
      <c r="S380" s="127">
        <v>159.12363337610174</v>
      </c>
      <c r="T380" s="123">
        <v>49.923522167621464</v>
      </c>
      <c r="U380" s="127">
        <v>77.730454959123776</v>
      </c>
      <c r="V380" s="128">
        <v>151.95345955647085</v>
      </c>
      <c r="W380" s="127">
        <v>40.501190374493888</v>
      </c>
      <c r="X380" s="127">
        <v>62.627611456427779</v>
      </c>
      <c r="Y380" s="127">
        <v>121.08756620685446</v>
      </c>
      <c r="Z380" s="123">
        <v>52.989660790250433</v>
      </c>
      <c r="AA380" s="127">
        <v>84.970975811730426</v>
      </c>
      <c r="AB380" s="128">
        <v>169.59650532280907</v>
      </c>
      <c r="AC380" s="127">
        <v>60.958100629229691</v>
      </c>
      <c r="AD380" s="127">
        <v>116.93567038436929</v>
      </c>
      <c r="AE380" s="127">
        <v>262.24679516924039</v>
      </c>
      <c r="AF380" s="17"/>
      <c r="AG380" s="20"/>
      <c r="AH380" s="19"/>
    </row>
    <row r="381" spans="1:34" x14ac:dyDescent="0.3">
      <c r="A381" s="24">
        <v>2030</v>
      </c>
      <c r="B381" s="123">
        <v>130.28599359335803</v>
      </c>
      <c r="C381" s="127">
        <v>189.03889955876568</v>
      </c>
      <c r="D381" s="128">
        <v>262.36067178922798</v>
      </c>
      <c r="E381" s="127">
        <v>124.86959310832746</v>
      </c>
      <c r="F381" s="127">
        <v>196.39335009438378</v>
      </c>
      <c r="G381" s="127">
        <v>305.2517101331714</v>
      </c>
      <c r="H381" s="123">
        <v>79.507358734758284</v>
      </c>
      <c r="I381" s="127">
        <v>160.96794684889213</v>
      </c>
      <c r="J381" s="128">
        <v>346.35995883295755</v>
      </c>
      <c r="K381" s="127">
        <v>68.133027608359569</v>
      </c>
      <c r="L381" s="127">
        <v>135.05962392297212</v>
      </c>
      <c r="M381" s="127">
        <v>290.60528727001224</v>
      </c>
      <c r="N381" s="123">
        <v>43.169481124558558</v>
      </c>
      <c r="O381" s="127">
        <v>98.311563731233704</v>
      </c>
      <c r="P381" s="128">
        <v>236.58510987729835</v>
      </c>
      <c r="Q381" s="127">
        <v>40.577422062500304</v>
      </c>
      <c r="R381" s="127">
        <v>75.578119217087945</v>
      </c>
      <c r="S381" s="127">
        <v>156.90077988042447</v>
      </c>
      <c r="T381" s="123">
        <v>48.22478069158003</v>
      </c>
      <c r="U381" s="127">
        <v>75.851646388316581</v>
      </c>
      <c r="V381" s="128">
        <v>149.70898414741484</v>
      </c>
      <c r="W381" s="127">
        <v>39.611556742363696</v>
      </c>
      <c r="X381" s="127">
        <v>61.853634564346926</v>
      </c>
      <c r="Y381" s="127">
        <v>120.59853632116463</v>
      </c>
      <c r="Z381" s="123">
        <v>51.528706457880212</v>
      </c>
      <c r="AA381" s="127">
        <v>83.342869520453078</v>
      </c>
      <c r="AB381" s="128">
        <v>167.56633163349005</v>
      </c>
      <c r="AC381" s="127">
        <v>59.658986571256229</v>
      </c>
      <c r="AD381" s="127">
        <v>110.27245279478505</v>
      </c>
      <c r="AE381" s="127">
        <v>245.42853373151115</v>
      </c>
      <c r="AF381" s="123">
        <v>90.912682429042562</v>
      </c>
      <c r="AG381" s="127">
        <v>193.27567147140144</v>
      </c>
      <c r="AH381" s="128">
        <v>486.94396881483942</v>
      </c>
    </row>
    <row r="382" spans="1:34" x14ac:dyDescent="0.3">
      <c r="A382" s="24">
        <v>2031</v>
      </c>
      <c r="B382" s="123">
        <v>129.33982965341266</v>
      </c>
      <c r="C382" s="127">
        <v>188.44282765510206</v>
      </c>
      <c r="D382" s="128">
        <v>262.36067178922798</v>
      </c>
      <c r="E382" s="127">
        <v>123.96835347625789</v>
      </c>
      <c r="F382" s="127">
        <v>195.82577264941082</v>
      </c>
      <c r="G382" s="127">
        <v>305.2517101331714</v>
      </c>
      <c r="H382" s="123">
        <v>78.799189136948669</v>
      </c>
      <c r="I382" s="127">
        <v>160.2235556376128</v>
      </c>
      <c r="J382" s="128">
        <v>346.35995883295755</v>
      </c>
      <c r="K382" s="127">
        <v>67.268245847503565</v>
      </c>
      <c r="L382" s="127">
        <v>133.5769326768316</v>
      </c>
      <c r="M382" s="127">
        <v>288.28075537951446</v>
      </c>
      <c r="N382" s="123">
        <v>41.597486019700035</v>
      </c>
      <c r="O382" s="127">
        <v>96.644089418614172</v>
      </c>
      <c r="P382" s="128">
        <v>236.58510987729835</v>
      </c>
      <c r="Q382" s="127">
        <v>38.155356217225808</v>
      </c>
      <c r="R382" s="127">
        <v>73.486044681329929</v>
      </c>
      <c r="S382" s="127">
        <v>154.89128454153308</v>
      </c>
      <c r="T382" s="123">
        <v>47.088543775346302</v>
      </c>
      <c r="U382" s="127">
        <v>74.68572468553694</v>
      </c>
      <c r="V382" s="128">
        <v>148.47182854203467</v>
      </c>
      <c r="W382" s="127">
        <v>38.763522531510681</v>
      </c>
      <c r="X382" s="127">
        <v>60.938039795460561</v>
      </c>
      <c r="Y382" s="127">
        <v>119.43333407927791</v>
      </c>
      <c r="Z382" s="123">
        <v>50.442629603856069</v>
      </c>
      <c r="AA382" s="127">
        <v>82.121371211719506</v>
      </c>
      <c r="AB382" s="128">
        <v>165.93960314716395</v>
      </c>
      <c r="AC382" s="127">
        <v>57.936325817840995</v>
      </c>
      <c r="AD382" s="127">
        <v>102.85044969616835</v>
      </c>
      <c r="AE382" s="127">
        <v>226.86890546260767</v>
      </c>
      <c r="AF382" s="123">
        <v>80.63532417538039</v>
      </c>
      <c r="AG382" s="127">
        <v>171.35171950790721</v>
      </c>
      <c r="AH382" s="128">
        <v>437.36403191762133</v>
      </c>
    </row>
    <row r="383" spans="1:34" x14ac:dyDescent="0.3">
      <c r="A383" s="24">
        <v>2032</v>
      </c>
      <c r="B383" s="123">
        <v>128.39464453892268</v>
      </c>
      <c r="C383" s="127">
        <v>187.84765370226424</v>
      </c>
      <c r="D383" s="128">
        <v>262.36067178922798</v>
      </c>
      <c r="E383" s="127">
        <v>123.06804618845716</v>
      </c>
      <c r="F383" s="127">
        <v>195.25905054568224</v>
      </c>
      <c r="G383" s="127">
        <v>305.2517101331714</v>
      </c>
      <c r="H383" s="123">
        <v>78.108438698021686</v>
      </c>
      <c r="I383" s="127">
        <v>159.47879420199124</v>
      </c>
      <c r="J383" s="128">
        <v>346.35995883295755</v>
      </c>
      <c r="K383" s="127">
        <v>66.423556996376661</v>
      </c>
      <c r="L383" s="127">
        <v>132.10721962954918</v>
      </c>
      <c r="M383" s="127">
        <v>285.96913975311367</v>
      </c>
      <c r="N383" s="123">
        <v>40.089439040954197</v>
      </c>
      <c r="O383" s="127">
        <v>95.042301558726635</v>
      </c>
      <c r="P383" s="128">
        <v>236.58510987729835</v>
      </c>
      <c r="Q383" s="127">
        <v>35.964421343559756</v>
      </c>
      <c r="R383" s="127">
        <v>71.599810552832551</v>
      </c>
      <c r="S383" s="127">
        <v>153.0766347876806</v>
      </c>
      <c r="T383" s="123">
        <v>46.036561784833822</v>
      </c>
      <c r="U383" s="127">
        <v>73.603757809619381</v>
      </c>
      <c r="V383" s="128">
        <v>147.32128275419669</v>
      </c>
      <c r="W383" s="127">
        <v>37.979096562487371</v>
      </c>
      <c r="X383" s="127">
        <v>60.088552316032349</v>
      </c>
      <c r="Y383" s="127">
        <v>118.3475303486242</v>
      </c>
      <c r="Z383" s="123">
        <v>49.43879577645</v>
      </c>
      <c r="AA383" s="127">
        <v>80.988863874301387</v>
      </c>
      <c r="AB383" s="128">
        <v>164.42481727366388</v>
      </c>
      <c r="AC383" s="127">
        <v>56.492617907718049</v>
      </c>
      <c r="AD383" s="127">
        <v>95.768700946150616</v>
      </c>
      <c r="AE383" s="127">
        <v>208.79282763359768</v>
      </c>
      <c r="AF383" s="123">
        <v>74.794980423878144</v>
      </c>
      <c r="AG383" s="127">
        <v>155.67586207135565</v>
      </c>
      <c r="AH383" s="128">
        <v>398.92257517280257</v>
      </c>
    </row>
    <row r="384" spans="1:34" x14ac:dyDescent="0.3">
      <c r="A384" s="24">
        <v>2033</v>
      </c>
      <c r="B384" s="123">
        <v>127.45043673050976</v>
      </c>
      <c r="C384" s="127">
        <v>187.25337537434203</v>
      </c>
      <c r="D384" s="128">
        <v>262.36067178922798</v>
      </c>
      <c r="E384" s="127">
        <v>122.16866979756392</v>
      </c>
      <c r="F384" s="127">
        <v>194.6931815733484</v>
      </c>
      <c r="G384" s="127">
        <v>305.2517101331714</v>
      </c>
      <c r="H384" s="123">
        <v>77.390477080709601</v>
      </c>
      <c r="I384" s="127">
        <v>158.73729993422756</v>
      </c>
      <c r="J384" s="128">
        <v>346.35995883295755</v>
      </c>
      <c r="K384" s="127">
        <v>65.567278094819244</v>
      </c>
      <c r="L384" s="127">
        <v>130.65315818117145</v>
      </c>
      <c r="M384" s="127">
        <v>283.67049284100284</v>
      </c>
      <c r="N384" s="123">
        <v>38.642616438361969</v>
      </c>
      <c r="O384" s="127">
        <v>93.50349605911218</v>
      </c>
      <c r="P384" s="128">
        <v>236.58510987729835</v>
      </c>
      <c r="Q384" s="127">
        <v>34.744258369443557</v>
      </c>
      <c r="R384" s="127">
        <v>70.249807674002227</v>
      </c>
      <c r="S384" s="127">
        <v>151.43927450428203</v>
      </c>
      <c r="T384" s="123">
        <v>45.057549378957752</v>
      </c>
      <c r="U384" s="127">
        <v>72.594666098545815</v>
      </c>
      <c r="V384" s="128">
        <v>146.24608017843659</v>
      </c>
      <c r="W384" s="127">
        <v>37.249363098231889</v>
      </c>
      <c r="X384" s="127">
        <v>59.295885845280409</v>
      </c>
      <c r="Y384" s="127">
        <v>117.32987419838952</v>
      </c>
      <c r="Z384" s="123">
        <v>48.50554967396468</v>
      </c>
      <c r="AA384" s="127">
        <v>79.932718281041858</v>
      </c>
      <c r="AB384" s="128">
        <v>163.00597921044789</v>
      </c>
      <c r="AC384" s="127">
        <v>55.254900692548652</v>
      </c>
      <c r="AD384" s="127">
        <v>91.094810829014889</v>
      </c>
      <c r="AE384" s="127">
        <v>191.09761216800237</v>
      </c>
      <c r="AF384" s="123">
        <v>70.779247109170811</v>
      </c>
      <c r="AG384" s="127">
        <v>145.45851576613663</v>
      </c>
      <c r="AH384" s="128">
        <v>365.356560408897</v>
      </c>
    </row>
    <row r="385" spans="1:34" x14ac:dyDescent="0.3">
      <c r="A385" s="24">
        <v>2034</v>
      </c>
      <c r="B385" s="123">
        <v>126.50720471190185</v>
      </c>
      <c r="C385" s="127">
        <v>186.65999035600322</v>
      </c>
      <c r="D385" s="128">
        <v>262.36067178922798</v>
      </c>
      <c r="E385" s="127">
        <v>121.27022285917181</v>
      </c>
      <c r="F385" s="127">
        <v>194.12816353278495</v>
      </c>
      <c r="G385" s="127">
        <v>305.2517101331714</v>
      </c>
      <c r="H385" s="123">
        <v>76.689303628577804</v>
      </c>
      <c r="I385" s="127">
        <v>157.9966157491896</v>
      </c>
      <c r="J385" s="128">
        <v>346.35995883295755</v>
      </c>
      <c r="K385" s="127">
        <v>64.730641076958747</v>
      </c>
      <c r="L385" s="127">
        <v>129.21279686631041</v>
      </c>
      <c r="M385" s="127">
        <v>281.38486621155101</v>
      </c>
      <c r="N385" s="123">
        <v>37.254413126551576</v>
      </c>
      <c r="O385" s="127">
        <v>92.025082752514024</v>
      </c>
      <c r="P385" s="128">
        <v>236.58510987729835</v>
      </c>
      <c r="Q385" s="127">
        <v>33.689435441429019</v>
      </c>
      <c r="R385" s="127">
        <v>69.059946237915383</v>
      </c>
      <c r="S385" s="127">
        <v>149.96237504821215</v>
      </c>
      <c r="T385" s="123">
        <v>44.142325552170121</v>
      </c>
      <c r="U385" s="127">
        <v>71.649415827305575</v>
      </c>
      <c r="V385" s="128">
        <v>145.23701487673915</v>
      </c>
      <c r="W385" s="127">
        <v>36.567163548102187</v>
      </c>
      <c r="X385" s="127">
        <v>58.552597507508786</v>
      </c>
      <c r="Y385" s="127">
        <v>116.3713747389302</v>
      </c>
      <c r="Z385" s="123">
        <v>47.633556636110633</v>
      </c>
      <c r="AA385" s="127">
        <v>78.942835557262427</v>
      </c>
      <c r="AB385" s="128">
        <v>161.67033002927516</v>
      </c>
      <c r="AC385" s="127">
        <v>54.181953941659728</v>
      </c>
      <c r="AD385" s="127">
        <v>86.605408642476803</v>
      </c>
      <c r="AE385" s="127">
        <v>173.64386008019912</v>
      </c>
      <c r="AF385" s="123">
        <v>67.78363206063645</v>
      </c>
      <c r="AG385" s="127">
        <v>136.69027575070979</v>
      </c>
      <c r="AH385" s="128">
        <v>334.4236222364687</v>
      </c>
    </row>
    <row r="386" spans="1:34" x14ac:dyDescent="0.3">
      <c r="A386" s="24">
        <v>2035</v>
      </c>
      <c r="B386" s="123">
        <v>125.56494696992441</v>
      </c>
      <c r="C386" s="127">
        <v>186.067496342487</v>
      </c>
      <c r="D386" s="128">
        <v>262.36067178922798</v>
      </c>
      <c r="E386" s="127">
        <v>120.37270393182115</v>
      </c>
      <c r="F386" s="127">
        <v>193.56399423459069</v>
      </c>
      <c r="G386" s="127">
        <v>305.2517101331714</v>
      </c>
      <c r="H386" s="123">
        <v>76.004415901456099</v>
      </c>
      <c r="I386" s="127">
        <v>157.25397044565645</v>
      </c>
      <c r="J386" s="128">
        <v>346.35995883295755</v>
      </c>
      <c r="K386" s="127">
        <v>63.913039986896941</v>
      </c>
      <c r="L386" s="127">
        <v>127.78426718390925</v>
      </c>
      <c r="M386" s="127">
        <v>279.11231053176681</v>
      </c>
      <c r="N386" s="123">
        <v>35.922337443753129</v>
      </c>
      <c r="O386" s="127">
        <v>90.604580522044742</v>
      </c>
      <c r="P386" s="128">
        <v>236.58510987729835</v>
      </c>
      <c r="Q386" s="127">
        <v>32.780888887458467</v>
      </c>
      <c r="R386" s="127">
        <v>68.012417059355158</v>
      </c>
      <c r="S386" s="127">
        <v>148.62967149298561</v>
      </c>
      <c r="T386" s="123">
        <v>43.283323334033625</v>
      </c>
      <c r="U386" s="127">
        <v>70.760545921991167</v>
      </c>
      <c r="V386" s="128">
        <v>144.28646824929459</v>
      </c>
      <c r="W386" s="127">
        <v>35.926662689225203</v>
      </c>
      <c r="X386" s="127">
        <v>57.852628845498721</v>
      </c>
      <c r="Y386" s="127">
        <v>115.46473170536839</v>
      </c>
      <c r="Z386" s="123">
        <v>46.815224341863455</v>
      </c>
      <c r="AA386" s="127">
        <v>78.011011870052243</v>
      </c>
      <c r="AB386" s="128">
        <v>160.40752635051814</v>
      </c>
      <c r="AC386" s="127">
        <v>53.224428777958501</v>
      </c>
      <c r="AD386" s="127">
        <v>82.26359136855227</v>
      </c>
      <c r="AE386" s="127">
        <v>156.45069181733462</v>
      </c>
      <c r="AF386" s="123">
        <v>65.396390496094781</v>
      </c>
      <c r="AG386" s="127">
        <v>128.84033172602858</v>
      </c>
      <c r="AH386" s="128">
        <v>305.28740843530505</v>
      </c>
    </row>
    <row r="387" spans="1:34" x14ac:dyDescent="0.3">
      <c r="A387" s="24">
        <v>2036</v>
      </c>
      <c r="B387" s="123">
        <v>124.6236619944906</v>
      </c>
      <c r="C387" s="127">
        <v>185.47589103959751</v>
      </c>
      <c r="D387" s="128">
        <v>262.36067178922798</v>
      </c>
      <c r="E387" s="127">
        <v>119.47611157698942</v>
      </c>
      <c r="F387" s="127">
        <v>193.00067149958835</v>
      </c>
      <c r="G387" s="127">
        <v>305.2517101331714</v>
      </c>
      <c r="H387" s="123">
        <v>75.291799685409316</v>
      </c>
      <c r="I387" s="127">
        <v>156.51178366619402</v>
      </c>
      <c r="J387" s="128">
        <v>346.35995883295755</v>
      </c>
      <c r="K387" s="127">
        <v>63.083999920790959</v>
      </c>
      <c r="L387" s="127">
        <v>126.36925422051819</v>
      </c>
      <c r="M387" s="127">
        <v>276.85287554786606</v>
      </c>
      <c r="N387" s="123">
        <v>34.644006144463134</v>
      </c>
      <c r="O387" s="127">
        <v>89.23961263746412</v>
      </c>
      <c r="P387" s="128">
        <v>236.58510987729835</v>
      </c>
      <c r="Q387" s="127">
        <v>32.000571464664638</v>
      </c>
      <c r="R387" s="127">
        <v>67.090102859788772</v>
      </c>
      <c r="S387" s="127">
        <v>147.42534295011757</v>
      </c>
      <c r="T387" s="123">
        <v>42.474234078846166</v>
      </c>
      <c r="U387" s="127">
        <v>69.921823864912398</v>
      </c>
      <c r="V387" s="128">
        <v>143.38806418886182</v>
      </c>
      <c r="W387" s="127">
        <v>41.393857332641559</v>
      </c>
      <c r="X387" s="127">
        <v>68.520405192674588</v>
      </c>
      <c r="Y387" s="127">
        <v>140.00902903662106</v>
      </c>
      <c r="Z387" s="123">
        <v>46.044294278537492</v>
      </c>
      <c r="AA387" s="127">
        <v>77.130491087745369</v>
      </c>
      <c r="AB387" s="128">
        <v>159.20906497846676</v>
      </c>
      <c r="AC387" s="127">
        <v>52.601302371536875</v>
      </c>
      <c r="AD387" s="127">
        <v>81.533097727611107</v>
      </c>
      <c r="AE387" s="127">
        <v>155.40553369488896</v>
      </c>
      <c r="AF387" s="123">
        <v>60.521299781746315</v>
      </c>
      <c r="AG387" s="127">
        <v>121.20219628821644</v>
      </c>
      <c r="AH387" s="128">
        <v>290.2638441763217</v>
      </c>
    </row>
    <row r="388" spans="1:34" x14ac:dyDescent="0.3">
      <c r="A388" s="24">
        <v>2037</v>
      </c>
      <c r="B388" s="123">
        <v>123.68334827859209</v>
      </c>
      <c r="C388" s="127">
        <v>184.88517216370107</v>
      </c>
      <c r="D388" s="128">
        <v>262.36067178922798</v>
      </c>
      <c r="E388" s="127">
        <v>118.58044435908242</v>
      </c>
      <c r="F388" s="127">
        <v>192.43819315882769</v>
      </c>
      <c r="G388" s="127">
        <v>305.2517101331714</v>
      </c>
      <c r="H388" s="123">
        <v>74.594880077363982</v>
      </c>
      <c r="I388" s="127">
        <v>155.7759200289324</v>
      </c>
      <c r="J388" s="128">
        <v>346.35995883295755</v>
      </c>
      <c r="K388" s="127">
        <v>62.273596109399833</v>
      </c>
      <c r="L388" s="127">
        <v>124.97184408472657</v>
      </c>
      <c r="M388" s="127">
        <v>274.60661006598298</v>
      </c>
      <c r="N388" s="123">
        <v>33.417139615271964</v>
      </c>
      <c r="O388" s="127">
        <v>87.927902293335734</v>
      </c>
      <c r="P388" s="128">
        <v>236.58510987729835</v>
      </c>
      <c r="Q388" s="127">
        <v>31.331299356353341</v>
      </c>
      <c r="R388" s="127">
        <v>66.276457279037245</v>
      </c>
      <c r="S388" s="127">
        <v>146.33392341518103</v>
      </c>
      <c r="T388" s="123">
        <v>41.709744384523908</v>
      </c>
      <c r="U388" s="127">
        <v>69.127990697592281</v>
      </c>
      <c r="V388" s="128">
        <v>142.53641302727152</v>
      </c>
      <c r="W388" s="127">
        <v>40.733863968808727</v>
      </c>
      <c r="X388" s="127">
        <v>67.775242248199888</v>
      </c>
      <c r="Y388" s="127">
        <v>139.00608390956276</v>
      </c>
      <c r="Z388" s="123">
        <v>45.315546416410491</v>
      </c>
      <c r="AA388" s="127">
        <v>76.295642294190827</v>
      </c>
      <c r="AB388" s="128">
        <v>158.06786953141861</v>
      </c>
      <c r="AC388" s="127">
        <v>52.017540261823257</v>
      </c>
      <c r="AD388" s="127">
        <v>80.856526654987363</v>
      </c>
      <c r="AE388" s="127">
        <v>154.47759793221587</v>
      </c>
      <c r="AF388" s="123">
        <v>57.309434506996759</v>
      </c>
      <c r="AG388" s="127">
        <v>116.07383121146896</v>
      </c>
      <c r="AH388" s="128">
        <v>280.10125759742272</v>
      </c>
    </row>
    <row r="389" spans="1:34" x14ac:dyDescent="0.3">
      <c r="A389" s="24">
        <v>2038</v>
      </c>
      <c r="B389" s="123">
        <v>122.7440043182898</v>
      </c>
      <c r="C389" s="127">
        <v>184.29533744172576</v>
      </c>
      <c r="D389" s="128">
        <v>262.36067178922798</v>
      </c>
      <c r="E389" s="127">
        <v>117.68570084542512</v>
      </c>
      <c r="F389" s="127">
        <v>191.87655705359145</v>
      </c>
      <c r="G389" s="127">
        <v>305.2517101331714</v>
      </c>
      <c r="H389" s="123">
        <v>73.913195227610117</v>
      </c>
      <c r="I389" s="127">
        <v>155.03753194747458</v>
      </c>
      <c r="J389" s="128">
        <v>346.35995883295755</v>
      </c>
      <c r="K389" s="127">
        <v>61.481271513498534</v>
      </c>
      <c r="L389" s="127">
        <v>123.58586238867615</v>
      </c>
      <c r="M389" s="127">
        <v>272.37356193301309</v>
      </c>
      <c r="N389" s="123">
        <v>32.23955730384148</v>
      </c>
      <c r="O389" s="127">
        <v>86.667268340237314</v>
      </c>
      <c r="P389" s="128">
        <v>236.58510987729835</v>
      </c>
      <c r="Q389" s="127">
        <v>30.756611441052055</v>
      </c>
      <c r="R389" s="127">
        <v>65.555405662470903</v>
      </c>
      <c r="S389" s="127">
        <v>145.34023421760858</v>
      </c>
      <c r="T389" s="123">
        <v>40.985338173290259</v>
      </c>
      <c r="U389" s="127">
        <v>68.374568823491913</v>
      </c>
      <c r="V389" s="128">
        <v>141.72691818676057</v>
      </c>
      <c r="W389" s="127">
        <v>40.108031534324425</v>
      </c>
      <c r="X389" s="127">
        <v>67.06655593063654</v>
      </c>
      <c r="Y389" s="127">
        <v>138.04813298928099</v>
      </c>
      <c r="Z389" s="123">
        <v>44.624581383384331</v>
      </c>
      <c r="AA389" s="127">
        <v>75.501722492209225</v>
      </c>
      <c r="AB389" s="128">
        <v>156.97798717380573</v>
      </c>
      <c r="AC389" s="127">
        <v>51.468329407194531</v>
      </c>
      <c r="AD389" s="127">
        <v>80.223321802340635</v>
      </c>
      <c r="AE389" s="127">
        <v>153.60198511391403</v>
      </c>
      <c r="AF389" s="123">
        <v>54.936398555463214</v>
      </c>
      <c r="AG389" s="127">
        <v>112.24672172483918</v>
      </c>
      <c r="AH389" s="128">
        <v>272.43908794156346</v>
      </c>
    </row>
    <row r="390" spans="1:34" x14ac:dyDescent="0.3">
      <c r="A390" s="24">
        <v>2039</v>
      </c>
      <c r="B390" s="123">
        <v>121.80562861270448</v>
      </c>
      <c r="C390" s="127">
        <v>183.70638461116317</v>
      </c>
      <c r="D390" s="128">
        <v>262.36067178922798</v>
      </c>
      <c r="E390" s="127">
        <v>116.79187960625266</v>
      </c>
      <c r="F390" s="127">
        <v>191.31576103540394</v>
      </c>
      <c r="G390" s="127">
        <v>305.2517101331714</v>
      </c>
      <c r="H390" s="123">
        <v>73.224789190868449</v>
      </c>
      <c r="I390" s="127">
        <v>154.29972965479263</v>
      </c>
      <c r="J390" s="128">
        <v>346.35995883295755</v>
      </c>
      <c r="K390" s="127">
        <v>60.692085534418332</v>
      </c>
      <c r="L390" s="127">
        <v>122.21341903647121</v>
      </c>
      <c r="M390" s="127">
        <v>270.15377801761139</v>
      </c>
      <c r="N390" s="123">
        <v>31.109173351470314</v>
      </c>
      <c r="O390" s="127">
        <v>85.45562120058807</v>
      </c>
      <c r="P390" s="128">
        <v>236.58510987729835</v>
      </c>
      <c r="Q390" s="127">
        <v>30.260641544517298</v>
      </c>
      <c r="R390" s="127">
        <v>64.911262932774804</v>
      </c>
      <c r="S390" s="127">
        <v>144.4293320583335</v>
      </c>
      <c r="T390" s="123">
        <v>40.297145511814072</v>
      </c>
      <c r="U390" s="127">
        <v>67.657714938685203</v>
      </c>
      <c r="V390" s="128">
        <v>140.95562797278313</v>
      </c>
      <c r="W390" s="127">
        <v>39.512985748749564</v>
      </c>
      <c r="X390" s="127">
        <v>66.390761067405577</v>
      </c>
      <c r="Y390" s="127">
        <v>137.13075233437837</v>
      </c>
      <c r="Z390" s="123">
        <v>43.967656931255398</v>
      </c>
      <c r="AA390" s="127">
        <v>74.744698812206749</v>
      </c>
      <c r="AB390" s="128">
        <v>155.93436199156147</v>
      </c>
      <c r="AC390" s="127">
        <v>50.96899089983728</v>
      </c>
      <c r="AD390" s="127">
        <v>79.63316819883417</v>
      </c>
      <c r="AE390" s="127">
        <v>152.77275991130554</v>
      </c>
      <c r="AF390" s="123">
        <v>53.067919025616312</v>
      </c>
      <c r="AG390" s="127">
        <v>109.21490368049741</v>
      </c>
      <c r="AH390" s="128">
        <v>266.31165667353565</v>
      </c>
    </row>
    <row r="391" spans="1:34" x14ac:dyDescent="0.3">
      <c r="A391" s="24">
        <v>2040</v>
      </c>
      <c r="B391" s="123">
        <v>120.86821966400709</v>
      </c>
      <c r="C391" s="127">
        <v>183.11831142007341</v>
      </c>
      <c r="D391" s="128">
        <v>262.36067178922798</v>
      </c>
      <c r="E391" s="127">
        <v>115.8989792147011</v>
      </c>
      <c r="F391" s="127">
        <v>190.75580296604278</v>
      </c>
      <c r="G391" s="127">
        <v>305.2517101331714</v>
      </c>
      <c r="H391" s="123">
        <v>72.529470395493419</v>
      </c>
      <c r="I391" s="127">
        <v>153.56470510244918</v>
      </c>
      <c r="J391" s="128">
        <v>346.35995883295755</v>
      </c>
      <c r="K391" s="127">
        <v>59.906043522316061</v>
      </c>
      <c r="L391" s="127">
        <v>120.85605372793724</v>
      </c>
      <c r="M391" s="127">
        <v>267.94730419135999</v>
      </c>
      <c r="N391" s="123">
        <v>30.023992420116357</v>
      </c>
      <c r="O391" s="127">
        <v>84.290958961029233</v>
      </c>
      <c r="P391" s="128">
        <v>236.58510987729835</v>
      </c>
      <c r="Q391" s="127">
        <v>29.828005326652931</v>
      </c>
      <c r="R391" s="127">
        <v>64.328665603413214</v>
      </c>
      <c r="S391" s="127">
        <v>143.58646849042003</v>
      </c>
      <c r="T391" s="123">
        <v>39.641825544844352</v>
      </c>
      <c r="U391" s="127">
        <v>66.974105957122589</v>
      </c>
      <c r="V391" s="128">
        <v>140.21912042783265</v>
      </c>
      <c r="W391" s="127">
        <v>38.94583111674072</v>
      </c>
      <c r="X391" s="127">
        <v>65.744782224432569</v>
      </c>
      <c r="Y391" s="127">
        <v>136.25015100525405</v>
      </c>
      <c r="Z391" s="123">
        <v>43.341563215774251</v>
      </c>
      <c r="AA391" s="127">
        <v>74.021113154476197</v>
      </c>
      <c r="AB391" s="128">
        <v>154.93266285584596</v>
      </c>
      <c r="AC391" s="127">
        <v>50.486894851176089</v>
      </c>
      <c r="AD391" s="127">
        <v>79.080913241528449</v>
      </c>
      <c r="AE391" s="127">
        <v>152.04107423315659</v>
      </c>
      <c r="AF391" s="123">
        <v>51.543957822525172</v>
      </c>
      <c r="AG391" s="127">
        <v>106.71513910733827</v>
      </c>
      <c r="AH391" s="128">
        <v>261.21823476520984</v>
      </c>
    </row>
    <row r="392" spans="1:34" x14ac:dyDescent="0.3">
      <c r="A392" s="24">
        <v>2041</v>
      </c>
      <c r="B392" s="123">
        <v>119.86152448511672</v>
      </c>
      <c r="C392" s="127">
        <v>182.48768110167947</v>
      </c>
      <c r="D392" s="128">
        <v>262.36067178922798</v>
      </c>
      <c r="E392" s="127">
        <v>114.94050207543066</v>
      </c>
      <c r="F392" s="127">
        <v>190.15557716428177</v>
      </c>
      <c r="G392" s="127">
        <v>305.2517101331714</v>
      </c>
      <c r="H392" s="123">
        <v>71.827044732518615</v>
      </c>
      <c r="I392" s="127">
        <v>152.828271246687</v>
      </c>
      <c r="J392" s="128">
        <v>346.35995883295755</v>
      </c>
      <c r="K392" s="127">
        <v>59.338481800931326</v>
      </c>
      <c r="L392" s="127">
        <v>120.29810494600042</v>
      </c>
      <c r="M392" s="127">
        <v>267.94730419135999</v>
      </c>
      <c r="N392" s="123">
        <v>28.982105705157025</v>
      </c>
      <c r="O392" s="127">
        <v>83.171363633647886</v>
      </c>
      <c r="P392" s="128">
        <v>236.58510987729835</v>
      </c>
      <c r="Q392" s="127">
        <v>29.443703713814521</v>
      </c>
      <c r="R392" s="127">
        <v>63.792516051472781</v>
      </c>
      <c r="S392" s="127">
        <v>142.7970579315091</v>
      </c>
      <c r="T392" s="123">
        <v>39.016474719694962</v>
      </c>
      <c r="U392" s="127">
        <v>66.320849437577493</v>
      </c>
      <c r="V392" s="128">
        <v>139.51441277610456</v>
      </c>
      <c r="W392" s="127">
        <v>38.404064393804489</v>
      </c>
      <c r="X392" s="127">
        <v>65.125961204193274</v>
      </c>
      <c r="Y392" s="127">
        <v>135.40305539333713</v>
      </c>
      <c r="Z392" s="123">
        <v>42.743526331177975</v>
      </c>
      <c r="AA392" s="127">
        <v>73.327977652973729</v>
      </c>
      <c r="AB392" s="128">
        <v>153.96915075634635</v>
      </c>
      <c r="AC392" s="127">
        <v>50.047899783644645</v>
      </c>
      <c r="AD392" s="127">
        <v>78.555980505774983</v>
      </c>
      <c r="AE392" s="127">
        <v>151.29025274422614</v>
      </c>
      <c r="AF392" s="123">
        <v>50.256250223074275</v>
      </c>
      <c r="AG392" s="127">
        <v>104.6018017012622</v>
      </c>
      <c r="AH392" s="128">
        <v>256.95949712871669</v>
      </c>
    </row>
    <row r="393" spans="1:34" x14ac:dyDescent="0.3">
      <c r="A393" s="24">
        <v>2042</v>
      </c>
      <c r="B393" s="123">
        <v>118.85893328397042</v>
      </c>
      <c r="C393" s="127">
        <v>181.85920127574133</v>
      </c>
      <c r="D393" s="128">
        <v>262.36067178922798</v>
      </c>
      <c r="E393" s="127">
        <v>113.98593233676348</v>
      </c>
      <c r="F393" s="127">
        <v>189.55739850131371</v>
      </c>
      <c r="G393" s="127">
        <v>305.2517101331714</v>
      </c>
      <c r="H393" s="123">
        <v>71.138605538886964</v>
      </c>
      <c r="I393" s="127">
        <v>152.09372210073872</v>
      </c>
      <c r="J393" s="128">
        <v>346.35995883295755</v>
      </c>
      <c r="K393" s="127">
        <v>58.782388341894212</v>
      </c>
      <c r="L393" s="127">
        <v>119.74267055005735</v>
      </c>
      <c r="M393" s="127">
        <v>267.94730419135999</v>
      </c>
      <c r="N393" s="123">
        <v>27.981687125561042</v>
      </c>
      <c r="O393" s="127">
        <v>82.09499757867421</v>
      </c>
      <c r="P393" s="128">
        <v>236.58510987729835</v>
      </c>
      <c r="Q393" s="127">
        <v>29.093044627179705</v>
      </c>
      <c r="R393" s="127">
        <v>63.287937799201927</v>
      </c>
      <c r="S393" s="127">
        <v>142.04665212762757</v>
      </c>
      <c r="T393" s="123">
        <v>38.418554027947629</v>
      </c>
      <c r="U393" s="127">
        <v>65.695412463326747</v>
      </c>
      <c r="V393" s="128">
        <v>138.83888941658546</v>
      </c>
      <c r="W393" s="127">
        <v>37.885506759413211</v>
      </c>
      <c r="X393" s="127">
        <v>64.531984640569519</v>
      </c>
      <c r="Y393" s="127">
        <v>134.58661886008804</v>
      </c>
      <c r="Z393" s="123">
        <v>42.1711327481597</v>
      </c>
      <c r="AA393" s="127">
        <v>72.662692897598021</v>
      </c>
      <c r="AB393" s="128">
        <v>153.04057520771107</v>
      </c>
      <c r="AC393" s="127">
        <v>49.620949404146714</v>
      </c>
      <c r="AD393" s="127">
        <v>78.05873715405184</v>
      </c>
      <c r="AE393" s="127">
        <v>150.57304762603221</v>
      </c>
      <c r="AF393" s="123">
        <v>49.153404677539505</v>
      </c>
      <c r="AG393" s="127">
        <v>102.76514913970057</v>
      </c>
      <c r="AH393" s="128">
        <v>253.16338678736716</v>
      </c>
    </row>
    <row r="394" spans="1:34" x14ac:dyDescent="0.3">
      <c r="A394" s="24">
        <v>2043</v>
      </c>
      <c r="B394" s="123">
        <v>117.8604210143711</v>
      </c>
      <c r="C394" s="127">
        <v>181.23286025761152</v>
      </c>
      <c r="D394" s="128">
        <v>262.36067178922798</v>
      </c>
      <c r="E394" s="127">
        <v>113.03524615204226</v>
      </c>
      <c r="F394" s="127">
        <v>188.96125586171701</v>
      </c>
      <c r="G394" s="127">
        <v>305.2517101331714</v>
      </c>
      <c r="H394" s="123">
        <v>70.463749325599508</v>
      </c>
      <c r="I394" s="127">
        <v>151.36028643616908</v>
      </c>
      <c r="J394" s="128">
        <v>346.35995883295755</v>
      </c>
      <c r="K394" s="127">
        <v>58.23743552577421</v>
      </c>
      <c r="L394" s="127">
        <v>119.1891381821868</v>
      </c>
      <c r="M394" s="127">
        <v>267.94730419135999</v>
      </c>
      <c r="N394" s="123">
        <v>27.020989683520583</v>
      </c>
      <c r="O394" s="127">
        <v>81.060100081607132</v>
      </c>
      <c r="P394" s="128">
        <v>236.58510987729835</v>
      </c>
      <c r="Q394" s="127">
        <v>28.761584407578276</v>
      </c>
      <c r="R394" s="127">
        <v>62.800240929297082</v>
      </c>
      <c r="S394" s="127">
        <v>141.3209195580277</v>
      </c>
      <c r="T394" s="123">
        <v>37.845830732133244</v>
      </c>
      <c r="U394" s="127">
        <v>65.09556459789988</v>
      </c>
      <c r="V394" s="128">
        <v>138.19024408596999</v>
      </c>
      <c r="W394" s="127">
        <v>37.388250044035246</v>
      </c>
      <c r="X394" s="127">
        <v>63.960826664398127</v>
      </c>
      <c r="Y394" s="127">
        <v>133.79835031097718</v>
      </c>
      <c r="Z394" s="123">
        <v>41.622269444003379</v>
      </c>
      <c r="AA394" s="127">
        <v>72.022983212193537</v>
      </c>
      <c r="AB394" s="128">
        <v>152.14409239623606</v>
      </c>
      <c r="AC394" s="127">
        <v>49.222859294418257</v>
      </c>
      <c r="AD394" s="127">
        <v>77.591752643609496</v>
      </c>
      <c r="AE394" s="127">
        <v>149.94161978710912</v>
      </c>
      <c r="AF394" s="123">
        <v>48.194356959782823</v>
      </c>
      <c r="AG394" s="127">
        <v>101.15241778656289</v>
      </c>
      <c r="AH394" s="128">
        <v>249.80022219196658</v>
      </c>
    </row>
    <row r="395" spans="1:34" x14ac:dyDescent="0.3">
      <c r="A395" s="24">
        <v>2044</v>
      </c>
      <c r="B395" s="123">
        <v>116.86596283347784</v>
      </c>
      <c r="C395" s="127">
        <v>180.60864645263862</v>
      </c>
      <c r="D395" s="128">
        <v>262.36067178922798</v>
      </c>
      <c r="E395" s="127">
        <v>112.08841986822229</v>
      </c>
      <c r="F395" s="127">
        <v>188.36713821588413</v>
      </c>
      <c r="G395" s="127">
        <v>305.2517101331714</v>
      </c>
      <c r="H395" s="123">
        <v>69.780930713504688</v>
      </c>
      <c r="I395" s="127">
        <v>150.62783135982383</v>
      </c>
      <c r="J395" s="128">
        <v>346.35995883295755</v>
      </c>
      <c r="K395" s="127">
        <v>57.689259501730817</v>
      </c>
      <c r="L395" s="127">
        <v>118.63742586661198</v>
      </c>
      <c r="M395" s="127">
        <v>267.94730419135999</v>
      </c>
      <c r="N395" s="123">
        <v>26.098341985951027</v>
      </c>
      <c r="O395" s="127">
        <v>80.064984078032126</v>
      </c>
      <c r="P395" s="128">
        <v>236.58510987729835</v>
      </c>
      <c r="Q395" s="127">
        <v>28.435089983733786</v>
      </c>
      <c r="R395" s="127">
        <v>62.314896997231436</v>
      </c>
      <c r="S395" s="127">
        <v>140.60562866880124</v>
      </c>
      <c r="T395" s="123">
        <v>37.296331255657783</v>
      </c>
      <c r="U395" s="127">
        <v>64.519331704458651</v>
      </c>
      <c r="V395" s="128">
        <v>137.5664329728898</v>
      </c>
      <c r="W395" s="127">
        <v>36.910613653974394</v>
      </c>
      <c r="X395" s="127">
        <v>63.410703022681012</v>
      </c>
      <c r="Y395" s="127">
        <v>133.03605712922518</v>
      </c>
      <c r="Z395" s="123">
        <v>41.095075969518632</v>
      </c>
      <c r="AA395" s="127">
        <v>71.406844887158982</v>
      </c>
      <c r="AB395" s="128">
        <v>151.27719980659344</v>
      </c>
      <c r="AC395" s="127">
        <v>48.851539376147166</v>
      </c>
      <c r="AD395" s="127">
        <v>77.146548126700935</v>
      </c>
      <c r="AE395" s="127">
        <v>149.28253104089299</v>
      </c>
      <c r="AF395" s="123">
        <v>47.332211405872698</v>
      </c>
      <c r="AG395" s="127">
        <v>99.718189663650151</v>
      </c>
      <c r="AH395" s="128">
        <v>246.87176974470816</v>
      </c>
    </row>
    <row r="396" spans="1:34" x14ac:dyDescent="0.3">
      <c r="A396" s="24">
        <v>2045</v>
      </c>
      <c r="B396" s="123">
        <v>115.87553409974502</v>
      </c>
      <c r="C396" s="127">
        <v>179.98654835533065</v>
      </c>
      <c r="D396" s="128">
        <v>262.36067178922798</v>
      </c>
      <c r="E396" s="127">
        <v>111.14543002390934</v>
      </c>
      <c r="F396" s="127">
        <v>187.77503461923132</v>
      </c>
      <c r="G396" s="127">
        <v>305.2517101331714</v>
      </c>
      <c r="H396" s="123">
        <v>69.089961805626089</v>
      </c>
      <c r="I396" s="127">
        <v>149.89516535191498</v>
      </c>
      <c r="J396" s="128">
        <v>346.35995883295755</v>
      </c>
      <c r="K396" s="127">
        <v>57.137680493232942</v>
      </c>
      <c r="L396" s="127">
        <v>118.08669857613691</v>
      </c>
      <c r="M396" s="127">
        <v>267.94730419135999</v>
      </c>
      <c r="N396" s="123">
        <v>25.212144920607248</v>
      </c>
      <c r="O396" s="127">
        <v>79.108033019692641</v>
      </c>
      <c r="P396" s="128">
        <v>236.58510987729835</v>
      </c>
      <c r="Q396" s="127">
        <v>28.099522619035309</v>
      </c>
      <c r="R396" s="127">
        <v>61.817522986159354</v>
      </c>
      <c r="S396" s="127">
        <v>139.88663410537472</v>
      </c>
      <c r="T396" s="123">
        <v>36.768302769140334</v>
      </c>
      <c r="U396" s="127">
        <v>63.96495823978151</v>
      </c>
      <c r="V396" s="128">
        <v>136.96563638658819</v>
      </c>
      <c r="W396" s="127">
        <v>36.451109737494939</v>
      </c>
      <c r="X396" s="127">
        <v>62.880034009052757</v>
      </c>
      <c r="Y396" s="127">
        <v>132.29779913510387</v>
      </c>
      <c r="Z396" s="123">
        <v>40.58790570605548</v>
      </c>
      <c r="AA396" s="127">
        <v>70.812504372542563</v>
      </c>
      <c r="AB396" s="128">
        <v>150.43768349698934</v>
      </c>
      <c r="AC396" s="127">
        <v>48.487050330651876</v>
      </c>
      <c r="AD396" s="127">
        <v>76.72351612840049</v>
      </c>
      <c r="AE396" s="127">
        <v>148.70361454347989</v>
      </c>
      <c r="AF396" s="123">
        <v>46.565164815169595</v>
      </c>
      <c r="AG396" s="127">
        <v>98.426647931470484</v>
      </c>
      <c r="AH396" s="128">
        <v>244.22329427550062</v>
      </c>
    </row>
    <row r="397" spans="1:34" x14ac:dyDescent="0.3">
      <c r="A397" s="24">
        <v>2046</v>
      </c>
      <c r="B397" s="123">
        <v>114.8891103708866</v>
      </c>
      <c r="C397" s="127">
        <v>179.36655454853167</v>
      </c>
      <c r="D397" s="128">
        <v>262.36067178922798</v>
      </c>
      <c r="E397" s="127">
        <v>110.20625334742097</v>
      </c>
      <c r="F397" s="127">
        <v>187.18493421142068</v>
      </c>
      <c r="G397" s="127">
        <v>305.2517101331714</v>
      </c>
      <c r="H397" s="123">
        <v>68.411687904386255</v>
      </c>
      <c r="I397" s="127">
        <v>149.16523744375965</v>
      </c>
      <c r="J397" s="128">
        <v>346.35995883295755</v>
      </c>
      <c r="K397" s="127">
        <v>56.59648736344473</v>
      </c>
      <c r="L397" s="127">
        <v>117.53889046876358</v>
      </c>
      <c r="M397" s="127">
        <v>267.94730419135999</v>
      </c>
      <c r="N397" s="123">
        <v>24.360868479892261</v>
      </c>
      <c r="O397" s="127">
        <v>78.187697875658515</v>
      </c>
      <c r="P397" s="128">
        <v>236.58510987729835</v>
      </c>
      <c r="Q397" s="127">
        <v>27.741044111266767</v>
      </c>
      <c r="R397" s="127">
        <v>61.293874032986409</v>
      </c>
      <c r="S397" s="127">
        <v>139.14986531717966</v>
      </c>
      <c r="T397" s="123">
        <v>36.260181618916235</v>
      </c>
      <c r="U397" s="127">
        <v>63.430876224666029</v>
      </c>
      <c r="V397" s="128">
        <v>136.38622717356287</v>
      </c>
      <c r="W397" s="127">
        <v>36.008414769744327</v>
      </c>
      <c r="X397" s="127">
        <v>62.367414248493766</v>
      </c>
      <c r="Y397" s="127">
        <v>131.58185110694072</v>
      </c>
      <c r="Z397" s="123">
        <v>40.099294276212653</v>
      </c>
      <c r="AA397" s="127">
        <v>70.238384215451347</v>
      </c>
      <c r="AB397" s="128">
        <v>149.62357519254792</v>
      </c>
      <c r="AC397" s="127">
        <v>48.146317209094974</v>
      </c>
      <c r="AD397" s="127">
        <v>76.320431694529702</v>
      </c>
      <c r="AE397" s="127">
        <v>148.14767705273195</v>
      </c>
      <c r="AF397" s="123">
        <v>45.86882390670344</v>
      </c>
      <c r="AG397" s="127">
        <v>97.244620594962441</v>
      </c>
      <c r="AH397" s="128">
        <v>241.72013373964444</v>
      </c>
    </row>
    <row r="398" spans="1:34" x14ac:dyDescent="0.3">
      <c r="A398" s="24">
        <v>2047</v>
      </c>
      <c r="B398" s="123">
        <v>113.90666740186417</v>
      </c>
      <c r="C398" s="127">
        <v>178.748653702609</v>
      </c>
      <c r="D398" s="128">
        <v>262.36067178922798</v>
      </c>
      <c r="E398" s="127">
        <v>109.27086675487139</v>
      </c>
      <c r="F398" s="127">
        <v>186.59682621559239</v>
      </c>
      <c r="G398" s="127">
        <v>305.2517101331714</v>
      </c>
      <c r="H398" s="123">
        <v>67.724764450690031</v>
      </c>
      <c r="I398" s="127">
        <v>148.43342763180678</v>
      </c>
      <c r="J398" s="128">
        <v>346.35995883295755</v>
      </c>
      <c r="K398" s="127">
        <v>56.051456164525561</v>
      </c>
      <c r="L398" s="127">
        <v>116.9907996302975</v>
      </c>
      <c r="M398" s="127">
        <v>267.94730419135999</v>
      </c>
      <c r="N398" s="123">
        <v>23.543048725745752</v>
      </c>
      <c r="O398" s="127">
        <v>77.302494262706475</v>
      </c>
      <c r="P398" s="128">
        <v>236.58510987729835</v>
      </c>
      <c r="Q398" s="127">
        <v>27.346046702901237</v>
      </c>
      <c r="R398" s="127">
        <v>60.72984488079387</v>
      </c>
      <c r="S398" s="127">
        <v>138.38131705595904</v>
      </c>
      <c r="T398" s="123">
        <v>35.770567188299474</v>
      </c>
      <c r="U398" s="127">
        <v>62.915679522183282</v>
      </c>
      <c r="V398" s="128">
        <v>135.82674450555135</v>
      </c>
      <c r="W398" s="127">
        <v>35.581346187574866</v>
      </c>
      <c r="X398" s="127">
        <v>61.871587868616359</v>
      </c>
      <c r="Y398" s="127">
        <v>130.88667201980792</v>
      </c>
      <c r="Z398" s="123">
        <v>39.627933579646353</v>
      </c>
      <c r="AA398" s="127">
        <v>69.683075080662462</v>
      </c>
      <c r="AB398" s="128">
        <v>148.83311707957901</v>
      </c>
      <c r="AC398" s="127">
        <v>47.827964377293434</v>
      </c>
      <c r="AD398" s="127">
        <v>75.931182085517349</v>
      </c>
      <c r="AE398" s="127">
        <v>147.55861695026383</v>
      </c>
      <c r="AF398" s="123">
        <v>45.240432060219021</v>
      </c>
      <c r="AG398" s="127">
        <v>96.172511791760598</v>
      </c>
      <c r="AH398" s="128">
        <v>239.50094882494983</v>
      </c>
    </row>
    <row r="399" spans="1:34" x14ac:dyDescent="0.3">
      <c r="A399" s="24">
        <v>2048</v>
      </c>
      <c r="B399" s="123">
        <v>112.9281811429004</v>
      </c>
      <c r="C399" s="127">
        <v>178.13283457465232</v>
      </c>
      <c r="D399" s="128">
        <v>262.36067178922798</v>
      </c>
      <c r="E399" s="127">
        <v>108.33924734827933</v>
      </c>
      <c r="F399" s="127">
        <v>186.01069993760913</v>
      </c>
      <c r="G399" s="127">
        <v>305.2517101331714</v>
      </c>
      <c r="H399" s="123">
        <v>67.049928619352002</v>
      </c>
      <c r="I399" s="127">
        <v>147.70342930971188</v>
      </c>
      <c r="J399" s="128">
        <v>346.35995883295755</v>
      </c>
      <c r="K399" s="127">
        <v>55.516308036639359</v>
      </c>
      <c r="L399" s="127">
        <v>116.44502784382523</v>
      </c>
      <c r="M399" s="127">
        <v>267.94730419135999</v>
      </c>
      <c r="N399" s="123">
        <v>22.757284889297321</v>
      </c>
      <c r="O399" s="127">
        <v>76.450999699285219</v>
      </c>
      <c r="P399" s="128">
        <v>236.58510987729835</v>
      </c>
      <c r="Q399" s="127">
        <v>26.901208792393529</v>
      </c>
      <c r="R399" s="127">
        <v>60.111480322382867</v>
      </c>
      <c r="S399" s="127">
        <v>137.56704139854389</v>
      </c>
      <c r="T399" s="123">
        <v>35.298200109228205</v>
      </c>
      <c r="U399" s="127">
        <v>62.418102371462247</v>
      </c>
      <c r="V399" s="128">
        <v>135.28587197904872</v>
      </c>
      <c r="W399" s="127">
        <v>35.168843034318897</v>
      </c>
      <c r="X399" s="127">
        <v>61.391427944085514</v>
      </c>
      <c r="Y399" s="127">
        <v>130.2108796055555</v>
      </c>
      <c r="Z399" s="123">
        <v>39.172650293396607</v>
      </c>
      <c r="AA399" s="127">
        <v>69.145312594897376</v>
      </c>
      <c r="AB399" s="128">
        <v>148.06473269802149</v>
      </c>
      <c r="AC399" s="127">
        <v>47.512937110630531</v>
      </c>
      <c r="AD399" s="127">
        <v>75.562016423573112</v>
      </c>
      <c r="AE399" s="127">
        <v>147.04350299712308</v>
      </c>
      <c r="AF399" s="123">
        <v>44.653460341179382</v>
      </c>
      <c r="AG399" s="127">
        <v>95.182040274569331</v>
      </c>
      <c r="AH399" s="128">
        <v>237.44905874698028</v>
      </c>
    </row>
    <row r="400" spans="1:34" x14ac:dyDescent="0.3">
      <c r="A400" s="24">
        <v>2049</v>
      </c>
      <c r="B400" s="123">
        <v>111.95362773751556</v>
      </c>
      <c r="C400" s="127">
        <v>177.5190860076849</v>
      </c>
      <c r="D400" s="128">
        <v>262.36067178922798</v>
      </c>
      <c r="E400" s="127">
        <v>107.41137241369896</v>
      </c>
      <c r="F400" s="127">
        <v>185.42654476531087</v>
      </c>
      <c r="G400" s="127">
        <v>305.2517101331714</v>
      </c>
      <c r="H400" s="123">
        <v>66.365955688612587</v>
      </c>
      <c r="I400" s="127">
        <v>146.97176327881644</v>
      </c>
      <c r="J400" s="128">
        <v>346.35995883295755</v>
      </c>
      <c r="K400" s="127">
        <v>54.976902501663766</v>
      </c>
      <c r="L400" s="127">
        <v>115.89909528708144</v>
      </c>
      <c r="M400" s="127">
        <v>267.94730419135999</v>
      </c>
      <c r="N400" s="123">
        <v>22.002236599254353</v>
      </c>
      <c r="O400" s="127">
        <v>75.631850977686298</v>
      </c>
      <c r="P400" s="128">
        <v>236.58510987729835</v>
      </c>
      <c r="Q400" s="127">
        <v>26.393579983010888</v>
      </c>
      <c r="R400" s="127">
        <v>59.424995341143386</v>
      </c>
      <c r="S400" s="127">
        <v>136.6931410065873</v>
      </c>
      <c r="T400" s="123">
        <v>34.841943985086999</v>
      </c>
      <c r="U400" s="127">
        <v>61.937001360120142</v>
      </c>
      <c r="V400" s="128">
        <v>134.76241920269419</v>
      </c>
      <c r="W400" s="127">
        <v>34.769949816160981</v>
      </c>
      <c r="X400" s="127">
        <v>60.925919360462267</v>
      </c>
      <c r="Y400" s="127">
        <v>129.55322916539612</v>
      </c>
      <c r="Z400" s="123">
        <v>38.732387946247968</v>
      </c>
      <c r="AA400" s="127">
        <v>68.623958049490071</v>
      </c>
      <c r="AB400" s="128">
        <v>147.31700270575223</v>
      </c>
      <c r="AC400" s="127">
        <v>47.218179901007154</v>
      </c>
      <c r="AD400" s="127">
        <v>75.208757289166542</v>
      </c>
      <c r="AE400" s="127">
        <v>146.54649154861588</v>
      </c>
      <c r="AF400" s="123">
        <v>44.118126690719123</v>
      </c>
      <c r="AG400" s="127">
        <v>94.266327656168031</v>
      </c>
      <c r="AH400" s="128">
        <v>235.54154390885469</v>
      </c>
    </row>
    <row r="401" spans="1:97" ht="15" thickBot="1" x14ac:dyDescent="0.35">
      <c r="A401" s="25">
        <v>2050</v>
      </c>
      <c r="B401" s="124">
        <v>110.98298352058806</v>
      </c>
      <c r="C401" s="129">
        <v>176.90739692988481</v>
      </c>
      <c r="D401" s="130">
        <v>262.36067178922798</v>
      </c>
      <c r="E401" s="129">
        <v>106.48721941937283</v>
      </c>
      <c r="F401" s="129">
        <v>184.84435016778195</v>
      </c>
      <c r="G401" s="129">
        <v>305.2517101331714</v>
      </c>
      <c r="H401" s="124">
        <v>65.693484932003997</v>
      </c>
      <c r="I401" s="129">
        <v>146.24537381761965</v>
      </c>
      <c r="J401" s="130">
        <v>346.35995883295755</v>
      </c>
      <c r="K401" s="129">
        <v>54.446899416494915</v>
      </c>
      <c r="L401" s="129">
        <v>115.35773721471884</v>
      </c>
      <c r="M401" s="129">
        <v>267.94730419135999</v>
      </c>
      <c r="N401" s="124">
        <v>21.276621233264763</v>
      </c>
      <c r="O401" s="129">
        <v>74.843741649276453</v>
      </c>
      <c r="P401" s="130">
        <v>236.58510987729835</v>
      </c>
      <c r="Q401" s="129">
        <v>25.81070135883833</v>
      </c>
      <c r="R401" s="129">
        <v>58.656806305311328</v>
      </c>
      <c r="S401" s="129">
        <v>135.74576339734995</v>
      </c>
      <c r="T401" s="124">
        <v>34.400769968234037</v>
      </c>
      <c r="U401" s="129">
        <v>61.471340195590528</v>
      </c>
      <c r="V401" s="130">
        <v>134.25530622674052</v>
      </c>
      <c r="W401" s="129">
        <v>34.383802951241883</v>
      </c>
      <c r="X401" s="129">
        <v>60.474144436436902</v>
      </c>
      <c r="Y401" s="129">
        <v>128.91259580877207</v>
      </c>
      <c r="Z401" s="124">
        <v>38.306191877195886</v>
      </c>
      <c r="AA401" s="129">
        <v>68.117982214373754</v>
      </c>
      <c r="AB401" s="130">
        <v>146.58864456702679</v>
      </c>
      <c r="AC401" s="129">
        <v>46.933892170014673</v>
      </c>
      <c r="AD401" s="129">
        <v>74.871086788726629</v>
      </c>
      <c r="AE401" s="129">
        <v>146.06630045775054</v>
      </c>
      <c r="AF401" s="124">
        <v>43.620000233914695</v>
      </c>
      <c r="AG401" s="129">
        <v>93.409628253780937</v>
      </c>
      <c r="AH401" s="130">
        <v>233.67572315709796</v>
      </c>
    </row>
    <row r="402" spans="1:97" ht="15" thickBot="1" x14ac:dyDescent="0.35">
      <c r="A402" s="36"/>
    </row>
    <row r="403" spans="1:97" ht="18.600000000000001" customHeight="1" thickBot="1" x14ac:dyDescent="0.35">
      <c r="A403" s="289" t="s">
        <v>0</v>
      </c>
      <c r="B403" s="341" t="s">
        <v>427</v>
      </c>
      <c r="C403" s="342"/>
      <c r="D403" s="342"/>
      <c r="E403" s="342"/>
      <c r="F403" s="342"/>
      <c r="G403" s="342"/>
      <c r="H403" s="342"/>
      <c r="I403" s="342"/>
      <c r="J403" s="342"/>
      <c r="K403" s="342"/>
      <c r="L403" s="342"/>
      <c r="M403" s="342"/>
      <c r="N403" s="342"/>
      <c r="O403" s="342"/>
      <c r="P403" s="342"/>
      <c r="Q403" s="342"/>
      <c r="R403" s="342"/>
      <c r="S403" s="342"/>
      <c r="T403" s="342"/>
      <c r="U403" s="342"/>
      <c r="V403" s="342"/>
      <c r="W403" s="342"/>
      <c r="X403" s="342"/>
      <c r="Y403" s="342"/>
      <c r="Z403" s="342"/>
      <c r="AA403" s="342"/>
      <c r="AB403" s="342"/>
      <c r="AC403" s="342"/>
      <c r="AD403" s="342"/>
      <c r="AE403" s="342"/>
      <c r="AF403" s="342"/>
      <c r="AG403" s="342"/>
      <c r="AH403" s="342"/>
      <c r="AI403" s="342"/>
      <c r="AJ403" s="342"/>
      <c r="AK403" s="343"/>
    </row>
    <row r="404" spans="1:97" ht="18.600000000000001" customHeight="1" thickBot="1" x14ac:dyDescent="0.35">
      <c r="A404" s="344"/>
      <c r="B404" s="338" t="s">
        <v>428</v>
      </c>
      <c r="C404" s="339"/>
      <c r="D404" s="340"/>
      <c r="E404" s="338" t="s">
        <v>429</v>
      </c>
      <c r="F404" s="339"/>
      <c r="G404" s="340"/>
      <c r="H404" s="338" t="s">
        <v>430</v>
      </c>
      <c r="I404" s="339"/>
      <c r="J404" s="340"/>
      <c r="K404" s="338" t="s">
        <v>431</v>
      </c>
      <c r="L404" s="339"/>
      <c r="M404" s="340"/>
      <c r="N404" s="338" t="s">
        <v>432</v>
      </c>
      <c r="O404" s="339"/>
      <c r="P404" s="340"/>
      <c r="Q404" s="338" t="s">
        <v>433</v>
      </c>
      <c r="R404" s="339"/>
      <c r="S404" s="340"/>
      <c r="T404" s="338" t="s">
        <v>434</v>
      </c>
      <c r="U404" s="339"/>
      <c r="V404" s="340"/>
      <c r="W404" s="338" t="s">
        <v>435</v>
      </c>
      <c r="X404" s="339"/>
      <c r="Y404" s="340"/>
      <c r="Z404" s="338" t="s">
        <v>436</v>
      </c>
      <c r="AA404" s="339"/>
      <c r="AB404" s="340"/>
      <c r="AC404" s="338" t="s">
        <v>437</v>
      </c>
      <c r="AD404" s="339"/>
      <c r="AE404" s="340"/>
      <c r="AF404" s="338" t="s">
        <v>438</v>
      </c>
      <c r="AG404" s="339"/>
      <c r="AH404" s="340"/>
      <c r="AI404" s="338" t="s">
        <v>439</v>
      </c>
      <c r="AJ404" s="339"/>
      <c r="AK404" s="340"/>
    </row>
    <row r="405" spans="1:97" ht="15" customHeight="1" thickBot="1" x14ac:dyDescent="0.35">
      <c r="A405" s="290"/>
      <c r="B405" s="29" t="s">
        <v>69</v>
      </c>
      <c r="C405" s="30" t="s">
        <v>70</v>
      </c>
      <c r="D405" s="31" t="s">
        <v>71</v>
      </c>
      <c r="E405" s="29" t="s">
        <v>69</v>
      </c>
      <c r="F405" s="30" t="s">
        <v>70</v>
      </c>
      <c r="G405" s="31" t="s">
        <v>71</v>
      </c>
      <c r="H405" s="29" t="s">
        <v>69</v>
      </c>
      <c r="I405" s="30" t="s">
        <v>70</v>
      </c>
      <c r="J405" s="31" t="s">
        <v>71</v>
      </c>
      <c r="K405" s="29" t="s">
        <v>69</v>
      </c>
      <c r="L405" s="30" t="s">
        <v>70</v>
      </c>
      <c r="M405" s="31" t="s">
        <v>71</v>
      </c>
      <c r="N405" s="29" t="s">
        <v>69</v>
      </c>
      <c r="O405" s="30" t="s">
        <v>70</v>
      </c>
      <c r="P405" s="31" t="s">
        <v>71</v>
      </c>
      <c r="Q405" s="29" t="s">
        <v>69</v>
      </c>
      <c r="R405" s="30" t="s">
        <v>70</v>
      </c>
      <c r="S405" s="31" t="s">
        <v>71</v>
      </c>
      <c r="T405" s="29" t="s">
        <v>69</v>
      </c>
      <c r="U405" s="30" t="s">
        <v>70</v>
      </c>
      <c r="V405" s="31" t="s">
        <v>71</v>
      </c>
      <c r="W405" s="29" t="s">
        <v>69</v>
      </c>
      <c r="X405" s="30" t="s">
        <v>70</v>
      </c>
      <c r="Y405" s="31" t="s">
        <v>71</v>
      </c>
      <c r="Z405" s="29" t="s">
        <v>69</v>
      </c>
      <c r="AA405" s="30" t="s">
        <v>70</v>
      </c>
      <c r="AB405" s="31" t="s">
        <v>71</v>
      </c>
      <c r="AC405" s="29" t="s">
        <v>69</v>
      </c>
      <c r="AD405" s="30" t="s">
        <v>70</v>
      </c>
      <c r="AE405" s="31" t="s">
        <v>71</v>
      </c>
      <c r="AF405" s="29" t="s">
        <v>69</v>
      </c>
      <c r="AG405" s="30" t="s">
        <v>70</v>
      </c>
      <c r="AH405" s="31" t="s">
        <v>71</v>
      </c>
      <c r="AI405" s="29" t="s">
        <v>69</v>
      </c>
      <c r="AJ405" s="30" t="s">
        <v>70</v>
      </c>
      <c r="AK405" s="31" t="s">
        <v>71</v>
      </c>
    </row>
    <row r="406" spans="1:97" ht="15" customHeight="1" x14ac:dyDescent="0.3">
      <c r="A406" s="52">
        <v>2015</v>
      </c>
      <c r="B406" s="15"/>
      <c r="C406" s="16"/>
      <c r="D406" s="18"/>
      <c r="E406" s="16"/>
      <c r="F406" s="16"/>
      <c r="G406" s="16"/>
      <c r="H406" s="15"/>
      <c r="I406" s="16"/>
      <c r="J406" s="18"/>
      <c r="K406" s="16"/>
      <c r="L406" s="16"/>
      <c r="M406" s="18"/>
      <c r="N406" s="15"/>
      <c r="O406" s="16"/>
      <c r="P406" s="18"/>
      <c r="Q406" s="16"/>
      <c r="R406" s="16"/>
      <c r="S406" s="18"/>
      <c r="T406" s="16"/>
      <c r="U406" s="16"/>
      <c r="V406" s="18"/>
      <c r="W406" s="15"/>
      <c r="X406" s="16"/>
      <c r="Y406" s="18"/>
      <c r="Z406" s="16"/>
      <c r="AA406" s="16"/>
      <c r="AB406" s="18"/>
      <c r="AC406" s="16"/>
      <c r="AD406" s="16"/>
      <c r="AE406" s="18"/>
      <c r="AF406" s="15"/>
      <c r="AG406" s="16"/>
      <c r="AH406" s="18"/>
      <c r="AI406" s="16"/>
      <c r="AJ406" s="16"/>
      <c r="AK406" s="18"/>
    </row>
    <row r="407" spans="1:97" x14ac:dyDescent="0.3">
      <c r="A407" s="24">
        <v>2016</v>
      </c>
      <c r="B407" s="17"/>
      <c r="C407" s="20"/>
      <c r="D407" s="19"/>
      <c r="E407" s="20"/>
      <c r="F407" s="20"/>
      <c r="G407" s="20"/>
      <c r="H407" s="17"/>
      <c r="I407" s="20"/>
      <c r="J407" s="19"/>
      <c r="K407" s="20"/>
      <c r="L407" s="20"/>
      <c r="M407" s="19"/>
      <c r="N407" s="17"/>
      <c r="O407" s="20"/>
      <c r="P407" s="19"/>
      <c r="Q407" s="20"/>
      <c r="R407" s="20"/>
      <c r="S407" s="19"/>
      <c r="T407" s="20"/>
      <c r="U407" s="20"/>
      <c r="V407" s="19"/>
      <c r="W407" s="17"/>
      <c r="X407" s="20"/>
      <c r="Y407" s="19"/>
      <c r="Z407" s="20"/>
      <c r="AA407" s="20"/>
      <c r="AB407" s="19"/>
      <c r="AC407" s="20"/>
      <c r="AD407" s="20"/>
      <c r="AE407" s="19"/>
      <c r="AF407" s="17"/>
      <c r="AG407" s="20"/>
      <c r="AH407" s="19"/>
      <c r="AI407" s="20"/>
      <c r="AJ407" s="20"/>
      <c r="AK407" s="19"/>
    </row>
    <row r="408" spans="1:97" x14ac:dyDescent="0.3">
      <c r="A408" s="24">
        <v>2017</v>
      </c>
      <c r="B408" s="17"/>
      <c r="C408" s="20"/>
      <c r="D408" s="19"/>
      <c r="E408" s="20"/>
      <c r="F408" s="20"/>
      <c r="G408" s="20"/>
      <c r="H408" s="17"/>
      <c r="I408" s="20"/>
      <c r="J408" s="19"/>
      <c r="K408" s="20"/>
      <c r="L408" s="20"/>
      <c r="M408" s="19"/>
      <c r="N408" s="17"/>
      <c r="O408" s="20"/>
      <c r="P408" s="19"/>
      <c r="Q408" s="20"/>
      <c r="R408" s="20"/>
      <c r="S408" s="19"/>
      <c r="T408" s="20"/>
      <c r="U408" s="20"/>
      <c r="V408" s="19"/>
      <c r="W408" s="17"/>
      <c r="X408" s="20"/>
      <c r="Y408" s="19"/>
      <c r="Z408" s="20"/>
      <c r="AA408" s="20"/>
      <c r="AB408" s="19"/>
      <c r="AC408" s="20"/>
      <c r="AD408" s="20"/>
      <c r="AE408" s="19"/>
      <c r="AF408" s="17"/>
      <c r="AG408" s="20"/>
      <c r="AH408" s="19"/>
      <c r="AI408" s="20"/>
      <c r="AJ408" s="20"/>
      <c r="AK408" s="19"/>
      <c r="CM408">
        <f>MIN(AS408:CK408)</f>
        <v>0</v>
      </c>
      <c r="CN408" t="e">
        <f>AVERAGE(AS408:CK408)</f>
        <v>#DIV/0!</v>
      </c>
      <c r="CO408">
        <f>MAX(AS408:CK408)</f>
        <v>0</v>
      </c>
      <c r="CQ408">
        <f>CM408*1.03</f>
        <v>0</v>
      </c>
      <c r="CR408" t="e">
        <f t="shared" ref="CR408:CS408" si="0">CN408*1.03</f>
        <v>#DIV/0!</v>
      </c>
      <c r="CS408">
        <f t="shared" si="0"/>
        <v>0</v>
      </c>
    </row>
    <row r="409" spans="1:97" x14ac:dyDescent="0.3">
      <c r="A409" s="24">
        <v>2018</v>
      </c>
      <c r="B409" s="17"/>
      <c r="C409" s="20"/>
      <c r="D409" s="19"/>
      <c r="E409" s="20"/>
      <c r="F409" s="20"/>
      <c r="G409" s="20"/>
      <c r="H409" s="17"/>
      <c r="I409" s="20"/>
      <c r="J409" s="19"/>
      <c r="K409" s="20"/>
      <c r="L409" s="20"/>
      <c r="M409" s="19"/>
      <c r="N409" s="17"/>
      <c r="O409" s="20"/>
      <c r="P409" s="19"/>
      <c r="Q409" s="20"/>
      <c r="R409" s="20"/>
      <c r="S409" s="19"/>
      <c r="T409" s="20"/>
      <c r="U409" s="20"/>
      <c r="V409" s="19"/>
      <c r="W409" s="17"/>
      <c r="X409" s="20"/>
      <c r="Y409" s="19"/>
      <c r="Z409" s="20"/>
      <c r="AA409" s="20"/>
      <c r="AB409" s="19"/>
      <c r="AC409" s="20"/>
      <c r="AD409" s="20"/>
      <c r="AE409" s="19"/>
      <c r="AF409" s="17"/>
      <c r="AG409" s="20"/>
      <c r="AH409" s="19"/>
      <c r="AI409" s="20"/>
      <c r="AJ409" s="20"/>
      <c r="AK409" s="19"/>
      <c r="CM409">
        <f t="shared" ref="CM409:CM437" si="1">MIN(AS409:CK409)</f>
        <v>0</v>
      </c>
      <c r="CN409" t="e">
        <f t="shared" ref="CN409:CN437" si="2">AVERAGE(AS409:CK409)</f>
        <v>#DIV/0!</v>
      </c>
      <c r="CO409">
        <f t="shared" ref="CO409:CO437" si="3">MAX(AS409:CK409)</f>
        <v>0</v>
      </c>
      <c r="CQ409">
        <f t="shared" ref="CQ409:CQ443" si="4">CM409*1.03</f>
        <v>0</v>
      </c>
      <c r="CR409" t="e">
        <f t="shared" ref="CR409:CR443" si="5">CN409*1.03</f>
        <v>#DIV/0!</v>
      </c>
      <c r="CS409">
        <f t="shared" ref="CS409:CS443" si="6">CO409*1.03</f>
        <v>0</v>
      </c>
    </row>
    <row r="410" spans="1:97" x14ac:dyDescent="0.3">
      <c r="A410" s="24">
        <v>2019</v>
      </c>
      <c r="B410" s="123">
        <v>336.87931199999997</v>
      </c>
      <c r="C410" s="127">
        <v>336.87931199999997</v>
      </c>
      <c r="D410" s="128">
        <v>336.87931199999997</v>
      </c>
      <c r="E410" s="127">
        <v>297.88017187293798</v>
      </c>
      <c r="F410" s="127">
        <v>297.88017187293798</v>
      </c>
      <c r="G410" s="127">
        <v>297.88017187293798</v>
      </c>
      <c r="H410" s="123">
        <v>418.10002025738561</v>
      </c>
      <c r="I410" s="127">
        <v>418.10002025738561</v>
      </c>
      <c r="J410" s="128">
        <v>418.10002025738561</v>
      </c>
      <c r="K410" s="20"/>
      <c r="L410" s="20"/>
      <c r="M410" s="19"/>
      <c r="N410" s="17"/>
      <c r="O410" s="20"/>
      <c r="P410" s="19"/>
      <c r="Q410" s="20"/>
      <c r="R410" s="20"/>
      <c r="S410" s="19"/>
      <c r="T410" s="20"/>
      <c r="U410" s="20"/>
      <c r="V410" s="19"/>
      <c r="W410" s="17"/>
      <c r="X410" s="20"/>
      <c r="Y410" s="19"/>
      <c r="Z410" s="20"/>
      <c r="AA410" s="20"/>
      <c r="AB410" s="19"/>
      <c r="AC410" s="20"/>
      <c r="AD410" s="20"/>
      <c r="AE410" s="19"/>
      <c r="AF410" s="17"/>
      <c r="AG410" s="20"/>
      <c r="AH410" s="19"/>
      <c r="AI410" s="20"/>
      <c r="AJ410" s="20"/>
      <c r="AK410" s="19"/>
      <c r="CM410">
        <f t="shared" si="1"/>
        <v>0</v>
      </c>
      <c r="CN410" t="e">
        <f t="shared" si="2"/>
        <v>#DIV/0!</v>
      </c>
      <c r="CO410">
        <f t="shared" si="3"/>
        <v>0</v>
      </c>
      <c r="CQ410">
        <f t="shared" si="4"/>
        <v>0</v>
      </c>
      <c r="CR410" t="e">
        <f t="shared" si="5"/>
        <v>#DIV/0!</v>
      </c>
      <c r="CS410">
        <f t="shared" si="6"/>
        <v>0</v>
      </c>
    </row>
    <row r="411" spans="1:97" x14ac:dyDescent="0.3">
      <c r="A411" s="24">
        <v>2020</v>
      </c>
      <c r="B411" s="123">
        <v>320.88464626369517</v>
      </c>
      <c r="C411" s="127">
        <v>320.88464626369517</v>
      </c>
      <c r="D411" s="128">
        <v>320.88464626369517</v>
      </c>
      <c r="E411" s="127">
        <v>232.00774931811776</v>
      </c>
      <c r="F411" s="127">
        <v>274.33410961762758</v>
      </c>
      <c r="G411" s="127">
        <v>290.07475560460966</v>
      </c>
      <c r="H411" s="123">
        <v>384.10296593864018</v>
      </c>
      <c r="I411" s="127">
        <v>384.10296593864018</v>
      </c>
      <c r="J411" s="128">
        <v>384.10296593864018</v>
      </c>
      <c r="K411" s="127">
        <v>395.31831838914582</v>
      </c>
      <c r="L411" s="127">
        <v>395.31831838914582</v>
      </c>
      <c r="M411" s="128">
        <v>395.31831838914582</v>
      </c>
      <c r="N411" s="123">
        <v>346.19308169461061</v>
      </c>
      <c r="O411" s="127">
        <v>346.19308169461061</v>
      </c>
      <c r="P411" s="128">
        <v>346.19308169461061</v>
      </c>
      <c r="Q411" s="127">
        <v>733.31707049210161</v>
      </c>
      <c r="R411" s="127">
        <v>733.31707049210161</v>
      </c>
      <c r="S411" s="128">
        <v>733.31707049210161</v>
      </c>
      <c r="T411" s="127"/>
      <c r="U411" s="127"/>
      <c r="V411" s="128"/>
      <c r="W411" s="123"/>
      <c r="X411" s="127"/>
      <c r="Y411" s="128"/>
      <c r="Z411" s="127"/>
      <c r="AA411" s="127"/>
      <c r="AB411" s="128"/>
      <c r="AC411" s="127"/>
      <c r="AD411" s="127"/>
      <c r="AE411" s="128"/>
      <c r="AF411" s="123"/>
      <c r="AG411" s="127"/>
      <c r="AH411" s="128"/>
      <c r="AI411" s="127"/>
      <c r="AJ411" s="127"/>
      <c r="AK411" s="128"/>
      <c r="CM411">
        <f t="shared" si="1"/>
        <v>0</v>
      </c>
      <c r="CN411" t="e">
        <f t="shared" si="2"/>
        <v>#DIV/0!</v>
      </c>
      <c r="CO411">
        <f t="shared" si="3"/>
        <v>0</v>
      </c>
      <c r="CQ411">
        <f t="shared" si="4"/>
        <v>0</v>
      </c>
      <c r="CR411" t="e">
        <f t="shared" si="5"/>
        <v>#DIV/0!</v>
      </c>
      <c r="CS411">
        <f t="shared" si="6"/>
        <v>0</v>
      </c>
    </row>
    <row r="412" spans="1:97" x14ac:dyDescent="0.3">
      <c r="A412" s="24">
        <v>2021</v>
      </c>
      <c r="B412" s="123">
        <v>293.33708799999999</v>
      </c>
      <c r="C412" s="127">
        <v>300.68168533252066</v>
      </c>
      <c r="D412" s="128">
        <v>309.37896000000001</v>
      </c>
      <c r="E412" s="127">
        <v>215.67784127449178</v>
      </c>
      <c r="F412" s="127">
        <v>251.29586235879955</v>
      </c>
      <c r="G412" s="127">
        <v>282.26933933628135</v>
      </c>
      <c r="H412" s="123">
        <v>357.06780814112346</v>
      </c>
      <c r="I412" s="127">
        <v>350.70294041442531</v>
      </c>
      <c r="J412" s="128">
        <v>373.76741111656804</v>
      </c>
      <c r="K412" s="127">
        <v>330.95581479908094</v>
      </c>
      <c r="L412" s="127">
        <v>330.95581479908094</v>
      </c>
      <c r="M412" s="128">
        <v>330.95581479908094</v>
      </c>
      <c r="N412" s="123">
        <v>239.80841893175429</v>
      </c>
      <c r="O412" s="127">
        <v>239.80841893175429</v>
      </c>
      <c r="P412" s="128">
        <v>239.80841893175429</v>
      </c>
      <c r="Q412" s="127">
        <v>733.81148607638136</v>
      </c>
      <c r="R412" s="127">
        <v>733.81148607638136</v>
      </c>
      <c r="S412" s="128">
        <v>733.81148607638136</v>
      </c>
      <c r="T412" s="127">
        <v>331.71258141966001</v>
      </c>
      <c r="U412" s="127">
        <v>331.71258141966001</v>
      </c>
      <c r="V412" s="128">
        <v>331.71258141966001</v>
      </c>
      <c r="W412" s="123">
        <v>241.66162583126297</v>
      </c>
      <c r="X412" s="127">
        <v>241.66162583126297</v>
      </c>
      <c r="Y412" s="128">
        <v>241.66162583126297</v>
      </c>
      <c r="Z412" s="127">
        <v>739.48228160138115</v>
      </c>
      <c r="AA412" s="127">
        <v>739.48228160138115</v>
      </c>
      <c r="AB412" s="128">
        <v>739.48228160138115</v>
      </c>
      <c r="AC412" s="127"/>
      <c r="AD412" s="127"/>
      <c r="AE412" s="128"/>
      <c r="AF412" s="123"/>
      <c r="AG412" s="127"/>
      <c r="AH412" s="128"/>
      <c r="AI412" s="127"/>
      <c r="AJ412" s="127"/>
      <c r="AK412" s="128"/>
      <c r="CM412">
        <f t="shared" si="1"/>
        <v>0</v>
      </c>
      <c r="CN412" t="e">
        <f t="shared" si="2"/>
        <v>#DIV/0!</v>
      </c>
      <c r="CO412">
        <f t="shared" si="3"/>
        <v>0</v>
      </c>
      <c r="CQ412">
        <f t="shared" si="4"/>
        <v>0</v>
      </c>
      <c r="CR412" t="e">
        <f t="shared" si="5"/>
        <v>#DIV/0!</v>
      </c>
      <c r="CS412">
        <f t="shared" si="6"/>
        <v>0</v>
      </c>
    </row>
    <row r="413" spans="1:97" x14ac:dyDescent="0.3">
      <c r="A413" s="24">
        <v>2022</v>
      </c>
      <c r="B413" s="123">
        <v>269.27427999999998</v>
      </c>
      <c r="C413" s="127">
        <v>280.47872440134614</v>
      </c>
      <c r="D413" s="128">
        <v>300.212176</v>
      </c>
      <c r="E413" s="127">
        <v>199.34793323086572</v>
      </c>
      <c r="F413" s="127">
        <v>228.23621396971913</v>
      </c>
      <c r="G413" s="127">
        <v>274.46392306795298</v>
      </c>
      <c r="H413" s="123">
        <v>330.0326503436068</v>
      </c>
      <c r="I413" s="127">
        <v>317.27775397317379</v>
      </c>
      <c r="J413" s="128">
        <v>363.43185629449584</v>
      </c>
      <c r="K413" s="127">
        <v>304.5853200128052</v>
      </c>
      <c r="L413" s="127">
        <v>301.81505123186633</v>
      </c>
      <c r="M413" s="128">
        <v>321.80410208736822</v>
      </c>
      <c r="N413" s="123">
        <v>220.70053087429872</v>
      </c>
      <c r="O413" s="127">
        <v>217.44695203481919</v>
      </c>
      <c r="P413" s="128">
        <v>233.17714775361898</v>
      </c>
      <c r="Q413" s="127">
        <v>675.34152996023238</v>
      </c>
      <c r="R413" s="127">
        <v>681.66319126240978</v>
      </c>
      <c r="S413" s="128">
        <v>713.51985920406605</v>
      </c>
      <c r="T413" s="127">
        <v>372.83005171999997</v>
      </c>
      <c r="U413" s="127">
        <v>372.83005171999997</v>
      </c>
      <c r="V413" s="128">
        <v>372.83005171999997</v>
      </c>
      <c r="W413" s="123">
        <v>272.25334218005486</v>
      </c>
      <c r="X413" s="127">
        <v>272.25334218005486</v>
      </c>
      <c r="Y413" s="128">
        <v>272.25334218005486</v>
      </c>
      <c r="Z413" s="127">
        <v>615.25380798582842</v>
      </c>
      <c r="AA413" s="127">
        <v>615.25380798582842</v>
      </c>
      <c r="AB413" s="128">
        <v>615.25380798582842</v>
      </c>
      <c r="AC413" s="127">
        <v>390.92859792000002</v>
      </c>
      <c r="AD413" s="127">
        <v>390.92859792000002</v>
      </c>
      <c r="AE413" s="128">
        <v>390.92859792000002</v>
      </c>
      <c r="AF413" s="123">
        <v>275.16090214508455</v>
      </c>
      <c r="AG413" s="127">
        <v>275.16090214508455</v>
      </c>
      <c r="AH413" s="128">
        <v>275.16090214508455</v>
      </c>
      <c r="AI413" s="127">
        <v>621.82447972159935</v>
      </c>
      <c r="AJ413" s="127">
        <v>621.82447972159935</v>
      </c>
      <c r="AK413" s="128">
        <v>621.82447972159935</v>
      </c>
      <c r="CM413">
        <f t="shared" si="1"/>
        <v>0</v>
      </c>
      <c r="CN413" t="e">
        <f t="shared" si="2"/>
        <v>#DIV/0!</v>
      </c>
      <c r="CO413">
        <f t="shared" si="3"/>
        <v>0</v>
      </c>
      <c r="CQ413">
        <f t="shared" si="4"/>
        <v>0</v>
      </c>
      <c r="CR413" t="e">
        <f t="shared" si="5"/>
        <v>#DIV/0!</v>
      </c>
      <c r="CS413">
        <f t="shared" si="6"/>
        <v>0</v>
      </c>
    </row>
    <row r="414" spans="1:97" x14ac:dyDescent="0.3">
      <c r="A414" s="24">
        <v>2023</v>
      </c>
      <c r="B414" s="123">
        <v>245.21147200000001</v>
      </c>
      <c r="C414" s="127">
        <v>260.27576347017168</v>
      </c>
      <c r="D414" s="128">
        <v>292.19123999999999</v>
      </c>
      <c r="E414" s="127">
        <v>183.01802518723972</v>
      </c>
      <c r="F414" s="127">
        <v>205.6402763699777</v>
      </c>
      <c r="G414" s="127">
        <v>266.65850679962466</v>
      </c>
      <c r="H414" s="123">
        <v>302.99749254609003</v>
      </c>
      <c r="I414" s="127">
        <v>284.39774381755251</v>
      </c>
      <c r="J414" s="128">
        <v>353.0963014724237</v>
      </c>
      <c r="K414" s="127">
        <v>278.2148252265294</v>
      </c>
      <c r="L414" s="127">
        <v>272.67428766465162</v>
      </c>
      <c r="M414" s="128">
        <v>312.6523893756555</v>
      </c>
      <c r="N414" s="123">
        <v>201.59264281684307</v>
      </c>
      <c r="O414" s="127">
        <v>195.49881451869811</v>
      </c>
      <c r="P414" s="128">
        <v>226.54587657548353</v>
      </c>
      <c r="Q414" s="127">
        <v>616.87157384408385</v>
      </c>
      <c r="R414" s="127">
        <v>633.30544227853693</v>
      </c>
      <c r="S414" s="128">
        <v>693.22823233175063</v>
      </c>
      <c r="T414" s="127">
        <v>268.27685507526382</v>
      </c>
      <c r="U414" s="127">
        <v>356.96411949681578</v>
      </c>
      <c r="V414" s="128">
        <v>386.76988470379092</v>
      </c>
      <c r="W414" s="123">
        <v>195.85846464771961</v>
      </c>
      <c r="X414" s="127">
        <v>248.49949063835842</v>
      </c>
      <c r="Y414" s="128">
        <v>282.33679929783466</v>
      </c>
      <c r="Z414" s="127">
        <v>442.61225678938666</v>
      </c>
      <c r="AA414" s="127">
        <v>563.51539926824751</v>
      </c>
      <c r="AB414" s="128">
        <v>638.04098605937725</v>
      </c>
      <c r="AC414" s="127">
        <v>386.91932356000001</v>
      </c>
      <c r="AD414" s="127">
        <v>386.91932356000001</v>
      </c>
      <c r="AE414" s="128">
        <v>386.91932356000001</v>
      </c>
      <c r="AF414" s="123">
        <v>338.73134452063618</v>
      </c>
      <c r="AG414" s="127">
        <v>338.73134452063618</v>
      </c>
      <c r="AH414" s="128">
        <v>338.73134452063618</v>
      </c>
      <c r="AI414" s="127">
        <v>447.33918380364224</v>
      </c>
      <c r="AJ414" s="127">
        <v>569.53352489150063</v>
      </c>
      <c r="AK414" s="128">
        <v>644.85501600758414</v>
      </c>
      <c r="CM414">
        <f t="shared" si="1"/>
        <v>0</v>
      </c>
      <c r="CN414" t="e">
        <f t="shared" si="2"/>
        <v>#DIV/0!</v>
      </c>
      <c r="CO414">
        <f t="shared" si="3"/>
        <v>0</v>
      </c>
      <c r="CQ414">
        <f t="shared" si="4"/>
        <v>0</v>
      </c>
      <c r="CR414" t="e">
        <f t="shared" si="5"/>
        <v>#DIV/0!</v>
      </c>
      <c r="CS414">
        <f t="shared" si="6"/>
        <v>0</v>
      </c>
    </row>
    <row r="415" spans="1:97" x14ac:dyDescent="0.3">
      <c r="A415" s="24">
        <v>2024</v>
      </c>
      <c r="B415" s="123">
        <v>221.14866399999997</v>
      </c>
      <c r="C415" s="127">
        <v>240.07280253899725</v>
      </c>
      <c r="D415" s="128">
        <v>283.02445599999999</v>
      </c>
      <c r="E415" s="127">
        <v>166.68811714361371</v>
      </c>
      <c r="F415" s="127">
        <v>183.41312163824944</v>
      </c>
      <c r="G415" s="127">
        <v>258.8530905312964</v>
      </c>
      <c r="H415" s="123">
        <v>275.96233474857331</v>
      </c>
      <c r="I415" s="127">
        <v>251.95130492835415</v>
      </c>
      <c r="J415" s="128">
        <v>342.76074665035162</v>
      </c>
      <c r="K415" s="127">
        <v>251.84433044025363</v>
      </c>
      <c r="L415" s="127">
        <v>245.61500720938082</v>
      </c>
      <c r="M415" s="128">
        <v>303.50067666394278</v>
      </c>
      <c r="N415" s="123">
        <v>182.48475475938744</v>
      </c>
      <c r="O415" s="127">
        <v>173.87939222334631</v>
      </c>
      <c r="P415" s="128">
        <v>219.91460539734817</v>
      </c>
      <c r="Q415" s="127">
        <v>558.40161772793522</v>
      </c>
      <c r="R415" s="127">
        <v>587.91353321445956</v>
      </c>
      <c r="S415" s="128">
        <v>672.93660545943555</v>
      </c>
      <c r="T415" s="127">
        <v>253.29045879780236</v>
      </c>
      <c r="U415" s="127">
        <v>339.28377057539899</v>
      </c>
      <c r="V415" s="128">
        <v>389.37346803045949</v>
      </c>
      <c r="W415" s="123">
        <v>184.86398712038016</v>
      </c>
      <c r="X415" s="127">
        <v>225.7383824011948</v>
      </c>
      <c r="Y415" s="128">
        <v>284.35349072139053</v>
      </c>
      <c r="Z415" s="127">
        <v>417.76630224078639</v>
      </c>
      <c r="AA415" s="127">
        <v>514.13990934993171</v>
      </c>
      <c r="AB415" s="128">
        <v>642.59842167408726</v>
      </c>
      <c r="AC415" s="127">
        <v>319.42973460964845</v>
      </c>
      <c r="AD415" s="127">
        <v>355.75385652566109</v>
      </c>
      <c r="AE415" s="128">
        <v>408.27509269213226</v>
      </c>
      <c r="AF415" s="123">
        <v>251.98935720098422</v>
      </c>
      <c r="AG415" s="127">
        <v>236.69655630416543</v>
      </c>
      <c r="AH415" s="128">
        <v>298.15705823213762</v>
      </c>
      <c r="AI415" s="127">
        <v>422.22788410937727</v>
      </c>
      <c r="AJ415" s="127">
        <v>519.63072391580477</v>
      </c>
      <c r="AK415" s="128">
        <v>649.46112326478135</v>
      </c>
      <c r="CM415">
        <f t="shared" si="1"/>
        <v>0</v>
      </c>
      <c r="CN415" t="e">
        <f t="shared" si="2"/>
        <v>#DIV/0!</v>
      </c>
      <c r="CO415">
        <f t="shared" si="3"/>
        <v>0</v>
      </c>
      <c r="CQ415">
        <f t="shared" si="4"/>
        <v>0</v>
      </c>
      <c r="CR415" t="e">
        <f t="shared" si="5"/>
        <v>#DIV/0!</v>
      </c>
      <c r="CS415">
        <f t="shared" si="6"/>
        <v>0</v>
      </c>
    </row>
    <row r="416" spans="1:97" x14ac:dyDescent="0.3">
      <c r="A416" s="24">
        <v>2025</v>
      </c>
      <c r="B416" s="123">
        <v>197.08585599999998</v>
      </c>
      <c r="C416" s="127">
        <v>219.86984160782274</v>
      </c>
      <c r="D416" s="128">
        <v>273.85767199999998</v>
      </c>
      <c r="E416" s="127">
        <v>150.3582090999877</v>
      </c>
      <c r="F416" s="127">
        <v>161.47813256858703</v>
      </c>
      <c r="G416" s="127">
        <v>251.047674262968</v>
      </c>
      <c r="H416" s="123">
        <v>248.92717695105665</v>
      </c>
      <c r="I416" s="127">
        <v>219.8483598592168</v>
      </c>
      <c r="J416" s="128">
        <v>332.42519182827937</v>
      </c>
      <c r="K416" s="127">
        <v>225.47383565397791</v>
      </c>
      <c r="L416" s="127">
        <v>231.04462542577346</v>
      </c>
      <c r="M416" s="128">
        <v>294.34896395223001</v>
      </c>
      <c r="N416" s="123">
        <v>163.37686670193185</v>
      </c>
      <c r="O416" s="127">
        <v>152.52039227522727</v>
      </c>
      <c r="P416" s="128">
        <v>213.28333421921272</v>
      </c>
      <c r="Q416" s="127">
        <v>499.93166161178658</v>
      </c>
      <c r="R416" s="127">
        <v>544.84040939060117</v>
      </c>
      <c r="S416" s="128">
        <v>652.64497858712036</v>
      </c>
      <c r="T416" s="127">
        <v>240.48946546192647</v>
      </c>
      <c r="U416" s="127">
        <v>295.57947636128944</v>
      </c>
      <c r="V416" s="128">
        <v>383.68328145753878</v>
      </c>
      <c r="W416" s="123">
        <v>175.45799168959763</v>
      </c>
      <c r="X416" s="127">
        <v>214.97897588468049</v>
      </c>
      <c r="Y416" s="128">
        <v>280.32010787427873</v>
      </c>
      <c r="Z416" s="127">
        <v>396.51009116786958</v>
      </c>
      <c r="AA416" s="127">
        <v>466.60404845205511</v>
      </c>
      <c r="AB416" s="128">
        <v>633.48355044466769</v>
      </c>
      <c r="AC416" s="127">
        <v>252.16371135813651</v>
      </c>
      <c r="AD416" s="127">
        <v>309.92799463125499</v>
      </c>
      <c r="AE416" s="128">
        <v>402.30868347004071</v>
      </c>
      <c r="AF416" s="123">
        <v>183.97536992695674</v>
      </c>
      <c r="AG416" s="127">
        <v>225.41484850044168</v>
      </c>
      <c r="AH416" s="128">
        <v>293.92788010118551</v>
      </c>
      <c r="AI416" s="127">
        <v>400.74466495704092</v>
      </c>
      <c r="AJ416" s="127">
        <v>471.5871984840673</v>
      </c>
      <c r="AK416" s="128">
        <v>640.24890875038739</v>
      </c>
      <c r="CM416">
        <f t="shared" si="1"/>
        <v>0</v>
      </c>
      <c r="CN416" t="e">
        <f t="shared" si="2"/>
        <v>#DIV/0!</v>
      </c>
      <c r="CO416">
        <f t="shared" si="3"/>
        <v>0</v>
      </c>
      <c r="CQ416">
        <f t="shared" si="4"/>
        <v>0</v>
      </c>
      <c r="CR416" t="e">
        <f t="shared" si="5"/>
        <v>#DIV/0!</v>
      </c>
      <c r="CS416">
        <f t="shared" si="6"/>
        <v>0</v>
      </c>
    </row>
    <row r="417" spans="1:97" x14ac:dyDescent="0.3">
      <c r="A417" s="24">
        <v>2026</v>
      </c>
      <c r="B417" s="123">
        <v>184.48152799999997</v>
      </c>
      <c r="C417" s="127">
        <v>209.95131287728921</v>
      </c>
      <c r="D417" s="128">
        <v>263.94608679999999</v>
      </c>
      <c r="E417" s="127">
        <v>142.18021065492812</v>
      </c>
      <c r="F417" s="127">
        <v>152.15892873002852</v>
      </c>
      <c r="G417" s="127">
        <v>245.18564735124397</v>
      </c>
      <c r="H417" s="123">
        <v>235.38800221477703</v>
      </c>
      <c r="I417" s="127">
        <v>206.40696104253459</v>
      </c>
      <c r="J417" s="128">
        <v>324.66297922721304</v>
      </c>
      <c r="K417" s="127">
        <v>210.88435217048522</v>
      </c>
      <c r="L417" s="127">
        <v>216.47424364216616</v>
      </c>
      <c r="M417" s="128">
        <v>288.13422247155569</v>
      </c>
      <c r="N417" s="123">
        <v>152.80542238592437</v>
      </c>
      <c r="O417" s="127">
        <v>143.50248880654274</v>
      </c>
      <c r="P417" s="128">
        <v>208.78017318711284</v>
      </c>
      <c r="Q417" s="127">
        <v>467.58314233102413</v>
      </c>
      <c r="R417" s="127">
        <v>522.80641330026265</v>
      </c>
      <c r="S417" s="128">
        <v>638.86534856526146</v>
      </c>
      <c r="T417" s="127">
        <v>230.19655691229616</v>
      </c>
      <c r="U417" s="127">
        <v>283.38017558212744</v>
      </c>
      <c r="V417" s="128">
        <v>367.66790427235009</v>
      </c>
      <c r="W417" s="123">
        <v>169.1362248568382</v>
      </c>
      <c r="X417" s="127">
        <v>203.20018906247884</v>
      </c>
      <c r="Y417" s="128">
        <v>269.83331247178768</v>
      </c>
      <c r="Z417" s="127">
        <v>382.22379779894777</v>
      </c>
      <c r="AA417" s="127">
        <v>443.95803824820632</v>
      </c>
      <c r="AB417" s="128">
        <v>609.78488524817681</v>
      </c>
      <c r="AC417" s="127">
        <v>241.37114705366977</v>
      </c>
      <c r="AD417" s="127">
        <v>297.13649478514333</v>
      </c>
      <c r="AE417" s="128">
        <v>385.51586079042539</v>
      </c>
      <c r="AF417" s="123">
        <v>177.34672120911188</v>
      </c>
      <c r="AG417" s="127">
        <v>213.064275910172</v>
      </c>
      <c r="AH417" s="128">
        <v>282.9320169607094</v>
      </c>
      <c r="AI417" s="127">
        <v>386.30579952301417</v>
      </c>
      <c r="AJ417" s="127">
        <v>448.69933768580847</v>
      </c>
      <c r="AK417" s="128">
        <v>616.29715101296313</v>
      </c>
      <c r="CM417">
        <f t="shared" si="1"/>
        <v>0</v>
      </c>
      <c r="CN417" t="e">
        <f t="shared" si="2"/>
        <v>#DIV/0!</v>
      </c>
      <c r="CO417">
        <f t="shared" si="3"/>
        <v>0</v>
      </c>
      <c r="CQ417">
        <f t="shared" si="4"/>
        <v>0</v>
      </c>
      <c r="CR417" t="e">
        <f t="shared" si="5"/>
        <v>#DIV/0!</v>
      </c>
      <c r="CS417">
        <f t="shared" si="6"/>
        <v>0</v>
      </c>
    </row>
    <row r="418" spans="1:97" x14ac:dyDescent="0.3">
      <c r="A418" s="24">
        <v>2027</v>
      </c>
      <c r="B418" s="123">
        <v>170.73135199999999</v>
      </c>
      <c r="C418" s="127">
        <v>200.03278414675566</v>
      </c>
      <c r="D418" s="128">
        <v>254.0345016</v>
      </c>
      <c r="E418" s="127">
        <v>134.00221220986847</v>
      </c>
      <c r="F418" s="127">
        <v>143.97719818118225</v>
      </c>
      <c r="G418" s="127">
        <v>239.32362043951977</v>
      </c>
      <c r="H418" s="123">
        <v>221.84882747849724</v>
      </c>
      <c r="I418" s="127">
        <v>194.62001787200487</v>
      </c>
      <c r="J418" s="128">
        <v>316.90076662614666</v>
      </c>
      <c r="K418" s="127">
        <v>196.29486868699254</v>
      </c>
      <c r="L418" s="127">
        <v>203.98534497050272</v>
      </c>
      <c r="M418" s="128">
        <v>281.91948099088137</v>
      </c>
      <c r="N418" s="123">
        <v>142.2339780699171</v>
      </c>
      <c r="O418" s="127">
        <v>135.58924390373119</v>
      </c>
      <c r="P418" s="128">
        <v>204.27701215501287</v>
      </c>
      <c r="Q418" s="127">
        <v>435.2346230502614</v>
      </c>
      <c r="R418" s="127">
        <v>503.25127940108899</v>
      </c>
      <c r="S418" s="128">
        <v>625.08571854340266</v>
      </c>
      <c r="T418" s="127">
        <v>219.91722889265355</v>
      </c>
      <c r="U418" s="127">
        <v>271.15741681083807</v>
      </c>
      <c r="V418" s="128">
        <v>351.67308013114416</v>
      </c>
      <c r="W418" s="123">
        <v>162.81445802407868</v>
      </c>
      <c r="X418" s="127">
        <v>192.45522370759761</v>
      </c>
      <c r="Y418" s="128">
        <v>259.34651706929679</v>
      </c>
      <c r="Z418" s="127">
        <v>367.93750443002568</v>
      </c>
      <c r="AA418" s="127">
        <v>423.95793221325317</v>
      </c>
      <c r="AB418" s="128">
        <v>586.08622005168536</v>
      </c>
      <c r="AC418" s="127">
        <v>230.59282252821924</v>
      </c>
      <c r="AD418" s="127">
        <v>284.32039820942248</v>
      </c>
      <c r="AE418" s="128">
        <v>368.74458887537446</v>
      </c>
      <c r="AF418" s="123">
        <v>170.71807249126698</v>
      </c>
      <c r="AG418" s="127">
        <v>201.79771029534507</v>
      </c>
      <c r="AH418" s="128">
        <v>271.93615382023359</v>
      </c>
      <c r="AI418" s="127">
        <v>371.86693408898708</v>
      </c>
      <c r="AJ418" s="127">
        <v>428.48563828543354</v>
      </c>
      <c r="AK418" s="128">
        <v>592.3453932755383</v>
      </c>
      <c r="CM418">
        <f t="shared" si="1"/>
        <v>0</v>
      </c>
      <c r="CN418" t="e">
        <f t="shared" si="2"/>
        <v>#DIV/0!</v>
      </c>
      <c r="CO418">
        <f t="shared" si="3"/>
        <v>0</v>
      </c>
      <c r="CQ418">
        <f t="shared" si="4"/>
        <v>0</v>
      </c>
      <c r="CR418" t="e">
        <f t="shared" si="5"/>
        <v>#DIV/0!</v>
      </c>
      <c r="CS418">
        <f t="shared" si="6"/>
        <v>0</v>
      </c>
    </row>
    <row r="419" spans="1:97" x14ac:dyDescent="0.3">
      <c r="A419" s="24">
        <v>2028</v>
      </c>
      <c r="B419" s="123">
        <v>158.12702399999998</v>
      </c>
      <c r="C419" s="127">
        <v>190.11425541622219</v>
      </c>
      <c r="D419" s="128">
        <v>244.12291640000001</v>
      </c>
      <c r="E419" s="127">
        <v>125.8242137648089</v>
      </c>
      <c r="F419" s="127">
        <v>137.18372795479962</v>
      </c>
      <c r="G419" s="127">
        <v>233.46159352779563</v>
      </c>
      <c r="H419" s="123">
        <v>208.30965274221754</v>
      </c>
      <c r="I419" s="127">
        <v>184.86458206098388</v>
      </c>
      <c r="J419" s="128">
        <v>309.13855402508011</v>
      </c>
      <c r="K419" s="127">
        <v>181.70538520349987</v>
      </c>
      <c r="L419" s="127">
        <v>191.49644629883929</v>
      </c>
      <c r="M419" s="128">
        <v>275.70473951020699</v>
      </c>
      <c r="N419" s="123">
        <v>131.66253375390977</v>
      </c>
      <c r="O419" s="127">
        <v>129.02772482105809</v>
      </c>
      <c r="P419" s="128">
        <v>199.77385112291287</v>
      </c>
      <c r="Q419" s="127">
        <v>402.88610376949867</v>
      </c>
      <c r="R419" s="127">
        <v>486.46187656691473</v>
      </c>
      <c r="S419" s="128">
        <v>611.30608852154376</v>
      </c>
      <c r="T419" s="127">
        <v>209.6143544933293</v>
      </c>
      <c r="U419" s="127">
        <v>258.90836434553597</v>
      </c>
      <c r="V419" s="128">
        <v>335.70097931530512</v>
      </c>
      <c r="W419" s="123">
        <v>156.49269119131927</v>
      </c>
      <c r="X419" s="127">
        <v>182.57381892608049</v>
      </c>
      <c r="Y419" s="128">
        <v>248.85972166680577</v>
      </c>
      <c r="Z419" s="127">
        <v>353.65121106110371</v>
      </c>
      <c r="AA419" s="127">
        <v>407.00584512343204</v>
      </c>
      <c r="AB419" s="128">
        <v>562.38755485519414</v>
      </c>
      <c r="AC419" s="127">
        <v>219.78980859494726</v>
      </c>
      <c r="AD419" s="127">
        <v>271.47673154677557</v>
      </c>
      <c r="AE419" s="128">
        <v>351.99714335973744</v>
      </c>
      <c r="AF419" s="123">
        <v>164.08942377342214</v>
      </c>
      <c r="AG419" s="127">
        <v>191.43662567006498</v>
      </c>
      <c r="AH419" s="128">
        <v>260.94029067975754</v>
      </c>
      <c r="AI419" s="127">
        <v>357.4280686549601</v>
      </c>
      <c r="AJ419" s="127">
        <v>411.35250948882788</v>
      </c>
      <c r="AK419" s="128">
        <v>568.39363553811359</v>
      </c>
      <c r="CM419">
        <f t="shared" si="1"/>
        <v>0</v>
      </c>
      <c r="CN419" t="e">
        <f t="shared" si="2"/>
        <v>#DIV/0!</v>
      </c>
      <c r="CO419">
        <f t="shared" si="3"/>
        <v>0</v>
      </c>
      <c r="CQ419">
        <f t="shared" si="4"/>
        <v>0</v>
      </c>
      <c r="CR419" t="e">
        <f t="shared" si="5"/>
        <v>#DIV/0!</v>
      </c>
      <c r="CS419">
        <f t="shared" si="6"/>
        <v>0</v>
      </c>
    </row>
    <row r="420" spans="1:97" x14ac:dyDescent="0.3">
      <c r="A420" s="24">
        <v>2029</v>
      </c>
      <c r="B420" s="123">
        <v>145.522696</v>
      </c>
      <c r="C420" s="127">
        <v>180.19572668568864</v>
      </c>
      <c r="D420" s="128">
        <v>234.21133119999999</v>
      </c>
      <c r="E420" s="127">
        <v>117.64621531974929</v>
      </c>
      <c r="F420" s="127">
        <v>130.9311256281469</v>
      </c>
      <c r="G420" s="127">
        <v>227.59956661607157</v>
      </c>
      <c r="H420" s="123">
        <v>194.7704780059378</v>
      </c>
      <c r="I420" s="127">
        <v>175.92057627432723</v>
      </c>
      <c r="J420" s="128">
        <v>301.37634142401373</v>
      </c>
      <c r="K420" s="127">
        <v>167.1159017200072</v>
      </c>
      <c r="L420" s="127">
        <v>179.00754762717588</v>
      </c>
      <c r="M420" s="128">
        <v>269.48999802953273</v>
      </c>
      <c r="N420" s="123">
        <v>121.09108943790241</v>
      </c>
      <c r="O420" s="127">
        <v>122.99855021276929</v>
      </c>
      <c r="P420" s="128">
        <v>195.27069009081308</v>
      </c>
      <c r="Q420" s="127">
        <v>370.53758448873617</v>
      </c>
      <c r="R420" s="127">
        <v>470.39736008582486</v>
      </c>
      <c r="S420" s="128">
        <v>597.52645849968485</v>
      </c>
      <c r="T420" s="127">
        <v>199.30463281372874</v>
      </c>
      <c r="U420" s="127">
        <v>246.62970623851751</v>
      </c>
      <c r="V420" s="128">
        <v>319.75408881237234</v>
      </c>
      <c r="W420" s="123">
        <v>150.17092435855974</v>
      </c>
      <c r="X420" s="127">
        <v>173.64522390495367</v>
      </c>
      <c r="Y420" s="128">
        <v>238.37292626431469</v>
      </c>
      <c r="Z420" s="127">
        <v>339.3649176921819</v>
      </c>
      <c r="AA420" s="127">
        <v>391.01936776463242</v>
      </c>
      <c r="AB420" s="128">
        <v>538.68888965870303</v>
      </c>
      <c r="AC420" s="127">
        <v>208.97961498915245</v>
      </c>
      <c r="AD420" s="127">
        <v>258.60202207533877</v>
      </c>
      <c r="AE420" s="128">
        <v>335.27613195860403</v>
      </c>
      <c r="AF420" s="123">
        <v>157.46077505557722</v>
      </c>
      <c r="AG420" s="127">
        <v>182.07460370616502</v>
      </c>
      <c r="AH420" s="128">
        <v>249.94442753928143</v>
      </c>
      <c r="AI420" s="127">
        <v>342.98920322093329</v>
      </c>
      <c r="AJ420" s="127">
        <v>395.19530276017701</v>
      </c>
      <c r="AK420" s="128">
        <v>544.4418778006891</v>
      </c>
      <c r="CM420">
        <f t="shared" si="1"/>
        <v>0</v>
      </c>
      <c r="CN420" t="e">
        <f t="shared" si="2"/>
        <v>#DIV/0!</v>
      </c>
      <c r="CO420">
        <f t="shared" si="3"/>
        <v>0</v>
      </c>
      <c r="CQ420">
        <f t="shared" si="4"/>
        <v>0</v>
      </c>
      <c r="CR420" t="e">
        <f t="shared" si="5"/>
        <v>#DIV/0!</v>
      </c>
      <c r="CS420">
        <f t="shared" si="6"/>
        <v>0</v>
      </c>
    </row>
    <row r="421" spans="1:97" x14ac:dyDescent="0.3">
      <c r="A421" s="24">
        <v>2030</v>
      </c>
      <c r="B421" s="123">
        <v>132.91836799999999</v>
      </c>
      <c r="C421" s="127">
        <v>170.27719795515512</v>
      </c>
      <c r="D421" s="128">
        <v>224.299746</v>
      </c>
      <c r="E421" s="127">
        <v>109.46821687468966</v>
      </c>
      <c r="F421" s="127">
        <v>125.2896700092071</v>
      </c>
      <c r="G421" s="127">
        <v>221.7375397043474</v>
      </c>
      <c r="H421" s="123">
        <v>181.23130326965804</v>
      </c>
      <c r="I421" s="127">
        <v>167.85538449435921</v>
      </c>
      <c r="J421" s="128">
        <v>293.61412882294729</v>
      </c>
      <c r="K421" s="127">
        <v>152.52641823651447</v>
      </c>
      <c r="L421" s="127">
        <v>168.60013206745634</v>
      </c>
      <c r="M421" s="128">
        <v>263.27525654885841</v>
      </c>
      <c r="N421" s="123">
        <v>110.51964512189505</v>
      </c>
      <c r="O421" s="127">
        <v>117.56000100050075</v>
      </c>
      <c r="P421" s="128">
        <v>190.76752905871314</v>
      </c>
      <c r="Q421" s="127">
        <v>338.18906520797333</v>
      </c>
      <c r="R421" s="127">
        <v>455.85646125309233</v>
      </c>
      <c r="S421" s="128">
        <v>583.74682847782617</v>
      </c>
      <c r="T421" s="127">
        <v>189.316033627823</v>
      </c>
      <c r="U421" s="127">
        <v>234.31754993478921</v>
      </c>
      <c r="V421" s="128">
        <v>303.83527227405114</v>
      </c>
      <c r="W421" s="123">
        <v>143.84915752580039</v>
      </c>
      <c r="X421" s="127">
        <v>165.44050009655038</v>
      </c>
      <c r="Y421" s="128">
        <v>227.88613086182377</v>
      </c>
      <c r="Z421" s="127">
        <v>325.07862432325976</v>
      </c>
      <c r="AA421" s="127">
        <v>376.58072107567494</v>
      </c>
      <c r="AB421" s="128">
        <v>514.99022446221181</v>
      </c>
      <c r="AC421" s="127">
        <v>198.50613234762025</v>
      </c>
      <c r="AD421" s="127">
        <v>245.69218828113821</v>
      </c>
      <c r="AE421" s="128">
        <v>318.58455733589824</v>
      </c>
      <c r="AF421" s="123">
        <v>150.83212633773246</v>
      </c>
      <c r="AG421" s="127">
        <v>173.47159233424702</v>
      </c>
      <c r="AH421" s="128">
        <v>238.9485643988055</v>
      </c>
      <c r="AI421" s="127">
        <v>328.5503377869062</v>
      </c>
      <c r="AJ421" s="127">
        <v>380.60245693182287</v>
      </c>
      <c r="AK421" s="128">
        <v>520.4901200632645</v>
      </c>
      <c r="CM421">
        <f t="shared" si="1"/>
        <v>0</v>
      </c>
      <c r="CN421" t="e">
        <f t="shared" si="2"/>
        <v>#DIV/0!</v>
      </c>
      <c r="CO421">
        <f t="shared" si="3"/>
        <v>0</v>
      </c>
      <c r="CQ421">
        <f t="shared" si="4"/>
        <v>0</v>
      </c>
      <c r="CR421" t="e">
        <f t="shared" si="5"/>
        <v>#DIV/0!</v>
      </c>
      <c r="CS421">
        <f t="shared" si="6"/>
        <v>0</v>
      </c>
    </row>
    <row r="422" spans="1:97" x14ac:dyDescent="0.3">
      <c r="A422" s="24">
        <v>2031</v>
      </c>
      <c r="B422" s="123">
        <v>130.62667199999999</v>
      </c>
      <c r="C422" s="127">
        <v>167.65891030823252</v>
      </c>
      <c r="D422" s="128">
        <v>224.299746</v>
      </c>
      <c r="E422" s="127">
        <v>107.32644741409793</v>
      </c>
      <c r="F422" s="127">
        <v>123.72354913409197</v>
      </c>
      <c r="G422" s="127">
        <v>218.96582045804305</v>
      </c>
      <c r="H422" s="123">
        <v>177.68547342307775</v>
      </c>
      <c r="I422" s="127">
        <v>165.75719218817974</v>
      </c>
      <c r="J422" s="128">
        <v>289.94395221266052</v>
      </c>
      <c r="K422" s="127">
        <v>150.61983800855802</v>
      </c>
      <c r="L422" s="127">
        <v>166.54466749441227</v>
      </c>
      <c r="M422" s="128">
        <v>263.27525654885841</v>
      </c>
      <c r="N422" s="123">
        <v>109.13814955787134</v>
      </c>
      <c r="O422" s="127">
        <v>116.09997942823583</v>
      </c>
      <c r="P422" s="128">
        <v>190.76752905871314</v>
      </c>
      <c r="Q422" s="127">
        <v>333.96170189287375</v>
      </c>
      <c r="R422" s="127">
        <v>450.28144541128847</v>
      </c>
      <c r="S422" s="128">
        <v>572.36376532250858</v>
      </c>
      <c r="T422" s="127">
        <v>186.03616954402372</v>
      </c>
      <c r="U422" s="127">
        <v>230.05038415358192</v>
      </c>
      <c r="V422" s="128">
        <v>301.75497823068179</v>
      </c>
      <c r="W422" s="123">
        <v>141.14406115225688</v>
      </c>
      <c r="X422" s="127">
        <v>163.37249384534354</v>
      </c>
      <c r="Y422" s="128">
        <v>227.23537928688276</v>
      </c>
      <c r="Z422" s="127">
        <v>318.96549149093397</v>
      </c>
      <c r="AA422" s="127">
        <v>371.87346206222912</v>
      </c>
      <c r="AB422" s="128">
        <v>513.51961851361546</v>
      </c>
      <c r="AC422" s="127">
        <v>195.06705156072391</v>
      </c>
      <c r="AD422" s="127">
        <v>241.2178785299694</v>
      </c>
      <c r="AE422" s="128">
        <v>316.40327814479258</v>
      </c>
      <c r="AF422" s="123">
        <v>147.99571460624992</v>
      </c>
      <c r="AG422" s="127">
        <v>171.30319743006896</v>
      </c>
      <c r="AH422" s="128">
        <v>238.26622294158582</v>
      </c>
      <c r="AI422" s="127">
        <v>322.37191906996333</v>
      </c>
      <c r="AJ422" s="127">
        <v>375.84492622017524</v>
      </c>
      <c r="AK422" s="128">
        <v>519.00380861424628</v>
      </c>
      <c r="CM422">
        <f t="shared" si="1"/>
        <v>0</v>
      </c>
      <c r="CN422" t="e">
        <f t="shared" si="2"/>
        <v>#DIV/0!</v>
      </c>
      <c r="CO422">
        <f t="shared" si="3"/>
        <v>0</v>
      </c>
      <c r="CQ422">
        <f t="shared" si="4"/>
        <v>0</v>
      </c>
      <c r="CR422" t="e">
        <f t="shared" si="5"/>
        <v>#DIV/0!</v>
      </c>
      <c r="CS422">
        <f t="shared" si="6"/>
        <v>0</v>
      </c>
    </row>
    <row r="423" spans="1:97" x14ac:dyDescent="0.3">
      <c r="A423" s="24">
        <v>2032</v>
      </c>
      <c r="B423" s="123">
        <v>128.33497599999998</v>
      </c>
      <c r="C423" s="127">
        <v>165.04062266130998</v>
      </c>
      <c r="D423" s="128">
        <v>224.299746</v>
      </c>
      <c r="E423" s="127">
        <v>105.18467795350617</v>
      </c>
      <c r="F423" s="127">
        <v>122.15742825897696</v>
      </c>
      <c r="G423" s="127">
        <v>216.19410121173871</v>
      </c>
      <c r="H423" s="123">
        <v>174.13964357649746</v>
      </c>
      <c r="I423" s="127">
        <v>163.65899988200044</v>
      </c>
      <c r="J423" s="128">
        <v>286.27377560237369</v>
      </c>
      <c r="K423" s="127">
        <v>148.71325778060159</v>
      </c>
      <c r="L423" s="127">
        <v>164.43716584356852</v>
      </c>
      <c r="M423" s="128">
        <v>263.27525654885841</v>
      </c>
      <c r="N423" s="123">
        <v>107.75665399384765</v>
      </c>
      <c r="O423" s="127">
        <v>114.63048339096959</v>
      </c>
      <c r="P423" s="128">
        <v>190.76752905871314</v>
      </c>
      <c r="Q423" s="127">
        <v>329.73433857777388</v>
      </c>
      <c r="R423" s="127">
        <v>444.58330645648959</v>
      </c>
      <c r="S423" s="128">
        <v>560.98070216719123</v>
      </c>
      <c r="T423" s="127">
        <v>182.75629844332846</v>
      </c>
      <c r="U423" s="127">
        <v>225.78719951333244</v>
      </c>
      <c r="V423" s="128">
        <v>299.67468418731255</v>
      </c>
      <c r="W423" s="123">
        <v>138.43896477871328</v>
      </c>
      <c r="X423" s="127">
        <v>161.30448759413662</v>
      </c>
      <c r="Y423" s="128">
        <v>226.58462771194172</v>
      </c>
      <c r="Z423" s="127">
        <v>312.85235865860813</v>
      </c>
      <c r="AA423" s="127">
        <v>367.16620304878307</v>
      </c>
      <c r="AB423" s="128">
        <v>512.0490125650191</v>
      </c>
      <c r="AC423" s="127">
        <v>191.62796341630556</v>
      </c>
      <c r="AD423" s="127">
        <v>236.74774317902819</v>
      </c>
      <c r="AE423" s="128">
        <v>314.22199895368698</v>
      </c>
      <c r="AF423" s="123">
        <v>145.15930287476735</v>
      </c>
      <c r="AG423" s="127">
        <v>169.13480252589085</v>
      </c>
      <c r="AH423" s="128">
        <v>237.58388148436609</v>
      </c>
      <c r="AI423" s="127">
        <v>316.1935003530204</v>
      </c>
      <c r="AJ423" s="127">
        <v>371.08739550852732</v>
      </c>
      <c r="AK423" s="128">
        <v>517.51749716522795</v>
      </c>
      <c r="CM423">
        <f t="shared" si="1"/>
        <v>0</v>
      </c>
      <c r="CN423" t="e">
        <f t="shared" si="2"/>
        <v>#DIV/0!</v>
      </c>
      <c r="CO423">
        <f t="shared" si="3"/>
        <v>0</v>
      </c>
      <c r="CQ423">
        <f t="shared" si="4"/>
        <v>0</v>
      </c>
      <c r="CR423" t="e">
        <f t="shared" si="5"/>
        <v>#DIV/0!</v>
      </c>
      <c r="CS423">
        <f t="shared" si="6"/>
        <v>0</v>
      </c>
    </row>
    <row r="424" spans="1:97" x14ac:dyDescent="0.3">
      <c r="A424" s="24">
        <v>2033</v>
      </c>
      <c r="B424" s="123">
        <v>124.89743199999998</v>
      </c>
      <c r="C424" s="127">
        <v>162.42233501438733</v>
      </c>
      <c r="D424" s="128">
        <v>224.299746</v>
      </c>
      <c r="E424" s="127">
        <v>103.04290849291435</v>
      </c>
      <c r="F424" s="127">
        <v>120.59130738386176</v>
      </c>
      <c r="G424" s="127">
        <v>213.42238196543443</v>
      </c>
      <c r="H424" s="123">
        <v>170.59381372991717</v>
      </c>
      <c r="I424" s="127">
        <v>161.56080757582095</v>
      </c>
      <c r="J424" s="128">
        <v>282.60359899208686</v>
      </c>
      <c r="K424" s="127">
        <v>146.80667755264514</v>
      </c>
      <c r="L424" s="127">
        <v>162.32966419272569</v>
      </c>
      <c r="M424" s="128">
        <v>263.27525654885841</v>
      </c>
      <c r="N424" s="123">
        <v>106.37515842982395</v>
      </c>
      <c r="O424" s="127">
        <v>113.16098735370316</v>
      </c>
      <c r="P424" s="128">
        <v>190.76752905871314</v>
      </c>
      <c r="Q424" s="127">
        <v>325.50697526267442</v>
      </c>
      <c r="R424" s="127">
        <v>438.8851675016906</v>
      </c>
      <c r="S424" s="128">
        <v>549.59763901187341</v>
      </c>
      <c r="T424" s="127">
        <v>179.16455032920305</v>
      </c>
      <c r="U424" s="127">
        <v>221.52815111474095</v>
      </c>
      <c r="V424" s="128">
        <v>297.59439014394331</v>
      </c>
      <c r="W424" s="123">
        <v>135.73386840516974</v>
      </c>
      <c r="X424" s="127">
        <v>159.23648134292972</v>
      </c>
      <c r="Y424" s="128">
        <v>225.93387613700062</v>
      </c>
      <c r="Z424" s="127">
        <v>306.73922582628239</v>
      </c>
      <c r="AA424" s="127">
        <v>362.45894403533725</v>
      </c>
      <c r="AB424" s="128">
        <v>510.5784066164228</v>
      </c>
      <c r="AC424" s="127">
        <v>187.86185859761096</v>
      </c>
      <c r="AD424" s="127">
        <v>232.281944858175</v>
      </c>
      <c r="AE424" s="128">
        <v>312.04071976258132</v>
      </c>
      <c r="AF424" s="123">
        <v>142.32289114328478</v>
      </c>
      <c r="AG424" s="127">
        <v>166.96640762171273</v>
      </c>
      <c r="AH424" s="128">
        <v>236.9015400271463</v>
      </c>
      <c r="AI424" s="127">
        <v>310.01508163607758</v>
      </c>
      <c r="AJ424" s="127">
        <v>366.32986479687963</v>
      </c>
      <c r="AK424" s="128">
        <v>516.03118571620973</v>
      </c>
      <c r="CM424">
        <f t="shared" si="1"/>
        <v>0</v>
      </c>
      <c r="CN424" t="e">
        <f t="shared" si="2"/>
        <v>#DIV/0!</v>
      </c>
      <c r="CO424">
        <f t="shared" si="3"/>
        <v>0</v>
      </c>
      <c r="CQ424">
        <f t="shared" si="4"/>
        <v>0</v>
      </c>
      <c r="CR424" t="e">
        <f t="shared" si="5"/>
        <v>#DIV/0!</v>
      </c>
      <c r="CS424">
        <f t="shared" si="6"/>
        <v>0</v>
      </c>
    </row>
    <row r="425" spans="1:97" x14ac:dyDescent="0.3">
      <c r="A425" s="24">
        <v>2034</v>
      </c>
      <c r="B425" s="123">
        <v>122.60573600000001</v>
      </c>
      <c r="C425" s="127">
        <v>159.80404736746473</v>
      </c>
      <c r="D425" s="128">
        <v>224.299746</v>
      </c>
      <c r="E425" s="127">
        <v>100.90113903232259</v>
      </c>
      <c r="F425" s="127">
        <v>119.0251865087468</v>
      </c>
      <c r="G425" s="127">
        <v>210.65066271913005</v>
      </c>
      <c r="H425" s="123">
        <v>167.04798388333694</v>
      </c>
      <c r="I425" s="127">
        <v>159.46261526964128</v>
      </c>
      <c r="J425" s="128">
        <v>278.93342238179997</v>
      </c>
      <c r="K425" s="127">
        <v>144.90009732468872</v>
      </c>
      <c r="L425" s="127">
        <v>160.22216254188288</v>
      </c>
      <c r="M425" s="128">
        <v>263.27525654885841</v>
      </c>
      <c r="N425" s="123">
        <v>104.99366286580025</v>
      </c>
      <c r="O425" s="127">
        <v>111.69149131643704</v>
      </c>
      <c r="P425" s="128">
        <v>190.76752905871314</v>
      </c>
      <c r="Q425" s="127">
        <v>321.27961194757455</v>
      </c>
      <c r="R425" s="127">
        <v>433.18702854689229</v>
      </c>
      <c r="S425" s="128">
        <v>538.21457585655571</v>
      </c>
      <c r="T425" s="127">
        <v>175.88496821852439</v>
      </c>
      <c r="U425" s="127">
        <v>217.27340222123985</v>
      </c>
      <c r="V425" s="128">
        <v>295.51409610057402</v>
      </c>
      <c r="W425" s="123">
        <v>133.02877203162618</v>
      </c>
      <c r="X425" s="127">
        <v>157.16847509172291</v>
      </c>
      <c r="Y425" s="128">
        <v>225.28312456205967</v>
      </c>
      <c r="Z425" s="127">
        <v>300.6260929939566</v>
      </c>
      <c r="AA425" s="127">
        <v>357.75168502189149</v>
      </c>
      <c r="AB425" s="128">
        <v>509.10780066782638</v>
      </c>
      <c r="AC425" s="127">
        <v>184.42307347185084</v>
      </c>
      <c r="AD425" s="127">
        <v>227.82065475625149</v>
      </c>
      <c r="AE425" s="128">
        <v>309.85944057147566</v>
      </c>
      <c r="AF425" s="123">
        <v>139.48647941180221</v>
      </c>
      <c r="AG425" s="127">
        <v>164.7980127175347</v>
      </c>
      <c r="AH425" s="128">
        <v>236.21919856992665</v>
      </c>
      <c r="AI425" s="127">
        <v>303.83666291913477</v>
      </c>
      <c r="AJ425" s="127">
        <v>361.57233408523206</v>
      </c>
      <c r="AK425" s="128">
        <v>514.5448742671914</v>
      </c>
      <c r="CM425">
        <f t="shared" si="1"/>
        <v>0</v>
      </c>
      <c r="CN425" t="e">
        <f t="shared" si="2"/>
        <v>#DIV/0!</v>
      </c>
      <c r="CO425">
        <f t="shared" si="3"/>
        <v>0</v>
      </c>
      <c r="CQ425">
        <f t="shared" si="4"/>
        <v>0</v>
      </c>
      <c r="CR425" t="e">
        <f t="shared" si="5"/>
        <v>#DIV/0!</v>
      </c>
      <c r="CS425">
        <f t="shared" si="6"/>
        <v>0</v>
      </c>
    </row>
    <row r="426" spans="1:97" x14ac:dyDescent="0.3">
      <c r="A426" s="24">
        <v>2035</v>
      </c>
      <c r="B426" s="123">
        <v>120.31403999999999</v>
      </c>
      <c r="C426" s="127">
        <v>157.18575972054214</v>
      </c>
      <c r="D426" s="128">
        <v>224.299746</v>
      </c>
      <c r="E426" s="127">
        <v>98.759369571730872</v>
      </c>
      <c r="F426" s="127">
        <v>117.45906563363165</v>
      </c>
      <c r="G426" s="127">
        <v>207.87894347282571</v>
      </c>
      <c r="H426" s="123">
        <v>163.50215403675668</v>
      </c>
      <c r="I426" s="127">
        <v>157.36442296346175</v>
      </c>
      <c r="J426" s="128">
        <v>275.26324577151314</v>
      </c>
      <c r="K426" s="127">
        <v>142.99351709673226</v>
      </c>
      <c r="L426" s="127">
        <v>158.11466089103908</v>
      </c>
      <c r="M426" s="128">
        <v>263.27525654885841</v>
      </c>
      <c r="N426" s="123">
        <v>103.61216730177655</v>
      </c>
      <c r="O426" s="127">
        <v>110.22199527917049</v>
      </c>
      <c r="P426" s="128">
        <v>190.76752905871314</v>
      </c>
      <c r="Q426" s="127">
        <v>317.05224863247503</v>
      </c>
      <c r="R426" s="127">
        <v>427.48888959209273</v>
      </c>
      <c r="S426" s="128">
        <v>526.8315127012379</v>
      </c>
      <c r="T426" s="127">
        <v>172.93868905288758</v>
      </c>
      <c r="U426" s="127">
        <v>213.02312480314319</v>
      </c>
      <c r="V426" s="128">
        <v>293.43380205720473</v>
      </c>
      <c r="W426" s="123">
        <v>130.32367565808269</v>
      </c>
      <c r="X426" s="127">
        <v>155.10046884051599</v>
      </c>
      <c r="Y426" s="128">
        <v>224.63237298711863</v>
      </c>
      <c r="Z426" s="127">
        <v>294.51296016163082</v>
      </c>
      <c r="AA426" s="127">
        <v>353.04442600844544</v>
      </c>
      <c r="AB426" s="128">
        <v>507.63719471922997</v>
      </c>
      <c r="AC426" s="127">
        <v>181.3337710457462</v>
      </c>
      <c r="AD426" s="127">
        <v>223.3640531916453</v>
      </c>
      <c r="AE426" s="128">
        <v>307.67816138037006</v>
      </c>
      <c r="AF426" s="123">
        <v>136.65006768031972</v>
      </c>
      <c r="AG426" s="127">
        <v>162.62961781335659</v>
      </c>
      <c r="AH426" s="128">
        <v>235.53685711270694</v>
      </c>
      <c r="AI426" s="127">
        <v>297.6582442021919</v>
      </c>
      <c r="AJ426" s="127">
        <v>356.81480337358414</v>
      </c>
      <c r="AK426" s="128">
        <v>513.05856281817319</v>
      </c>
      <c r="CM426">
        <f t="shared" si="1"/>
        <v>0</v>
      </c>
      <c r="CN426" t="e">
        <f t="shared" si="2"/>
        <v>#DIV/0!</v>
      </c>
      <c r="CO426">
        <f t="shared" si="3"/>
        <v>0</v>
      </c>
      <c r="CQ426">
        <f t="shared" si="4"/>
        <v>0</v>
      </c>
      <c r="CR426" t="e">
        <f t="shared" si="5"/>
        <v>#DIV/0!</v>
      </c>
      <c r="CS426">
        <f t="shared" si="6"/>
        <v>0</v>
      </c>
    </row>
    <row r="427" spans="1:97" x14ac:dyDescent="0.3">
      <c r="A427" s="24">
        <v>2036</v>
      </c>
      <c r="B427" s="123">
        <v>116.87649599999999</v>
      </c>
      <c r="C427" s="127">
        <v>154.56747207361954</v>
      </c>
      <c r="D427" s="128">
        <v>224.299746</v>
      </c>
      <c r="E427" s="127">
        <v>96.617600111139112</v>
      </c>
      <c r="F427" s="127">
        <v>115.89294475851655</v>
      </c>
      <c r="G427" s="127">
        <v>205.10722422652137</v>
      </c>
      <c r="H427" s="123">
        <v>159.95632419017636</v>
      </c>
      <c r="I427" s="127">
        <v>155.26623065728253</v>
      </c>
      <c r="J427" s="128">
        <v>271.59306916122637</v>
      </c>
      <c r="K427" s="127">
        <v>141.08693686877587</v>
      </c>
      <c r="L427" s="127">
        <v>156.0071592401963</v>
      </c>
      <c r="M427" s="128">
        <v>263.27525654885841</v>
      </c>
      <c r="N427" s="123">
        <v>102.23067173775287</v>
      </c>
      <c r="O427" s="127">
        <v>108.75249924190437</v>
      </c>
      <c r="P427" s="128">
        <v>190.76752905871314</v>
      </c>
      <c r="Q427" s="127">
        <v>312.82488531737516</v>
      </c>
      <c r="R427" s="127">
        <v>421.79075063729459</v>
      </c>
      <c r="S427" s="128">
        <v>515.44844954592043</v>
      </c>
      <c r="T427" s="127">
        <v>169.3453900351015</v>
      </c>
      <c r="U427" s="127">
        <v>208.77750012591633</v>
      </c>
      <c r="V427" s="128">
        <v>291.35350801383549</v>
      </c>
      <c r="W427" s="123">
        <v>127.61857928453914</v>
      </c>
      <c r="X427" s="127">
        <v>153.03246258930912</v>
      </c>
      <c r="Y427" s="128">
        <v>223.98162141217767</v>
      </c>
      <c r="Z427" s="127">
        <v>288.3998273293052</v>
      </c>
      <c r="AA427" s="127">
        <v>348.33716699499939</v>
      </c>
      <c r="AB427" s="128">
        <v>506.16658877063361</v>
      </c>
      <c r="AC427" s="127">
        <v>177.56604003680545</v>
      </c>
      <c r="AD427" s="127">
        <v>218.91233022911618</v>
      </c>
      <c r="AE427" s="128">
        <v>305.4968821892644</v>
      </c>
      <c r="AF427" s="123">
        <v>133.81365594883715</v>
      </c>
      <c r="AG427" s="127">
        <v>160.4612229091785</v>
      </c>
      <c r="AH427" s="128">
        <v>234.85451565548726</v>
      </c>
      <c r="AI427" s="127">
        <v>291.47982548524919</v>
      </c>
      <c r="AJ427" s="127">
        <v>352.05727266193628</v>
      </c>
      <c r="AK427" s="128">
        <v>511.57225136915491</v>
      </c>
      <c r="CM427">
        <f t="shared" si="1"/>
        <v>0</v>
      </c>
      <c r="CN427" t="e">
        <f t="shared" si="2"/>
        <v>#DIV/0!</v>
      </c>
      <c r="CO427">
        <f t="shared" si="3"/>
        <v>0</v>
      </c>
      <c r="CQ427">
        <f t="shared" si="4"/>
        <v>0</v>
      </c>
      <c r="CR427" t="e">
        <f t="shared" si="5"/>
        <v>#DIV/0!</v>
      </c>
      <c r="CS427">
        <f t="shared" si="6"/>
        <v>0</v>
      </c>
    </row>
    <row r="428" spans="1:97" x14ac:dyDescent="0.3">
      <c r="A428" s="24">
        <v>2037</v>
      </c>
      <c r="B428" s="123">
        <v>114.58479999999999</v>
      </c>
      <c r="C428" s="127">
        <v>151.94918442669695</v>
      </c>
      <c r="D428" s="128">
        <v>224.299746</v>
      </c>
      <c r="E428" s="127">
        <v>94.475830650547351</v>
      </c>
      <c r="F428" s="127">
        <v>114.32682388340149</v>
      </c>
      <c r="G428" s="127">
        <v>202.33550498021708</v>
      </c>
      <c r="H428" s="123">
        <v>156.41049434359613</v>
      </c>
      <c r="I428" s="127">
        <v>153.16803835110292</v>
      </c>
      <c r="J428" s="128">
        <v>267.92289255093954</v>
      </c>
      <c r="K428" s="127">
        <v>139.18035664081941</v>
      </c>
      <c r="L428" s="127">
        <v>153.89965758935253</v>
      </c>
      <c r="M428" s="128">
        <v>263.27525654885841</v>
      </c>
      <c r="N428" s="123">
        <v>100.84917617372918</v>
      </c>
      <c r="O428" s="127">
        <v>107.28300320463778</v>
      </c>
      <c r="P428" s="128">
        <v>190.76752905871314</v>
      </c>
      <c r="Q428" s="127">
        <v>308.59752200227547</v>
      </c>
      <c r="R428" s="127">
        <v>416.09261168249526</v>
      </c>
      <c r="S428" s="128">
        <v>504.06538639060278</v>
      </c>
      <c r="T428" s="127">
        <v>166.06621597739564</v>
      </c>
      <c r="U428" s="127">
        <v>204.53671938679204</v>
      </c>
      <c r="V428" s="128">
        <v>289.27321397046626</v>
      </c>
      <c r="W428" s="123">
        <v>124.91348291099561</v>
      </c>
      <c r="X428" s="127">
        <v>150.96445633810228</v>
      </c>
      <c r="Y428" s="128">
        <v>223.33086983723663</v>
      </c>
      <c r="Z428" s="127">
        <v>282.28669449697946</v>
      </c>
      <c r="AA428" s="127">
        <v>343.62990798155357</v>
      </c>
      <c r="AB428" s="128">
        <v>504.69598282203731</v>
      </c>
      <c r="AC428" s="127">
        <v>174.12768277241486</v>
      </c>
      <c r="AD428" s="127">
        <v>214.46568634731594</v>
      </c>
      <c r="AE428" s="128">
        <v>303.31560299815879</v>
      </c>
      <c r="AF428" s="123">
        <v>130.97724421735464</v>
      </c>
      <c r="AG428" s="127">
        <v>158.29282800500044</v>
      </c>
      <c r="AH428" s="128">
        <v>234.17217419826756</v>
      </c>
      <c r="AI428" s="127">
        <v>285.30140676830638</v>
      </c>
      <c r="AJ428" s="127">
        <v>347.29974195028859</v>
      </c>
      <c r="AK428" s="128">
        <v>510.0859399201367</v>
      </c>
      <c r="CM428">
        <f t="shared" si="1"/>
        <v>0</v>
      </c>
      <c r="CN428" t="e">
        <f t="shared" si="2"/>
        <v>#DIV/0!</v>
      </c>
      <c r="CO428">
        <f t="shared" si="3"/>
        <v>0</v>
      </c>
      <c r="CQ428">
        <f t="shared" si="4"/>
        <v>0</v>
      </c>
      <c r="CR428" t="e">
        <f t="shared" si="5"/>
        <v>#DIV/0!</v>
      </c>
      <c r="CS428">
        <f t="shared" si="6"/>
        <v>0</v>
      </c>
    </row>
    <row r="429" spans="1:97" x14ac:dyDescent="0.3">
      <c r="A429" s="24">
        <v>2038</v>
      </c>
      <c r="B429" s="123">
        <v>112.293104</v>
      </c>
      <c r="C429" s="127">
        <v>149.33089677977438</v>
      </c>
      <c r="D429" s="128">
        <v>224.299746</v>
      </c>
      <c r="E429" s="127">
        <v>92.334061189955577</v>
      </c>
      <c r="F429" s="127">
        <v>112.76070300828634</v>
      </c>
      <c r="G429" s="127">
        <v>199.56378573391271</v>
      </c>
      <c r="H429" s="123">
        <v>152.86466449701584</v>
      </c>
      <c r="I429" s="127">
        <v>151.06984604492328</v>
      </c>
      <c r="J429" s="128">
        <v>264.25271594065271</v>
      </c>
      <c r="K429" s="127">
        <v>137.27377641286299</v>
      </c>
      <c r="L429" s="127">
        <v>151.79215593850967</v>
      </c>
      <c r="M429" s="128">
        <v>263.27525654885841</v>
      </c>
      <c r="N429" s="123">
        <v>99.467680609705525</v>
      </c>
      <c r="O429" s="127">
        <v>105.81350716737172</v>
      </c>
      <c r="P429" s="128">
        <v>190.76752905871314</v>
      </c>
      <c r="Q429" s="127">
        <v>304.370158687176</v>
      </c>
      <c r="R429" s="127">
        <v>410.39447272769684</v>
      </c>
      <c r="S429" s="128">
        <v>492.68232323528503</v>
      </c>
      <c r="T429" s="127">
        <v>162.78706241601506</v>
      </c>
      <c r="U429" s="127">
        <v>200.30098440443516</v>
      </c>
      <c r="V429" s="128">
        <v>287.19291992709697</v>
      </c>
      <c r="W429" s="123">
        <v>122.20838653745204</v>
      </c>
      <c r="X429" s="127">
        <v>148.89645008689544</v>
      </c>
      <c r="Y429" s="128">
        <v>222.68011826229568</v>
      </c>
      <c r="Z429" s="127">
        <v>276.17356166465356</v>
      </c>
      <c r="AA429" s="127">
        <v>338.92264896810752</v>
      </c>
      <c r="AB429" s="128">
        <v>503.22537687344072</v>
      </c>
      <c r="AC429" s="127">
        <v>170.68934699931677</v>
      </c>
      <c r="AD429" s="127">
        <v>210.02433316193202</v>
      </c>
      <c r="AE429" s="128">
        <v>301.13432380705314</v>
      </c>
      <c r="AF429" s="123">
        <v>128.14083248587204</v>
      </c>
      <c r="AG429" s="127">
        <v>156.12443310082242</v>
      </c>
      <c r="AH429" s="128">
        <v>233.48983274104791</v>
      </c>
      <c r="AI429" s="127">
        <v>279.12298805136339</v>
      </c>
      <c r="AJ429" s="127">
        <v>342.54221123864068</v>
      </c>
      <c r="AK429" s="128">
        <v>508.59962847111819</v>
      </c>
      <c r="CM429">
        <f t="shared" si="1"/>
        <v>0</v>
      </c>
      <c r="CN429" t="e">
        <f t="shared" si="2"/>
        <v>#DIV/0!</v>
      </c>
      <c r="CO429">
        <f t="shared" si="3"/>
        <v>0</v>
      </c>
      <c r="CQ429">
        <f t="shared" si="4"/>
        <v>0</v>
      </c>
      <c r="CR429" t="e">
        <f t="shared" si="5"/>
        <v>#DIV/0!</v>
      </c>
      <c r="CS429">
        <f t="shared" si="6"/>
        <v>0</v>
      </c>
    </row>
    <row r="430" spans="1:97" x14ac:dyDescent="0.3">
      <c r="A430" s="24">
        <v>2039</v>
      </c>
      <c r="B430" s="123">
        <v>110.001408</v>
      </c>
      <c r="C430" s="127">
        <v>146.71260913285178</v>
      </c>
      <c r="D430" s="128">
        <v>224.299746</v>
      </c>
      <c r="E430" s="127">
        <v>90.192291729363788</v>
      </c>
      <c r="F430" s="127">
        <v>111.19458213317125</v>
      </c>
      <c r="G430" s="127">
        <v>196.79206648760839</v>
      </c>
      <c r="H430" s="123">
        <v>149.31883465043555</v>
      </c>
      <c r="I430" s="127">
        <v>148.9716537387439</v>
      </c>
      <c r="J430" s="128">
        <v>260.58253933036582</v>
      </c>
      <c r="K430" s="127">
        <v>135.36719618490653</v>
      </c>
      <c r="L430" s="127">
        <v>149.68465428766686</v>
      </c>
      <c r="M430" s="128">
        <v>263.27525654885841</v>
      </c>
      <c r="N430" s="123">
        <v>98.086185045681802</v>
      </c>
      <c r="O430" s="127">
        <v>104.34401113010512</v>
      </c>
      <c r="P430" s="128">
        <v>190.76752905871314</v>
      </c>
      <c r="Q430" s="127">
        <v>300.14279537207619</v>
      </c>
      <c r="R430" s="127">
        <v>404.69633377289716</v>
      </c>
      <c r="S430" s="128">
        <v>481.29926007996755</v>
      </c>
      <c r="T430" s="127">
        <v>159.50793064819973</v>
      </c>
      <c r="U430" s="127">
        <v>196.07050836688569</v>
      </c>
      <c r="V430" s="128">
        <v>285.11262588372767</v>
      </c>
      <c r="W430" s="123">
        <v>119.50329016390853</v>
      </c>
      <c r="X430" s="127">
        <v>146.82844383568852</v>
      </c>
      <c r="Y430" s="128">
        <v>222.02936668735464</v>
      </c>
      <c r="Z430" s="127">
        <v>270.06042883232783</v>
      </c>
      <c r="AA430" s="127">
        <v>334.21538995466165</v>
      </c>
      <c r="AB430" s="128">
        <v>501.75477092484448</v>
      </c>
      <c r="AC430" s="127">
        <v>167.251034077724</v>
      </c>
      <c r="AD430" s="127">
        <v>205.5884942099384</v>
      </c>
      <c r="AE430" s="128">
        <v>298.95304461594748</v>
      </c>
      <c r="AF430" s="123">
        <v>125.30442075438954</v>
      </c>
      <c r="AG430" s="127">
        <v>153.95603819664427</v>
      </c>
      <c r="AH430" s="128">
        <v>232.80749128382817</v>
      </c>
      <c r="AI430" s="127">
        <v>272.94456933442063</v>
      </c>
      <c r="AJ430" s="127">
        <v>337.78468052699293</v>
      </c>
      <c r="AK430" s="128">
        <v>507.11331702210003</v>
      </c>
      <c r="CM430">
        <f t="shared" si="1"/>
        <v>0</v>
      </c>
      <c r="CN430" t="e">
        <f t="shared" si="2"/>
        <v>#DIV/0!</v>
      </c>
      <c r="CO430">
        <f t="shared" si="3"/>
        <v>0</v>
      </c>
      <c r="CQ430">
        <f t="shared" si="4"/>
        <v>0</v>
      </c>
      <c r="CR430" t="e">
        <f t="shared" si="5"/>
        <v>#DIV/0!</v>
      </c>
      <c r="CS430">
        <f t="shared" si="6"/>
        <v>0</v>
      </c>
    </row>
    <row r="431" spans="1:97" x14ac:dyDescent="0.3">
      <c r="A431" s="24">
        <v>2040</v>
      </c>
      <c r="B431" s="123">
        <v>106.56386399999998</v>
      </c>
      <c r="C431" s="127">
        <v>144.09432148592916</v>
      </c>
      <c r="D431" s="128">
        <v>224.299746</v>
      </c>
      <c r="E431" s="127">
        <v>88.05052226877207</v>
      </c>
      <c r="F431" s="127">
        <v>109.62846125805619</v>
      </c>
      <c r="G431" s="127">
        <v>194.02034724130402</v>
      </c>
      <c r="H431" s="123">
        <v>145.77300480385529</v>
      </c>
      <c r="I431" s="127">
        <v>146.87346143256457</v>
      </c>
      <c r="J431" s="128">
        <v>256.91236272007899</v>
      </c>
      <c r="K431" s="127">
        <v>133.46061595695011</v>
      </c>
      <c r="L431" s="127">
        <v>147.57715263682309</v>
      </c>
      <c r="M431" s="128">
        <v>263.27525654885841</v>
      </c>
      <c r="N431" s="123">
        <v>96.704689481658122</v>
      </c>
      <c r="O431" s="127">
        <v>102.87451509283905</v>
      </c>
      <c r="P431" s="128">
        <v>190.76752905871314</v>
      </c>
      <c r="Q431" s="127">
        <v>295.91543205697656</v>
      </c>
      <c r="R431" s="127">
        <v>398.9981948180988</v>
      </c>
      <c r="S431" s="128">
        <v>469.91619692464985</v>
      </c>
      <c r="T431" s="127">
        <v>155.91079214838311</v>
      </c>
      <c r="U431" s="127">
        <v>191.84551664360671</v>
      </c>
      <c r="V431" s="128">
        <v>283.03233184035844</v>
      </c>
      <c r="W431" s="123">
        <v>116.79819379036495</v>
      </c>
      <c r="X431" s="127">
        <v>144.76043758448165</v>
      </c>
      <c r="Y431" s="128">
        <v>221.37861511241363</v>
      </c>
      <c r="Z431" s="127">
        <v>263.9472960000021</v>
      </c>
      <c r="AA431" s="127">
        <v>329.50813094121571</v>
      </c>
      <c r="AB431" s="128">
        <v>500.28416497624818</v>
      </c>
      <c r="AC431" s="127">
        <v>163.47927720412986</v>
      </c>
      <c r="AD431" s="127">
        <v>201.15840580106337</v>
      </c>
      <c r="AE431" s="128">
        <v>296.77176542484187</v>
      </c>
      <c r="AF431" s="123">
        <v>122.46800902290694</v>
      </c>
      <c r="AG431" s="127">
        <v>151.78764329246619</v>
      </c>
      <c r="AH431" s="128">
        <v>232.12514982660846</v>
      </c>
      <c r="AI431" s="127">
        <v>266.76615061747782</v>
      </c>
      <c r="AJ431" s="127">
        <v>333.02714981534513</v>
      </c>
      <c r="AK431" s="128">
        <v>505.62700557308182</v>
      </c>
      <c r="CM431">
        <f t="shared" si="1"/>
        <v>0</v>
      </c>
      <c r="CN431" t="e">
        <f t="shared" si="2"/>
        <v>#DIV/0!</v>
      </c>
      <c r="CO431">
        <f t="shared" si="3"/>
        <v>0</v>
      </c>
      <c r="CQ431">
        <f t="shared" si="4"/>
        <v>0</v>
      </c>
      <c r="CR431" t="e">
        <f t="shared" si="5"/>
        <v>#DIV/0!</v>
      </c>
      <c r="CS431">
        <f t="shared" si="6"/>
        <v>0</v>
      </c>
    </row>
    <row r="432" spans="1:97" x14ac:dyDescent="0.3">
      <c r="A432" s="24">
        <v>2041</v>
      </c>
      <c r="B432" s="123">
        <v>104.27216800000001</v>
      </c>
      <c r="C432" s="127">
        <v>141.47603383900659</v>
      </c>
      <c r="D432" s="128">
        <v>224.299746</v>
      </c>
      <c r="E432" s="127">
        <v>85.908752808180282</v>
      </c>
      <c r="F432" s="127">
        <v>108.06234038294113</v>
      </c>
      <c r="G432" s="127">
        <v>191.24862799499974</v>
      </c>
      <c r="H432" s="123">
        <v>142.22717495727497</v>
      </c>
      <c r="I432" s="127">
        <v>144.7752691263849</v>
      </c>
      <c r="J432" s="128">
        <v>253.24218610979216</v>
      </c>
      <c r="K432" s="127">
        <v>131.55403572899368</v>
      </c>
      <c r="L432" s="127">
        <v>145.46965098598022</v>
      </c>
      <c r="M432" s="128">
        <v>263.27525654885841</v>
      </c>
      <c r="N432" s="123">
        <v>95.323193917634441</v>
      </c>
      <c r="O432" s="127">
        <v>101.40501905557241</v>
      </c>
      <c r="P432" s="128">
        <v>190.76752905871314</v>
      </c>
      <c r="Q432" s="127">
        <v>291.68806874187686</v>
      </c>
      <c r="R432" s="127">
        <v>393.30005586329918</v>
      </c>
      <c r="S432" s="128">
        <v>458.53313376933227</v>
      </c>
      <c r="T432" s="127">
        <v>152.63193617813656</v>
      </c>
      <c r="U432" s="127">
        <v>187.62624766814133</v>
      </c>
      <c r="V432" s="128">
        <v>280.95203779698915</v>
      </c>
      <c r="W432" s="123">
        <v>114.09309741682149</v>
      </c>
      <c r="X432" s="127">
        <v>142.69243133327478</v>
      </c>
      <c r="Y432" s="128">
        <v>220.72786353747259</v>
      </c>
      <c r="Z432" s="127">
        <v>257.83416316767631</v>
      </c>
      <c r="AA432" s="127">
        <v>324.80087192776978</v>
      </c>
      <c r="AB432" s="128">
        <v>498.81355902765182</v>
      </c>
      <c r="AC432" s="127">
        <v>160.04125346833737</v>
      </c>
      <c r="AD432" s="127">
        <v>196.73431794329383</v>
      </c>
      <c r="AE432" s="128">
        <v>294.59048623373621</v>
      </c>
      <c r="AF432" s="123">
        <v>119.63159729142448</v>
      </c>
      <c r="AG432" s="127">
        <v>149.61924838828813</v>
      </c>
      <c r="AH432" s="128">
        <v>231.44280836938876</v>
      </c>
      <c r="AI432" s="127">
        <v>260.58773190053495</v>
      </c>
      <c r="AJ432" s="127">
        <v>328.26961910369738</v>
      </c>
      <c r="AK432" s="128">
        <v>504.1406941240636</v>
      </c>
      <c r="CM432">
        <f t="shared" si="1"/>
        <v>0</v>
      </c>
      <c r="CN432" t="e">
        <f t="shared" si="2"/>
        <v>#DIV/0!</v>
      </c>
      <c r="CO432">
        <f t="shared" si="3"/>
        <v>0</v>
      </c>
      <c r="CQ432">
        <f t="shared" si="4"/>
        <v>0</v>
      </c>
      <c r="CR432" t="e">
        <f t="shared" si="5"/>
        <v>#DIV/0!</v>
      </c>
      <c r="CS432">
        <f t="shared" si="6"/>
        <v>0</v>
      </c>
    </row>
    <row r="433" spans="1:97" x14ac:dyDescent="0.3">
      <c r="A433" s="24">
        <v>2042</v>
      </c>
      <c r="B433" s="123">
        <v>101.98047199999999</v>
      </c>
      <c r="C433" s="127">
        <v>138.85774619208397</v>
      </c>
      <c r="D433" s="128">
        <v>224.299746</v>
      </c>
      <c r="E433" s="127">
        <v>83.76698334758855</v>
      </c>
      <c r="F433" s="127">
        <v>106.49621950782597</v>
      </c>
      <c r="G433" s="127">
        <v>188.47690874869537</v>
      </c>
      <c r="H433" s="123">
        <v>138.68134511069471</v>
      </c>
      <c r="I433" s="127">
        <v>142.6770768202054</v>
      </c>
      <c r="J433" s="128">
        <v>249.57200949950536</v>
      </c>
      <c r="K433" s="127">
        <v>129.64745550103723</v>
      </c>
      <c r="L433" s="127">
        <v>143.36214933513648</v>
      </c>
      <c r="M433" s="128">
        <v>263.27525654885841</v>
      </c>
      <c r="N433" s="123">
        <v>93.941698353610761</v>
      </c>
      <c r="O433" s="127">
        <v>99.935523018306313</v>
      </c>
      <c r="P433" s="128">
        <v>190.76752905871314</v>
      </c>
      <c r="Q433" s="127">
        <v>287.46070542677722</v>
      </c>
      <c r="R433" s="127">
        <v>387.60191690850098</v>
      </c>
      <c r="S433" s="128">
        <v>447.15007061401457</v>
      </c>
      <c r="T433" s="127">
        <v>149.6934156303071</v>
      </c>
      <c r="U433" s="127">
        <v>183.4129538986453</v>
      </c>
      <c r="V433" s="128">
        <v>278.87174375361991</v>
      </c>
      <c r="W433" s="123">
        <v>111.38800104327794</v>
      </c>
      <c r="X433" s="127">
        <v>140.62442508206792</v>
      </c>
      <c r="Y433" s="128">
        <v>220.07711196253163</v>
      </c>
      <c r="Z433" s="127">
        <v>251.72103033535049</v>
      </c>
      <c r="AA433" s="127">
        <v>320.09361291432378</v>
      </c>
      <c r="AB433" s="128">
        <v>497.34295307905523</v>
      </c>
      <c r="AC433" s="127">
        <v>156.96008629197249</v>
      </c>
      <c r="AD433" s="127">
        <v>192.31649535003584</v>
      </c>
      <c r="AE433" s="128">
        <v>292.40920704263056</v>
      </c>
      <c r="AF433" s="123">
        <v>116.79518555994193</v>
      </c>
      <c r="AG433" s="127">
        <v>147.45085348411004</v>
      </c>
      <c r="AH433" s="128">
        <v>230.76046691216908</v>
      </c>
      <c r="AI433" s="127">
        <v>254.40931318359208</v>
      </c>
      <c r="AJ433" s="127">
        <v>323.51208839204952</v>
      </c>
      <c r="AK433" s="128">
        <v>502.6543826750451</v>
      </c>
      <c r="CM433">
        <f t="shared" si="1"/>
        <v>0</v>
      </c>
      <c r="CN433" t="e">
        <f t="shared" si="2"/>
        <v>#DIV/0!</v>
      </c>
      <c r="CO433">
        <f t="shared" si="3"/>
        <v>0</v>
      </c>
      <c r="CQ433">
        <f t="shared" si="4"/>
        <v>0</v>
      </c>
      <c r="CR433" t="e">
        <f t="shared" si="5"/>
        <v>#DIV/0!</v>
      </c>
      <c r="CS433">
        <f t="shared" si="6"/>
        <v>0</v>
      </c>
    </row>
    <row r="434" spans="1:97" x14ac:dyDescent="0.3">
      <c r="A434" s="24">
        <v>2043</v>
      </c>
      <c r="B434" s="123">
        <v>99.688776000000004</v>
      </c>
      <c r="C434" s="127">
        <v>136.23945854516137</v>
      </c>
      <c r="D434" s="128">
        <v>224.299746</v>
      </c>
      <c r="E434" s="127">
        <v>81.625213886996789</v>
      </c>
      <c r="F434" s="127">
        <v>104.93009863271088</v>
      </c>
      <c r="G434" s="127">
        <v>185.70518950239105</v>
      </c>
      <c r="H434" s="123">
        <v>135.13551526411445</v>
      </c>
      <c r="I434" s="127">
        <v>140.57888451402596</v>
      </c>
      <c r="J434" s="128">
        <v>245.90183288921853</v>
      </c>
      <c r="K434" s="127">
        <v>127.74087527308079</v>
      </c>
      <c r="L434" s="127">
        <v>141.25464768429364</v>
      </c>
      <c r="M434" s="128">
        <v>263.27525654885841</v>
      </c>
      <c r="N434" s="123">
        <v>92.560202789587066</v>
      </c>
      <c r="O434" s="127">
        <v>98.466026981039747</v>
      </c>
      <c r="P434" s="128">
        <v>190.76752905871314</v>
      </c>
      <c r="Q434" s="127">
        <v>283.23334211167753</v>
      </c>
      <c r="R434" s="127">
        <v>381.90377795370154</v>
      </c>
      <c r="S434" s="128">
        <v>435.76700745869692</v>
      </c>
      <c r="T434" s="127">
        <v>146.41492386078465</v>
      </c>
      <c r="U434" s="127">
        <v>179.2059028644334</v>
      </c>
      <c r="V434" s="128">
        <v>276.79144971025062</v>
      </c>
      <c r="W434" s="123">
        <v>108.68290466973443</v>
      </c>
      <c r="X434" s="127">
        <v>138.55641883086102</v>
      </c>
      <c r="Y434" s="128">
        <v>219.42636038759053</v>
      </c>
      <c r="Z434" s="127">
        <v>245.60789750302482</v>
      </c>
      <c r="AA434" s="127">
        <v>315.38635390087796</v>
      </c>
      <c r="AB434" s="128">
        <v>495.87234713045888</v>
      </c>
      <c r="AC434" s="127">
        <v>153.5224444365509</v>
      </c>
      <c r="AD434" s="127">
        <v>187.90521853746415</v>
      </c>
      <c r="AE434" s="128">
        <v>290.22792785152495</v>
      </c>
      <c r="AF434" s="123">
        <v>113.9587738284594</v>
      </c>
      <c r="AG434" s="127">
        <v>145.28245857993196</v>
      </c>
      <c r="AH434" s="128">
        <v>230.07812545494932</v>
      </c>
      <c r="AI434" s="127">
        <v>248.23089446664932</v>
      </c>
      <c r="AJ434" s="127">
        <v>318.75455768040189</v>
      </c>
      <c r="AK434" s="128">
        <v>501.16807122602683</v>
      </c>
      <c r="CM434">
        <f t="shared" si="1"/>
        <v>0</v>
      </c>
      <c r="CN434" t="e">
        <f t="shared" si="2"/>
        <v>#DIV/0!</v>
      </c>
      <c r="CO434">
        <f t="shared" si="3"/>
        <v>0</v>
      </c>
      <c r="CQ434">
        <f t="shared" si="4"/>
        <v>0</v>
      </c>
      <c r="CR434" t="e">
        <f t="shared" si="5"/>
        <v>#DIV/0!</v>
      </c>
      <c r="CS434">
        <f t="shared" si="6"/>
        <v>0</v>
      </c>
    </row>
    <row r="435" spans="1:97" x14ac:dyDescent="0.3">
      <c r="A435" s="24">
        <v>2044</v>
      </c>
      <c r="B435" s="123">
        <v>96.251231999999987</v>
      </c>
      <c r="C435" s="127">
        <v>133.6211708982388</v>
      </c>
      <c r="D435" s="128">
        <v>224.299746</v>
      </c>
      <c r="E435" s="127">
        <v>79.483444426404986</v>
      </c>
      <c r="F435" s="127">
        <v>103.36397775759583</v>
      </c>
      <c r="G435" s="127">
        <v>182.93347025608668</v>
      </c>
      <c r="H435" s="123">
        <v>131.58968541753416</v>
      </c>
      <c r="I435" s="127">
        <v>138.4806922078464</v>
      </c>
      <c r="J435" s="128">
        <v>242.23165627893169</v>
      </c>
      <c r="K435" s="127">
        <v>125.83429504512436</v>
      </c>
      <c r="L435" s="127">
        <v>139.14714603345084</v>
      </c>
      <c r="M435" s="128">
        <v>263.27525654885841</v>
      </c>
      <c r="N435" s="123">
        <v>91.178707225563343</v>
      </c>
      <c r="O435" s="127">
        <v>96.996530943773635</v>
      </c>
      <c r="P435" s="128">
        <v>190.76752905871314</v>
      </c>
      <c r="Q435" s="127">
        <v>279.00597879657784</v>
      </c>
      <c r="R435" s="127">
        <v>376.20563899890271</v>
      </c>
      <c r="S435" s="128">
        <v>424.38394430337934</v>
      </c>
      <c r="T435" s="127">
        <v>142.81584633395073</v>
      </c>
      <c r="U435" s="127">
        <v>175.00537830765839</v>
      </c>
      <c r="V435" s="128">
        <v>274.71115566688133</v>
      </c>
      <c r="W435" s="123">
        <v>105.97780829619089</v>
      </c>
      <c r="X435" s="127">
        <v>136.48841257965418</v>
      </c>
      <c r="Y435" s="128">
        <v>218.77560881264964</v>
      </c>
      <c r="Z435" s="127">
        <v>239.49476467069903</v>
      </c>
      <c r="AA435" s="127">
        <v>310.67909488743197</v>
      </c>
      <c r="AB435" s="128">
        <v>494.40174118186252</v>
      </c>
      <c r="AC435" s="127">
        <v>149.74865440841438</v>
      </c>
      <c r="AD435" s="127">
        <v>183.50078502162239</v>
      </c>
      <c r="AE435" s="128">
        <v>288.04664866041929</v>
      </c>
      <c r="AF435" s="123">
        <v>111.12236209697686</v>
      </c>
      <c r="AG435" s="127">
        <v>143.1140636757539</v>
      </c>
      <c r="AH435" s="128">
        <v>229.39578399772972</v>
      </c>
      <c r="AI435" s="127">
        <v>242.05247574970647</v>
      </c>
      <c r="AJ435" s="127">
        <v>313.99702696875403</v>
      </c>
      <c r="AK435" s="128">
        <v>499.68175977700861</v>
      </c>
      <c r="CM435">
        <f t="shared" si="1"/>
        <v>0</v>
      </c>
      <c r="CN435" t="e">
        <f t="shared" si="2"/>
        <v>#DIV/0!</v>
      </c>
      <c r="CO435">
        <f t="shared" si="3"/>
        <v>0</v>
      </c>
      <c r="CQ435">
        <f t="shared" si="4"/>
        <v>0</v>
      </c>
      <c r="CR435" t="e">
        <f t="shared" si="5"/>
        <v>#DIV/0!</v>
      </c>
      <c r="CS435">
        <f t="shared" si="6"/>
        <v>0</v>
      </c>
    </row>
    <row r="436" spans="1:97" x14ac:dyDescent="0.3">
      <c r="A436" s="24">
        <v>2045</v>
      </c>
      <c r="B436" s="123">
        <v>93.959536</v>
      </c>
      <c r="C436" s="127">
        <v>131.00288325131621</v>
      </c>
      <c r="D436" s="128">
        <v>224.299746</v>
      </c>
      <c r="E436" s="127">
        <v>77.34167496581324</v>
      </c>
      <c r="F436" s="127">
        <v>101.79785688248073</v>
      </c>
      <c r="G436" s="127">
        <v>180.16175100978239</v>
      </c>
      <c r="H436" s="123">
        <v>128.04385557095387</v>
      </c>
      <c r="I436" s="127">
        <v>136.38249990166705</v>
      </c>
      <c r="J436" s="128">
        <v>238.56147966864481</v>
      </c>
      <c r="K436" s="127">
        <v>123.92771481716792</v>
      </c>
      <c r="L436" s="127">
        <v>137.03964438260707</v>
      </c>
      <c r="M436" s="128">
        <v>263.27525654885841</v>
      </c>
      <c r="N436" s="123">
        <v>89.797211661539663</v>
      </c>
      <c r="O436" s="127">
        <v>95.527034906507069</v>
      </c>
      <c r="P436" s="128">
        <v>190.76752905871314</v>
      </c>
      <c r="Q436" s="127">
        <v>274.77861548147814</v>
      </c>
      <c r="R436" s="127">
        <v>370.50750004410344</v>
      </c>
      <c r="S436" s="128">
        <v>413.00088114806158</v>
      </c>
      <c r="T436" s="127">
        <v>139.53766685693012</v>
      </c>
      <c r="U436" s="127">
        <v>170.81168143037019</v>
      </c>
      <c r="V436" s="128">
        <v>272.63086162351215</v>
      </c>
      <c r="W436" s="123">
        <v>103.27271192264737</v>
      </c>
      <c r="X436" s="127">
        <v>134.42040632844726</v>
      </c>
      <c r="Y436" s="128">
        <v>218.12485723770854</v>
      </c>
      <c r="Z436" s="127">
        <v>233.38163183837327</v>
      </c>
      <c r="AA436" s="127">
        <v>305.97183587398609</v>
      </c>
      <c r="AB436" s="128">
        <v>492.93113523326645</v>
      </c>
      <c r="AC436" s="127">
        <v>146.31134000532478</v>
      </c>
      <c r="AD436" s="127">
        <v>179.10351062601924</v>
      </c>
      <c r="AE436" s="128">
        <v>285.86536946931369</v>
      </c>
      <c r="AF436" s="123">
        <v>108.28595036549434</v>
      </c>
      <c r="AG436" s="127">
        <v>140.94566877157575</v>
      </c>
      <c r="AH436" s="128">
        <v>228.71344254050993</v>
      </c>
      <c r="AI436" s="127">
        <v>235.87405703276363</v>
      </c>
      <c r="AJ436" s="127">
        <v>309.23949625710628</v>
      </c>
      <c r="AK436" s="128">
        <v>498.19544832799062</v>
      </c>
      <c r="CM436">
        <f t="shared" si="1"/>
        <v>0</v>
      </c>
      <c r="CN436" t="e">
        <f t="shared" si="2"/>
        <v>#DIV/0!</v>
      </c>
      <c r="CO436">
        <f t="shared" si="3"/>
        <v>0</v>
      </c>
      <c r="CQ436">
        <f t="shared" si="4"/>
        <v>0</v>
      </c>
      <c r="CR436" t="e">
        <f t="shared" si="5"/>
        <v>#DIV/0!</v>
      </c>
      <c r="CS436">
        <f t="shared" si="6"/>
        <v>0</v>
      </c>
    </row>
    <row r="437" spans="1:97" x14ac:dyDescent="0.3">
      <c r="A437" s="24">
        <v>2046</v>
      </c>
      <c r="B437" s="123">
        <v>91.667839999999998</v>
      </c>
      <c r="C437" s="127">
        <v>128.38459560439358</v>
      </c>
      <c r="D437" s="128">
        <v>224.299746</v>
      </c>
      <c r="E437" s="127">
        <v>75.19990550522148</v>
      </c>
      <c r="F437" s="127">
        <v>100.23173600736561</v>
      </c>
      <c r="G437" s="127">
        <v>177.39003176347802</v>
      </c>
      <c r="H437" s="123">
        <v>124.49802572437359</v>
      </c>
      <c r="I437" s="127">
        <v>134.28430759548755</v>
      </c>
      <c r="J437" s="128">
        <v>234.89130305835801</v>
      </c>
      <c r="K437" s="127">
        <v>122.02113458921148</v>
      </c>
      <c r="L437" s="127">
        <v>134.93214273176423</v>
      </c>
      <c r="M437" s="128">
        <v>263.27525654885841</v>
      </c>
      <c r="N437" s="123">
        <v>88.415716097515954</v>
      </c>
      <c r="O437" s="127">
        <v>94.057538869240958</v>
      </c>
      <c r="P437" s="128">
        <v>190.76752905871314</v>
      </c>
      <c r="Q437" s="127">
        <v>270.55125216637856</v>
      </c>
      <c r="R437" s="127">
        <v>364.80936108930484</v>
      </c>
      <c r="S437" s="128">
        <v>401.61781799274388</v>
      </c>
      <c r="T437" s="127">
        <v>136.25956285307106</v>
      </c>
      <c r="U437" s="127">
        <v>166.62513225847835</v>
      </c>
      <c r="V437" s="128">
        <v>270.55056758014285</v>
      </c>
      <c r="W437" s="123">
        <v>100.56761554910379</v>
      </c>
      <c r="X437" s="127">
        <v>132.35240007724036</v>
      </c>
      <c r="Y437" s="128">
        <v>217.47410566276758</v>
      </c>
      <c r="Z437" s="127">
        <v>227.26849900604742</v>
      </c>
      <c r="AA437" s="127">
        <v>301.26457686054005</v>
      </c>
      <c r="AB437" s="128">
        <v>491.46052928467009</v>
      </c>
      <c r="AC437" s="127">
        <v>142.87410473914247</v>
      </c>
      <c r="AD437" s="127">
        <v>174.71373091180257</v>
      </c>
      <c r="AE437" s="128">
        <v>283.68409027820803</v>
      </c>
      <c r="AF437" s="123">
        <v>105.44953863401174</v>
      </c>
      <c r="AG437" s="127">
        <v>138.77727386739767</v>
      </c>
      <c r="AH437" s="128">
        <v>228.03110108329028</v>
      </c>
      <c r="AI437" s="127">
        <v>229.6956383158207</v>
      </c>
      <c r="AJ437" s="127">
        <v>304.48196554545842</v>
      </c>
      <c r="AK437" s="128">
        <v>496.70913687897234</v>
      </c>
      <c r="CM437">
        <f t="shared" si="1"/>
        <v>0</v>
      </c>
      <c r="CN437" t="e">
        <f t="shared" si="2"/>
        <v>#DIV/0!</v>
      </c>
      <c r="CO437">
        <f t="shared" si="3"/>
        <v>0</v>
      </c>
      <c r="CQ437">
        <f t="shared" si="4"/>
        <v>0</v>
      </c>
      <c r="CR437" t="e">
        <f t="shared" si="5"/>
        <v>#DIV/0!</v>
      </c>
      <c r="CS437">
        <f t="shared" si="6"/>
        <v>0</v>
      </c>
    </row>
    <row r="438" spans="1:97" x14ac:dyDescent="0.3">
      <c r="A438" s="24">
        <v>2047</v>
      </c>
      <c r="B438" s="123">
        <v>89.376143999999996</v>
      </c>
      <c r="C438" s="127">
        <v>125.76630795747097</v>
      </c>
      <c r="D438" s="128">
        <v>224.299746</v>
      </c>
      <c r="E438" s="127">
        <v>73.058136044629748</v>
      </c>
      <c r="F438" s="127">
        <v>98.665615132250608</v>
      </c>
      <c r="G438" s="127">
        <v>174.61831251717371</v>
      </c>
      <c r="H438" s="123">
        <v>120.95219587779333</v>
      </c>
      <c r="I438" s="127">
        <v>132.18611528930808</v>
      </c>
      <c r="J438" s="128">
        <v>231.22112644807115</v>
      </c>
      <c r="K438" s="127">
        <v>120.11455436125506</v>
      </c>
      <c r="L438" s="127">
        <v>132.82464108092046</v>
      </c>
      <c r="M438" s="128">
        <v>263.27525654885841</v>
      </c>
      <c r="N438" s="123">
        <v>87.03422053349226</v>
      </c>
      <c r="O438" s="127">
        <v>92.588042831974391</v>
      </c>
      <c r="P438" s="128">
        <v>190.76752905871314</v>
      </c>
      <c r="Q438" s="127">
        <v>266.32388885127881</v>
      </c>
      <c r="R438" s="127">
        <v>359.11122213450551</v>
      </c>
      <c r="S438" s="128">
        <v>390.23475483742641</v>
      </c>
      <c r="T438" s="127">
        <v>132.98154020341829</v>
      </c>
      <c r="U438" s="127">
        <v>162.44607113560693</v>
      </c>
      <c r="V438" s="128">
        <v>268.4702735367735</v>
      </c>
      <c r="W438" s="123">
        <v>97.862519175560308</v>
      </c>
      <c r="X438" s="127">
        <v>130.28439382603347</v>
      </c>
      <c r="Y438" s="128">
        <v>216.82335408782654</v>
      </c>
      <c r="Z438" s="127">
        <v>221.15536617372163</v>
      </c>
      <c r="AA438" s="127">
        <v>296.55731784709411</v>
      </c>
      <c r="AB438" s="128">
        <v>489.9899233360735</v>
      </c>
      <c r="AC438" s="127">
        <v>139.43695477639977</v>
      </c>
      <c r="AD438" s="127">
        <v>170.33180274413155</v>
      </c>
      <c r="AE438" s="128">
        <v>281.50281108710237</v>
      </c>
      <c r="AF438" s="123">
        <v>102.61312690252926</v>
      </c>
      <c r="AG438" s="127">
        <v>136.60887896321958</v>
      </c>
      <c r="AH438" s="128">
        <v>227.34875962607057</v>
      </c>
      <c r="AI438" s="127">
        <v>223.51721959887786</v>
      </c>
      <c r="AJ438" s="127">
        <v>299.72443483381062</v>
      </c>
      <c r="AK438" s="128">
        <v>495.22282542995384</v>
      </c>
      <c r="CQ438">
        <f t="shared" si="4"/>
        <v>0</v>
      </c>
      <c r="CR438">
        <f t="shared" si="5"/>
        <v>0</v>
      </c>
      <c r="CS438">
        <f t="shared" si="6"/>
        <v>0</v>
      </c>
    </row>
    <row r="439" spans="1:97" x14ac:dyDescent="0.3">
      <c r="A439" s="24">
        <v>2048</v>
      </c>
      <c r="B439" s="123">
        <v>85.938600000000008</v>
      </c>
      <c r="C439" s="127">
        <v>123.14802031054845</v>
      </c>
      <c r="D439" s="128">
        <v>224.299746</v>
      </c>
      <c r="E439" s="127">
        <v>70.916366584037988</v>
      </c>
      <c r="F439" s="127">
        <v>97.099494257135476</v>
      </c>
      <c r="G439" s="127">
        <v>171.84659327086933</v>
      </c>
      <c r="H439" s="123">
        <v>117.40636603121307</v>
      </c>
      <c r="I439" s="127">
        <v>130.08792298312852</v>
      </c>
      <c r="J439" s="128">
        <v>227.55094983778434</v>
      </c>
      <c r="K439" s="127">
        <v>118.20797413329862</v>
      </c>
      <c r="L439" s="127">
        <v>130.71713943007762</v>
      </c>
      <c r="M439" s="128">
        <v>263.27525654885841</v>
      </c>
      <c r="N439" s="123">
        <v>85.652724969468593</v>
      </c>
      <c r="O439" s="127">
        <v>91.118546794708294</v>
      </c>
      <c r="P439" s="128">
        <v>190.76752905871314</v>
      </c>
      <c r="Q439" s="127">
        <v>262.09652553617917</v>
      </c>
      <c r="R439" s="127">
        <v>353.41308317970692</v>
      </c>
      <c r="S439" s="128">
        <v>378.85169168210871</v>
      </c>
      <c r="T439" s="127">
        <v>129.37691774851734</v>
      </c>
      <c r="U439" s="127">
        <v>158.27486036150577</v>
      </c>
      <c r="V439" s="128">
        <v>266.38997949340433</v>
      </c>
      <c r="W439" s="123">
        <v>95.157422802016725</v>
      </c>
      <c r="X439" s="127">
        <v>128.21638757482668</v>
      </c>
      <c r="Y439" s="128">
        <v>216.17260251288553</v>
      </c>
      <c r="Z439" s="127">
        <v>215.04223334139601</v>
      </c>
      <c r="AA439" s="127">
        <v>291.85005883364823</v>
      </c>
      <c r="AB439" s="128">
        <v>488.51931738747743</v>
      </c>
      <c r="AC439" s="127">
        <v>135.65735064893082</v>
      </c>
      <c r="AD439" s="127">
        <v>165.95810601012255</v>
      </c>
      <c r="AE439" s="128">
        <v>279.32153189599677</v>
      </c>
      <c r="AF439" s="123">
        <v>99.776715171046675</v>
      </c>
      <c r="AG439" s="127">
        <v>134.44048405904158</v>
      </c>
      <c r="AH439" s="128">
        <v>226.66641816885084</v>
      </c>
      <c r="AI439" s="127">
        <v>217.33880088193516</v>
      </c>
      <c r="AJ439" s="127">
        <v>294.96690412216287</v>
      </c>
      <c r="AK439" s="128">
        <v>493.73651398093591</v>
      </c>
      <c r="CQ439">
        <f t="shared" si="4"/>
        <v>0</v>
      </c>
      <c r="CR439">
        <f t="shared" si="5"/>
        <v>0</v>
      </c>
      <c r="CS439">
        <f t="shared" si="6"/>
        <v>0</v>
      </c>
    </row>
    <row r="440" spans="1:97" x14ac:dyDescent="0.3">
      <c r="A440" s="24">
        <v>2049</v>
      </c>
      <c r="B440" s="123">
        <v>83.646903999999992</v>
      </c>
      <c r="C440" s="127">
        <v>120.52973266362582</v>
      </c>
      <c r="D440" s="128">
        <v>224.299746</v>
      </c>
      <c r="E440" s="127">
        <v>68.774597123446256</v>
      </c>
      <c r="F440" s="127">
        <v>95.533373382020315</v>
      </c>
      <c r="G440" s="127">
        <v>169.07487402456505</v>
      </c>
      <c r="H440" s="123">
        <v>113.86053618463282</v>
      </c>
      <c r="I440" s="127">
        <v>127.98973067694909</v>
      </c>
      <c r="J440" s="128">
        <v>223.88077322749754</v>
      </c>
      <c r="K440" s="127">
        <v>116.30139390534218</v>
      </c>
      <c r="L440" s="127">
        <v>128.60963777923482</v>
      </c>
      <c r="M440" s="128">
        <v>263.27525654885841</v>
      </c>
      <c r="N440" s="123">
        <v>84.271229405444927</v>
      </c>
      <c r="O440" s="127">
        <v>89.649050757442225</v>
      </c>
      <c r="P440" s="128">
        <v>190.76752905871314</v>
      </c>
      <c r="Q440" s="127">
        <v>257.86916222107953</v>
      </c>
      <c r="R440" s="127">
        <v>347.71494422490844</v>
      </c>
      <c r="S440" s="128">
        <v>367.46862852679118</v>
      </c>
      <c r="T440" s="127">
        <v>126.09913603789823</v>
      </c>
      <c r="U440" s="127">
        <v>154.1118859916055</v>
      </c>
      <c r="V440" s="128">
        <v>264.30968545003503</v>
      </c>
      <c r="W440" s="123">
        <v>92.452326428473214</v>
      </c>
      <c r="X440" s="127">
        <v>126.1483813236198</v>
      </c>
      <c r="Y440" s="128">
        <v>215.52185093794449</v>
      </c>
      <c r="Z440" s="127">
        <v>208.9291005090702</v>
      </c>
      <c r="AA440" s="127">
        <v>287.1427998202023</v>
      </c>
      <c r="AB440" s="128">
        <v>487.04871143888084</v>
      </c>
      <c r="AC440" s="127">
        <v>132.22045332129136</v>
      </c>
      <c r="AD440" s="127">
        <v>161.59304550576113</v>
      </c>
      <c r="AE440" s="128">
        <v>277.14025270489111</v>
      </c>
      <c r="AF440" s="123">
        <v>96.940303439564147</v>
      </c>
      <c r="AG440" s="127">
        <v>132.27208915486349</v>
      </c>
      <c r="AH440" s="128">
        <v>225.98407671163113</v>
      </c>
      <c r="AI440" s="127">
        <v>211.16038216499228</v>
      </c>
      <c r="AJ440" s="127">
        <v>290.20937341051507</v>
      </c>
      <c r="AK440" s="128">
        <v>492.25020253191741</v>
      </c>
      <c r="CQ440">
        <f t="shared" si="4"/>
        <v>0</v>
      </c>
      <c r="CR440">
        <f t="shared" si="5"/>
        <v>0</v>
      </c>
      <c r="CS440">
        <f t="shared" si="6"/>
        <v>0</v>
      </c>
    </row>
    <row r="441" spans="1:97" ht="15" thickBot="1" x14ac:dyDescent="0.35">
      <c r="A441" s="25">
        <v>2050</v>
      </c>
      <c r="B441" s="124">
        <v>81.355208000000005</v>
      </c>
      <c r="C441" s="129">
        <v>117.91144501670321</v>
      </c>
      <c r="D441" s="130">
        <v>224.299746</v>
      </c>
      <c r="E441" s="129">
        <v>66.632827662854595</v>
      </c>
      <c r="F441" s="129">
        <v>93.967252506905297</v>
      </c>
      <c r="G441" s="129">
        <v>166.30315477826062</v>
      </c>
      <c r="H441" s="124">
        <v>110.31470633805277</v>
      </c>
      <c r="I441" s="129">
        <v>125.89153837076955</v>
      </c>
      <c r="J441" s="130">
        <v>220.21059661721054</v>
      </c>
      <c r="K441" s="129">
        <v>114.39481367738584</v>
      </c>
      <c r="L441" s="129">
        <v>126.45009905059227</v>
      </c>
      <c r="M441" s="130">
        <v>263.27525654885841</v>
      </c>
      <c r="N441" s="124">
        <v>82.889733841421261</v>
      </c>
      <c r="O441" s="129">
        <v>88.17000075037555</v>
      </c>
      <c r="P441" s="130">
        <v>190.76752905871314</v>
      </c>
      <c r="Q441" s="129">
        <v>253.6417989059801</v>
      </c>
      <c r="R441" s="129">
        <v>341.89234593981922</v>
      </c>
      <c r="S441" s="130">
        <v>356.08556537147393</v>
      </c>
      <c r="T441" s="129">
        <v>123.17246946502712</v>
      </c>
      <c r="U441" s="129">
        <v>149.95755981651564</v>
      </c>
      <c r="V441" s="130">
        <v>262.22939140666591</v>
      </c>
      <c r="W441" s="124">
        <v>89.747230054929602</v>
      </c>
      <c r="X441" s="129">
        <v>124.08037507241283</v>
      </c>
      <c r="Y441" s="130">
        <v>214.8710993630034</v>
      </c>
      <c r="Z441" s="129">
        <v>202.81596767674432</v>
      </c>
      <c r="AA441" s="129">
        <v>282.43554080675631</v>
      </c>
      <c r="AB441" s="130">
        <v>485.57810549028409</v>
      </c>
      <c r="AC441" s="129">
        <v>129.15171555556242</v>
      </c>
      <c r="AD441" s="129">
        <v>157.23705301149212</v>
      </c>
      <c r="AE441" s="130">
        <v>274.95897351378562</v>
      </c>
      <c r="AF441" s="124">
        <v>94.103891708081534</v>
      </c>
      <c r="AG441" s="129">
        <v>130.10369425068529</v>
      </c>
      <c r="AH441" s="130">
        <v>225.30173525441134</v>
      </c>
      <c r="AI441" s="129">
        <v>204.98196344804936</v>
      </c>
      <c r="AJ441" s="129">
        <v>285.45184269886732</v>
      </c>
      <c r="AK441" s="130">
        <v>490.76389108289868</v>
      </c>
      <c r="CQ441">
        <f t="shared" si="4"/>
        <v>0</v>
      </c>
      <c r="CR441">
        <f t="shared" si="5"/>
        <v>0</v>
      </c>
      <c r="CS441">
        <f t="shared" si="6"/>
        <v>0</v>
      </c>
    </row>
    <row r="442" spans="1:97" ht="16.2" x14ac:dyDescent="0.3">
      <c r="A442" t="s">
        <v>293</v>
      </c>
      <c r="CQ442">
        <f t="shared" si="4"/>
        <v>0</v>
      </c>
      <c r="CR442">
        <f t="shared" si="5"/>
        <v>0</v>
      </c>
      <c r="CS442">
        <f t="shared" si="6"/>
        <v>0</v>
      </c>
    </row>
    <row r="443" spans="1:97" ht="16.2" x14ac:dyDescent="0.3">
      <c r="A443" t="s">
        <v>294</v>
      </c>
      <c r="CQ443">
        <f t="shared" si="4"/>
        <v>0</v>
      </c>
      <c r="CR443">
        <f t="shared" si="5"/>
        <v>0</v>
      </c>
      <c r="CS443">
        <f t="shared" si="6"/>
        <v>0</v>
      </c>
    </row>
    <row r="444" spans="1:97" ht="16.2" x14ac:dyDescent="0.3">
      <c r="A444" t="s">
        <v>295</v>
      </c>
    </row>
    <row r="446" spans="1:97" x14ac:dyDescent="0.3">
      <c r="A446" s="36" t="s">
        <v>440</v>
      </c>
    </row>
  </sheetData>
  <mergeCells count="206">
    <mergeCell ref="W43:Y43"/>
    <mergeCell ref="B43:D43"/>
    <mergeCell ref="E43:G43"/>
    <mergeCell ref="B2:D2"/>
    <mergeCell ref="T2:V2"/>
    <mergeCell ref="H43:J43"/>
    <mergeCell ref="Z2:AB2"/>
    <mergeCell ref="W2:Y2"/>
    <mergeCell ref="AC2:AE2"/>
    <mergeCell ref="A42:A44"/>
    <mergeCell ref="A202:A204"/>
    <mergeCell ref="B203:D203"/>
    <mergeCell ref="B202:AE202"/>
    <mergeCell ref="T203:V203"/>
    <mergeCell ref="W203:Y203"/>
    <mergeCell ref="Z203:AB203"/>
    <mergeCell ref="AC203:AE203"/>
    <mergeCell ref="E203:G203"/>
    <mergeCell ref="H203:J203"/>
    <mergeCell ref="K203:M203"/>
    <mergeCell ref="Z43:AB43"/>
    <mergeCell ref="AC43:AE43"/>
    <mergeCell ref="B42:AE42"/>
    <mergeCell ref="B162:AE162"/>
    <mergeCell ref="K43:M43"/>
    <mergeCell ref="N43:P43"/>
    <mergeCell ref="Q43:S43"/>
    <mergeCell ref="T43:V43"/>
    <mergeCell ref="Z123:AB123"/>
    <mergeCell ref="B122:AB122"/>
    <mergeCell ref="A82:A84"/>
    <mergeCell ref="B83:D83"/>
    <mergeCell ref="E83:G83"/>
    <mergeCell ref="AF363:AH363"/>
    <mergeCell ref="B364:D364"/>
    <mergeCell ref="E364:G364"/>
    <mergeCell ref="H364:J364"/>
    <mergeCell ref="K364:M364"/>
    <mergeCell ref="N364:P364"/>
    <mergeCell ref="Q364:S364"/>
    <mergeCell ref="T364:V364"/>
    <mergeCell ref="W364:Y364"/>
    <mergeCell ref="Z364:AB364"/>
    <mergeCell ref="AC364:AE364"/>
    <mergeCell ref="AF364:AH364"/>
    <mergeCell ref="A242:A244"/>
    <mergeCell ref="B243:D243"/>
    <mergeCell ref="E243:G243"/>
    <mergeCell ref="H243:J243"/>
    <mergeCell ref="K243:M243"/>
    <mergeCell ref="N243:P243"/>
    <mergeCell ref="B242:AE242"/>
    <mergeCell ref="B1:AE1"/>
    <mergeCell ref="A363:A365"/>
    <mergeCell ref="B363:AE363"/>
    <mergeCell ref="A282:A284"/>
    <mergeCell ref="N203:P203"/>
    <mergeCell ref="Q203:S203"/>
    <mergeCell ref="A162:A164"/>
    <mergeCell ref="Q163:S163"/>
    <mergeCell ref="T163:V163"/>
    <mergeCell ref="W163:Y163"/>
    <mergeCell ref="A1:A3"/>
    <mergeCell ref="B163:D163"/>
    <mergeCell ref="E2:G2"/>
    <mergeCell ref="H2:J2"/>
    <mergeCell ref="K2:M2"/>
    <mergeCell ref="N2:P2"/>
    <mergeCell ref="Q2:S2"/>
    <mergeCell ref="E324:G324"/>
    <mergeCell ref="H324:J324"/>
    <mergeCell ref="K324:M324"/>
    <mergeCell ref="N324:P324"/>
    <mergeCell ref="Q324:S324"/>
    <mergeCell ref="T324:V324"/>
    <mergeCell ref="W324:Y324"/>
    <mergeCell ref="Z163:AB163"/>
    <mergeCell ref="AC163:AE163"/>
    <mergeCell ref="Q243:S243"/>
    <mergeCell ref="T243:V243"/>
    <mergeCell ref="W243:Y243"/>
    <mergeCell ref="K283:M283"/>
    <mergeCell ref="N283:P283"/>
    <mergeCell ref="Q283:S283"/>
    <mergeCell ref="T283:V283"/>
    <mergeCell ref="W283:Y283"/>
    <mergeCell ref="Z283:AB283"/>
    <mergeCell ref="AC283:AE283"/>
    <mergeCell ref="B282:AE282"/>
    <mergeCell ref="E163:G163"/>
    <mergeCell ref="H163:J163"/>
    <mergeCell ref="K163:M163"/>
    <mergeCell ref="N163:P163"/>
    <mergeCell ref="AS242:AU242"/>
    <mergeCell ref="AV242:AX242"/>
    <mergeCell ref="AY242:BA242"/>
    <mergeCell ref="BB242:BD242"/>
    <mergeCell ref="BB243:BD243"/>
    <mergeCell ref="AY243:BA243"/>
    <mergeCell ref="AV243:AX243"/>
    <mergeCell ref="AS243:AU243"/>
    <mergeCell ref="Z243:AB243"/>
    <mergeCell ref="AC243:AE243"/>
    <mergeCell ref="AG242:AI242"/>
    <mergeCell ref="AG243:AI243"/>
    <mergeCell ref="H83:J83"/>
    <mergeCell ref="K83:M83"/>
    <mergeCell ref="N83:P83"/>
    <mergeCell ref="Q83:S83"/>
    <mergeCell ref="T83:V83"/>
    <mergeCell ref="W83:Y83"/>
    <mergeCell ref="Z83:AB83"/>
    <mergeCell ref="B82:AB82"/>
    <mergeCell ref="A122:A124"/>
    <mergeCell ref="B123:D123"/>
    <mergeCell ref="E123:G123"/>
    <mergeCell ref="H123:J123"/>
    <mergeCell ref="K123:M123"/>
    <mergeCell ref="N123:P123"/>
    <mergeCell ref="Q123:S123"/>
    <mergeCell ref="T123:V123"/>
    <mergeCell ref="W123:Y123"/>
    <mergeCell ref="AD82:AD84"/>
    <mergeCell ref="AE82:BE82"/>
    <mergeCell ref="AE83:AG83"/>
    <mergeCell ref="AH83:AJ83"/>
    <mergeCell ref="AK83:AM83"/>
    <mergeCell ref="AN83:AP83"/>
    <mergeCell ref="AQ83:AS83"/>
    <mergeCell ref="AT83:AV83"/>
    <mergeCell ref="AW83:AY83"/>
    <mergeCell ref="AZ83:BB83"/>
    <mergeCell ref="BC83:BE83"/>
    <mergeCell ref="AD122:AD124"/>
    <mergeCell ref="AE122:BE122"/>
    <mergeCell ref="AE123:AG123"/>
    <mergeCell ref="AH123:AJ123"/>
    <mergeCell ref="AK123:AM123"/>
    <mergeCell ref="AN123:AP123"/>
    <mergeCell ref="AQ123:AS123"/>
    <mergeCell ref="AT123:AV123"/>
    <mergeCell ref="AW123:AY123"/>
    <mergeCell ref="AZ123:BB123"/>
    <mergeCell ref="BC123:BE123"/>
    <mergeCell ref="AG282:AI282"/>
    <mergeCell ref="AG283:AI283"/>
    <mergeCell ref="AJ242:AL242"/>
    <mergeCell ref="AM242:AO242"/>
    <mergeCell ref="AP242:AR242"/>
    <mergeCell ref="AJ243:AL243"/>
    <mergeCell ref="AM243:AO243"/>
    <mergeCell ref="AP243:AR243"/>
    <mergeCell ref="AM283:AO283"/>
    <mergeCell ref="AP283:AR283"/>
    <mergeCell ref="AM282:AO282"/>
    <mergeCell ref="AP282:AR282"/>
    <mergeCell ref="AJ283:AL283"/>
    <mergeCell ref="AJ282:AL282"/>
    <mergeCell ref="BE242:BG242"/>
    <mergeCell ref="BH242:BJ242"/>
    <mergeCell ref="BK242:BM242"/>
    <mergeCell ref="BN242:BP242"/>
    <mergeCell ref="BE243:BG243"/>
    <mergeCell ref="BH243:BJ243"/>
    <mergeCell ref="BK243:BM243"/>
    <mergeCell ref="BN243:BP243"/>
    <mergeCell ref="AV282:AX282"/>
    <mergeCell ref="AY282:BA282"/>
    <mergeCell ref="BB282:BD282"/>
    <mergeCell ref="A403:A405"/>
    <mergeCell ref="BE282:BG282"/>
    <mergeCell ref="BH282:BJ282"/>
    <mergeCell ref="BK282:BM282"/>
    <mergeCell ref="BN282:BP282"/>
    <mergeCell ref="BE283:BG283"/>
    <mergeCell ref="BH283:BJ283"/>
    <mergeCell ref="BK283:BM283"/>
    <mergeCell ref="BN283:BP283"/>
    <mergeCell ref="AV283:AX283"/>
    <mergeCell ref="AY283:BA283"/>
    <mergeCell ref="BB283:BD283"/>
    <mergeCell ref="AF324:AH324"/>
    <mergeCell ref="B323:AE323"/>
    <mergeCell ref="AF323:AH323"/>
    <mergeCell ref="Z324:AB324"/>
    <mergeCell ref="AC324:AE324"/>
    <mergeCell ref="AS283:AU283"/>
    <mergeCell ref="AS282:AU282"/>
    <mergeCell ref="B283:D283"/>
    <mergeCell ref="E283:G283"/>
    <mergeCell ref="H283:J283"/>
    <mergeCell ref="A323:A325"/>
    <mergeCell ref="B324:D324"/>
    <mergeCell ref="T404:V404"/>
    <mergeCell ref="W404:Y404"/>
    <mergeCell ref="N404:P404"/>
    <mergeCell ref="Q404:S404"/>
    <mergeCell ref="Z404:AB404"/>
    <mergeCell ref="AC404:AE404"/>
    <mergeCell ref="AF404:AH404"/>
    <mergeCell ref="AI404:AK404"/>
    <mergeCell ref="B403:AK403"/>
    <mergeCell ref="B404:D404"/>
    <mergeCell ref="E404:G404"/>
    <mergeCell ref="H404:J404"/>
    <mergeCell ref="K404:M404"/>
  </mergeCells>
  <pageMargins left="0.25" right="0.25" top="0.75" bottom="0.75" header="0.3" footer="0.3"/>
  <pageSetup paperSize="9" scale="10" orientation="landscape" r:id="rId1"/>
  <headerFooter>
    <oddFooter>&amp;C_x000D_&amp;1#&amp;"Calibri"&amp;7&amp;K000000 Classification: In-Confidence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864F-551B-43CE-A430-219BF6467432}">
  <sheetPr>
    <tabColor theme="0" tint="-0.499984740745262"/>
    <pageSetUpPr fitToPage="1"/>
  </sheetPr>
  <dimension ref="A1:CY346"/>
  <sheetViews>
    <sheetView zoomScale="55" zoomScaleNormal="55" workbookViewId="0">
      <selection activeCell="O39" sqref="O39"/>
    </sheetView>
  </sheetViews>
  <sheetFormatPr defaultRowHeight="14.4" x14ac:dyDescent="0.3"/>
  <sheetData>
    <row r="1" spans="1:103" ht="18.600000000000001" thickBot="1" x14ac:dyDescent="0.4">
      <c r="A1" s="289" t="s">
        <v>0</v>
      </c>
      <c r="B1" s="353" t="s">
        <v>109</v>
      </c>
      <c r="C1" s="354"/>
      <c r="D1" s="354"/>
      <c r="E1" s="354"/>
      <c r="F1" s="354"/>
      <c r="G1" s="354"/>
      <c r="H1" s="354"/>
      <c r="I1" s="354"/>
      <c r="J1" s="354"/>
      <c r="K1" s="354"/>
      <c r="L1" s="354"/>
      <c r="M1" s="354"/>
      <c r="N1" s="354"/>
      <c r="O1" s="354"/>
      <c r="P1" s="354"/>
      <c r="Q1" s="354"/>
      <c r="R1" s="354"/>
      <c r="S1" s="354"/>
      <c r="T1" s="354"/>
      <c r="U1" s="354"/>
      <c r="V1" s="354"/>
      <c r="W1" s="354"/>
      <c r="X1" s="354"/>
      <c r="Y1" s="354"/>
      <c r="Z1" s="354"/>
      <c r="AA1" s="354"/>
      <c r="AB1" s="354"/>
      <c r="AC1" s="354"/>
      <c r="AD1" s="354"/>
      <c r="AE1" s="354"/>
      <c r="AF1" s="354"/>
      <c r="AG1" s="354"/>
      <c r="AH1" s="354"/>
      <c r="AI1" s="354"/>
      <c r="AJ1" s="354"/>
      <c r="AK1" s="354"/>
      <c r="AL1" s="354"/>
      <c r="AM1" s="354"/>
      <c r="AN1" s="354"/>
      <c r="AO1" s="354"/>
      <c r="AP1" s="354"/>
      <c r="AQ1" s="354"/>
      <c r="AR1" s="354"/>
      <c r="AS1" s="354"/>
      <c r="AT1" s="354"/>
      <c r="AU1" s="354"/>
      <c r="AV1" s="354"/>
      <c r="AW1" s="354"/>
      <c r="AX1" s="354"/>
      <c r="AY1" s="354"/>
      <c r="AZ1" s="354"/>
      <c r="BA1" s="354"/>
      <c r="BB1" s="354"/>
      <c r="BC1" s="354"/>
      <c r="BD1" s="354"/>
      <c r="BE1" s="354"/>
      <c r="BF1" s="354"/>
      <c r="BG1" s="354"/>
      <c r="BH1" s="354"/>
      <c r="BI1" s="354"/>
      <c r="BJ1" s="354"/>
      <c r="BK1" s="354"/>
      <c r="BL1" s="354"/>
      <c r="BM1" s="354"/>
      <c r="BN1" s="354"/>
      <c r="BO1" s="354"/>
      <c r="BP1" s="354"/>
      <c r="BQ1" s="354"/>
      <c r="BR1" s="354"/>
      <c r="BS1" s="354"/>
      <c r="BT1" s="354"/>
      <c r="BU1" s="354"/>
      <c r="BV1" s="354"/>
      <c r="BW1" s="354"/>
      <c r="BX1" s="354"/>
      <c r="BY1" s="354"/>
      <c r="BZ1" s="354"/>
      <c r="CA1" s="354"/>
      <c r="CB1" s="354"/>
      <c r="CC1" s="354"/>
      <c r="CD1" s="354"/>
      <c r="CE1" s="354"/>
      <c r="CF1" s="354"/>
      <c r="CG1" s="354"/>
      <c r="CH1" s="354"/>
      <c r="CI1" s="354"/>
      <c r="CJ1" s="354"/>
      <c r="CK1" s="354"/>
      <c r="CL1" s="354"/>
      <c r="CM1" s="354"/>
      <c r="CN1" s="354"/>
      <c r="CO1" s="354"/>
      <c r="CP1" s="354"/>
      <c r="CQ1" s="354"/>
      <c r="CR1" s="354"/>
      <c r="CS1" s="354"/>
      <c r="CT1" s="354"/>
      <c r="CU1" s="354"/>
      <c r="CV1" s="354"/>
      <c r="CW1" s="354"/>
      <c r="CX1" s="354"/>
      <c r="CY1" s="355"/>
    </row>
    <row r="2" spans="1:103" ht="18.600000000000001" thickBot="1" x14ac:dyDescent="0.35">
      <c r="A2" s="344"/>
      <c r="B2" s="368" t="s">
        <v>338</v>
      </c>
      <c r="C2" s="369"/>
      <c r="D2" s="370"/>
      <c r="E2" s="368" t="s">
        <v>339</v>
      </c>
      <c r="F2" s="369"/>
      <c r="G2" s="370"/>
      <c r="H2" s="368" t="s">
        <v>340</v>
      </c>
      <c r="I2" s="369"/>
      <c r="J2" s="370"/>
      <c r="K2" s="368" t="s">
        <v>341</v>
      </c>
      <c r="L2" s="369"/>
      <c r="M2" s="370"/>
      <c r="N2" s="368" t="s">
        <v>342</v>
      </c>
      <c r="O2" s="369"/>
      <c r="P2" s="370"/>
      <c r="Q2" s="368" t="s">
        <v>343</v>
      </c>
      <c r="R2" s="369"/>
      <c r="S2" s="370"/>
      <c r="T2" s="368" t="s">
        <v>344</v>
      </c>
      <c r="U2" s="369"/>
      <c r="V2" s="370"/>
      <c r="W2" s="368" t="s">
        <v>345</v>
      </c>
      <c r="X2" s="369"/>
      <c r="Y2" s="370"/>
      <c r="Z2" s="368" t="s">
        <v>346</v>
      </c>
      <c r="AA2" s="369"/>
      <c r="AB2" s="370"/>
      <c r="AC2" s="368" t="s">
        <v>347</v>
      </c>
      <c r="AD2" s="369"/>
      <c r="AE2" s="370"/>
      <c r="AF2" s="368" t="s">
        <v>348</v>
      </c>
      <c r="AG2" s="369"/>
      <c r="AH2" s="370"/>
      <c r="AI2" s="368" t="s">
        <v>349</v>
      </c>
      <c r="AJ2" s="369"/>
      <c r="AK2" s="370"/>
      <c r="AL2" s="368" t="s">
        <v>350</v>
      </c>
      <c r="AM2" s="369"/>
      <c r="AN2" s="370"/>
      <c r="AO2" s="368" t="s">
        <v>351</v>
      </c>
      <c r="AP2" s="369"/>
      <c r="AQ2" s="370"/>
      <c r="AR2" s="368" t="s">
        <v>352</v>
      </c>
      <c r="AS2" s="369"/>
      <c r="AT2" s="370"/>
      <c r="AU2" s="368" t="s">
        <v>353</v>
      </c>
      <c r="AV2" s="369"/>
      <c r="AW2" s="370"/>
      <c r="AX2" s="368" t="s">
        <v>354</v>
      </c>
      <c r="AY2" s="369"/>
      <c r="AZ2" s="370"/>
      <c r="BA2" s="368" t="s">
        <v>355</v>
      </c>
      <c r="BB2" s="369"/>
      <c r="BC2" s="370"/>
      <c r="BD2" s="368" t="s">
        <v>356</v>
      </c>
      <c r="BE2" s="369"/>
      <c r="BF2" s="370"/>
      <c r="BG2" s="368" t="s">
        <v>357</v>
      </c>
      <c r="BH2" s="369"/>
      <c r="BI2" s="370"/>
      <c r="BJ2" s="368" t="s">
        <v>358</v>
      </c>
      <c r="BK2" s="369"/>
      <c r="BL2" s="370"/>
      <c r="BM2" s="368" t="s">
        <v>359</v>
      </c>
      <c r="BN2" s="369"/>
      <c r="BO2" s="370"/>
      <c r="BP2" s="368" t="s">
        <v>360</v>
      </c>
      <c r="BQ2" s="369"/>
      <c r="BR2" s="370"/>
      <c r="BS2" s="368" t="s">
        <v>361</v>
      </c>
      <c r="BT2" s="369"/>
      <c r="BU2" s="370"/>
      <c r="BV2" s="368" t="s">
        <v>362</v>
      </c>
      <c r="BW2" s="369"/>
      <c r="BX2" s="370"/>
      <c r="BY2" s="368" t="s">
        <v>363</v>
      </c>
      <c r="BZ2" s="369"/>
      <c r="CA2" s="370"/>
      <c r="CB2" s="368" t="s">
        <v>364</v>
      </c>
      <c r="CC2" s="369"/>
      <c r="CD2" s="370"/>
      <c r="CE2" s="368" t="s">
        <v>365</v>
      </c>
      <c r="CF2" s="369"/>
      <c r="CG2" s="370"/>
      <c r="CH2" s="368" t="s">
        <v>366</v>
      </c>
      <c r="CI2" s="369"/>
      <c r="CJ2" s="370"/>
      <c r="CK2" s="368" t="s">
        <v>367</v>
      </c>
      <c r="CL2" s="369"/>
      <c r="CM2" s="370"/>
      <c r="CN2" s="368" t="s">
        <v>368</v>
      </c>
      <c r="CO2" s="369"/>
      <c r="CP2" s="370"/>
      <c r="CQ2" s="368" t="s">
        <v>369</v>
      </c>
      <c r="CR2" s="369"/>
      <c r="CS2" s="370"/>
      <c r="CT2" s="368" t="s">
        <v>370</v>
      </c>
      <c r="CU2" s="369"/>
      <c r="CV2" s="370"/>
      <c r="CW2" s="368" t="s">
        <v>371</v>
      </c>
      <c r="CX2" s="369"/>
      <c r="CY2" s="370"/>
    </row>
    <row r="3" spans="1:103" ht="15" thickBot="1" x14ac:dyDescent="0.35">
      <c r="A3" s="290"/>
      <c r="B3" s="84" t="s">
        <v>18</v>
      </c>
      <c r="C3" s="85" t="s">
        <v>19</v>
      </c>
      <c r="D3" s="86" t="s">
        <v>20</v>
      </c>
      <c r="E3" s="84" t="s">
        <v>18</v>
      </c>
      <c r="F3" s="85" t="s">
        <v>19</v>
      </c>
      <c r="G3" s="86" t="s">
        <v>20</v>
      </c>
      <c r="H3" s="84" t="s">
        <v>18</v>
      </c>
      <c r="I3" s="85" t="s">
        <v>19</v>
      </c>
      <c r="J3" s="86" t="s">
        <v>20</v>
      </c>
      <c r="K3" s="84" t="s">
        <v>18</v>
      </c>
      <c r="L3" s="85" t="s">
        <v>19</v>
      </c>
      <c r="M3" s="86" t="s">
        <v>20</v>
      </c>
      <c r="N3" s="84" t="s">
        <v>18</v>
      </c>
      <c r="O3" s="85" t="s">
        <v>19</v>
      </c>
      <c r="P3" s="86" t="s">
        <v>20</v>
      </c>
      <c r="Q3" s="84" t="s">
        <v>18</v>
      </c>
      <c r="R3" s="85" t="s">
        <v>19</v>
      </c>
      <c r="S3" s="86" t="s">
        <v>20</v>
      </c>
      <c r="T3" s="84" t="s">
        <v>18</v>
      </c>
      <c r="U3" s="85" t="s">
        <v>19</v>
      </c>
      <c r="V3" s="86" t="s">
        <v>20</v>
      </c>
      <c r="W3" s="84" t="s">
        <v>18</v>
      </c>
      <c r="X3" s="85" t="s">
        <v>19</v>
      </c>
      <c r="Y3" s="86" t="s">
        <v>20</v>
      </c>
      <c r="Z3" s="84" t="s">
        <v>18</v>
      </c>
      <c r="AA3" s="85" t="s">
        <v>19</v>
      </c>
      <c r="AB3" s="86" t="s">
        <v>20</v>
      </c>
      <c r="AC3" s="84" t="s">
        <v>18</v>
      </c>
      <c r="AD3" s="85" t="s">
        <v>19</v>
      </c>
      <c r="AE3" s="86" t="s">
        <v>20</v>
      </c>
      <c r="AF3" s="84" t="s">
        <v>18</v>
      </c>
      <c r="AG3" s="85" t="s">
        <v>19</v>
      </c>
      <c r="AH3" s="86" t="s">
        <v>20</v>
      </c>
      <c r="AI3" s="84" t="s">
        <v>18</v>
      </c>
      <c r="AJ3" s="85" t="s">
        <v>19</v>
      </c>
      <c r="AK3" s="86" t="s">
        <v>20</v>
      </c>
      <c r="AL3" s="84" t="s">
        <v>18</v>
      </c>
      <c r="AM3" s="85" t="s">
        <v>19</v>
      </c>
      <c r="AN3" s="86" t="s">
        <v>20</v>
      </c>
      <c r="AO3" s="84" t="s">
        <v>18</v>
      </c>
      <c r="AP3" s="85" t="s">
        <v>19</v>
      </c>
      <c r="AQ3" s="86" t="s">
        <v>20</v>
      </c>
      <c r="AR3" s="84" t="s">
        <v>18</v>
      </c>
      <c r="AS3" s="85" t="s">
        <v>19</v>
      </c>
      <c r="AT3" s="86" t="s">
        <v>20</v>
      </c>
      <c r="AU3" s="84" t="s">
        <v>18</v>
      </c>
      <c r="AV3" s="85" t="s">
        <v>19</v>
      </c>
      <c r="AW3" s="86" t="s">
        <v>20</v>
      </c>
      <c r="AX3" s="84" t="s">
        <v>18</v>
      </c>
      <c r="AY3" s="85" t="s">
        <v>19</v>
      </c>
      <c r="AZ3" s="86" t="s">
        <v>20</v>
      </c>
      <c r="BA3" s="84" t="s">
        <v>18</v>
      </c>
      <c r="BB3" s="85" t="s">
        <v>19</v>
      </c>
      <c r="BC3" s="86" t="s">
        <v>20</v>
      </c>
      <c r="BD3" s="84" t="s">
        <v>18</v>
      </c>
      <c r="BE3" s="85" t="s">
        <v>19</v>
      </c>
      <c r="BF3" s="86" t="s">
        <v>20</v>
      </c>
      <c r="BG3" s="84" t="s">
        <v>18</v>
      </c>
      <c r="BH3" s="85" t="s">
        <v>19</v>
      </c>
      <c r="BI3" s="86" t="s">
        <v>20</v>
      </c>
      <c r="BJ3" s="84" t="s">
        <v>18</v>
      </c>
      <c r="BK3" s="85" t="s">
        <v>19</v>
      </c>
      <c r="BL3" s="86" t="s">
        <v>20</v>
      </c>
      <c r="BM3" s="84" t="s">
        <v>18</v>
      </c>
      <c r="BN3" s="85" t="s">
        <v>19</v>
      </c>
      <c r="BO3" s="86" t="s">
        <v>20</v>
      </c>
      <c r="BP3" s="84" t="s">
        <v>18</v>
      </c>
      <c r="BQ3" s="85" t="s">
        <v>19</v>
      </c>
      <c r="BR3" s="86" t="s">
        <v>20</v>
      </c>
      <c r="BS3" s="84" t="s">
        <v>18</v>
      </c>
      <c r="BT3" s="85" t="s">
        <v>19</v>
      </c>
      <c r="BU3" s="86" t="s">
        <v>20</v>
      </c>
      <c r="BV3" s="84" t="s">
        <v>18</v>
      </c>
      <c r="BW3" s="85" t="s">
        <v>19</v>
      </c>
      <c r="BX3" s="86" t="s">
        <v>20</v>
      </c>
      <c r="BY3" s="84" t="s">
        <v>18</v>
      </c>
      <c r="BZ3" s="85" t="s">
        <v>19</v>
      </c>
      <c r="CA3" s="86" t="s">
        <v>20</v>
      </c>
      <c r="CB3" s="84" t="s">
        <v>18</v>
      </c>
      <c r="CC3" s="85" t="s">
        <v>19</v>
      </c>
      <c r="CD3" s="86" t="s">
        <v>20</v>
      </c>
      <c r="CE3" s="84" t="s">
        <v>18</v>
      </c>
      <c r="CF3" s="85" t="s">
        <v>19</v>
      </c>
      <c r="CG3" s="86" t="s">
        <v>20</v>
      </c>
      <c r="CH3" s="84" t="s">
        <v>18</v>
      </c>
      <c r="CI3" s="85" t="s">
        <v>19</v>
      </c>
      <c r="CJ3" s="86" t="s">
        <v>20</v>
      </c>
      <c r="CK3" s="84" t="s">
        <v>18</v>
      </c>
      <c r="CL3" s="85" t="s">
        <v>19</v>
      </c>
      <c r="CM3" s="86" t="s">
        <v>20</v>
      </c>
      <c r="CN3" s="84" t="s">
        <v>18</v>
      </c>
      <c r="CO3" s="85" t="s">
        <v>19</v>
      </c>
      <c r="CP3" s="86" t="s">
        <v>20</v>
      </c>
      <c r="CQ3" s="84" t="s">
        <v>18</v>
      </c>
      <c r="CR3" s="85" t="s">
        <v>19</v>
      </c>
      <c r="CS3" s="86" t="s">
        <v>20</v>
      </c>
      <c r="CT3" s="84" t="s">
        <v>18</v>
      </c>
      <c r="CU3" s="85" t="s">
        <v>19</v>
      </c>
      <c r="CV3" s="86" t="s">
        <v>20</v>
      </c>
      <c r="CW3" s="84" t="s">
        <v>18</v>
      </c>
      <c r="CX3" s="85" t="s">
        <v>19</v>
      </c>
      <c r="CY3" s="86" t="s">
        <v>20</v>
      </c>
    </row>
    <row r="4" spans="1:103" x14ac:dyDescent="0.3">
      <c r="A4" s="41">
        <v>2001</v>
      </c>
      <c r="B4" s="81">
        <v>8850</v>
      </c>
      <c r="C4" s="82">
        <v>10620</v>
      </c>
      <c r="D4" s="88">
        <v>12390</v>
      </c>
      <c r="E4" s="82"/>
      <c r="F4" s="82"/>
      <c r="G4" s="88"/>
      <c r="H4" s="81"/>
      <c r="I4" s="82"/>
      <c r="J4" s="88"/>
      <c r="K4" s="81"/>
      <c r="L4" s="82"/>
      <c r="M4" s="88"/>
      <c r="N4" s="81"/>
      <c r="O4" s="82"/>
      <c r="P4" s="88"/>
      <c r="Q4" s="81"/>
      <c r="R4" s="82"/>
      <c r="S4" s="88"/>
      <c r="T4" s="81"/>
      <c r="U4" s="82"/>
      <c r="V4" s="88"/>
      <c r="W4" s="81"/>
      <c r="X4" s="82"/>
      <c r="Y4" s="88"/>
      <c r="Z4" s="81"/>
      <c r="AA4" s="82"/>
      <c r="AB4" s="88"/>
      <c r="AC4" s="81"/>
      <c r="AD4" s="82"/>
      <c r="AE4" s="88"/>
      <c r="AF4" s="81"/>
      <c r="AG4" s="82"/>
      <c r="AH4" s="88"/>
      <c r="AI4" s="81"/>
      <c r="AJ4" s="82"/>
      <c r="AK4" s="88"/>
      <c r="AL4" s="81"/>
      <c r="AM4" s="82"/>
      <c r="AN4" s="88"/>
      <c r="AO4" s="81"/>
      <c r="AP4" s="82"/>
      <c r="AQ4" s="88"/>
      <c r="AR4" s="81"/>
      <c r="AS4" s="82"/>
      <c r="AT4" s="88"/>
      <c r="AU4" s="81"/>
      <c r="AV4" s="82"/>
      <c r="AW4" s="88"/>
      <c r="AX4" s="81"/>
      <c r="AY4" s="82"/>
      <c r="AZ4" s="88"/>
      <c r="BA4" s="81"/>
      <c r="BB4" s="82"/>
      <c r="BC4" s="88"/>
      <c r="BD4" s="81"/>
      <c r="BE4" s="82"/>
      <c r="BF4" s="88"/>
      <c r="BG4" s="81"/>
      <c r="BH4" s="82"/>
      <c r="BI4" s="88"/>
      <c r="BJ4" s="81"/>
      <c r="BK4" s="82"/>
      <c r="BL4" s="88"/>
      <c r="BM4" s="81"/>
      <c r="BN4" s="82"/>
      <c r="BO4" s="88"/>
      <c r="BP4" s="81"/>
      <c r="BQ4" s="82"/>
      <c r="BR4" s="88"/>
      <c r="BS4" s="81"/>
      <c r="BT4" s="82"/>
      <c r="BU4" s="88"/>
      <c r="BV4" s="81"/>
      <c r="BW4" s="82"/>
      <c r="BX4" s="88"/>
      <c r="BY4" s="81"/>
      <c r="BZ4" s="82"/>
      <c r="CA4" s="88"/>
      <c r="CB4" s="81"/>
      <c r="CC4" s="82"/>
      <c r="CD4" s="88"/>
      <c r="CE4" s="81"/>
      <c r="CF4" s="82"/>
      <c r="CG4" s="88"/>
      <c r="CH4" s="81"/>
      <c r="CI4" s="82"/>
      <c r="CJ4" s="88"/>
      <c r="CK4" s="81"/>
      <c r="CL4" s="82"/>
      <c r="CM4" s="88"/>
      <c r="CN4" s="81"/>
      <c r="CO4" s="82"/>
      <c r="CP4" s="88"/>
      <c r="CQ4" s="81"/>
      <c r="CR4" s="82"/>
      <c r="CS4" s="88"/>
      <c r="CT4" s="81"/>
      <c r="CU4" s="82"/>
      <c r="CV4" s="88"/>
      <c r="CW4" s="81"/>
      <c r="CX4" s="82"/>
      <c r="CY4" s="88"/>
    </row>
    <row r="5" spans="1:103" x14ac:dyDescent="0.3">
      <c r="A5" s="41">
        <v>2002</v>
      </c>
      <c r="B5" s="83"/>
      <c r="C5" s="1"/>
      <c r="D5" s="89"/>
      <c r="E5" s="1">
        <v>8850</v>
      </c>
      <c r="F5" s="1">
        <v>10620</v>
      </c>
      <c r="G5" s="89">
        <v>12390</v>
      </c>
      <c r="H5" s="83"/>
      <c r="I5" s="1"/>
      <c r="J5" s="89"/>
      <c r="K5" s="83"/>
      <c r="L5" s="1"/>
      <c r="M5" s="89"/>
      <c r="N5" s="83"/>
      <c r="O5" s="1"/>
      <c r="P5" s="89"/>
      <c r="Q5" s="83"/>
      <c r="R5" s="1"/>
      <c r="S5" s="89"/>
      <c r="T5" s="83"/>
      <c r="U5" s="1"/>
      <c r="V5" s="89"/>
      <c r="W5" s="83"/>
      <c r="X5" s="1"/>
      <c r="Y5" s="89"/>
      <c r="Z5" s="83"/>
      <c r="AA5" s="1"/>
      <c r="AB5" s="89"/>
      <c r="AC5" s="83"/>
      <c r="AD5" s="1"/>
      <c r="AE5" s="89"/>
      <c r="AF5" s="83"/>
      <c r="AG5" s="1"/>
      <c r="AH5" s="89"/>
      <c r="AI5" s="83"/>
      <c r="AJ5" s="1"/>
      <c r="AK5" s="89"/>
      <c r="AL5" s="83"/>
      <c r="AM5" s="1"/>
      <c r="AN5" s="89"/>
      <c r="AO5" s="83"/>
      <c r="AP5" s="1"/>
      <c r="AQ5" s="89"/>
      <c r="AR5" s="83"/>
      <c r="AS5" s="1"/>
      <c r="AT5" s="89"/>
      <c r="AU5" s="83"/>
      <c r="AV5" s="1"/>
      <c r="AW5" s="89"/>
      <c r="AX5" s="83"/>
      <c r="AY5" s="1"/>
      <c r="AZ5" s="89"/>
      <c r="BA5" s="83"/>
      <c r="BB5" s="1"/>
      <c r="BC5" s="89"/>
      <c r="BD5" s="83"/>
      <c r="BE5" s="1"/>
      <c r="BF5" s="89"/>
      <c r="BG5" s="83"/>
      <c r="BH5" s="1"/>
      <c r="BI5" s="89"/>
      <c r="BJ5" s="83"/>
      <c r="BK5" s="1"/>
      <c r="BL5" s="89"/>
      <c r="BM5" s="83"/>
      <c r="BN5" s="1"/>
      <c r="BO5" s="89"/>
      <c r="BP5" s="83"/>
      <c r="BQ5" s="1"/>
      <c r="BR5" s="89"/>
      <c r="BS5" s="83"/>
      <c r="BT5" s="1"/>
      <c r="BU5" s="89"/>
      <c r="BV5" s="83"/>
      <c r="BW5" s="1"/>
      <c r="BX5" s="89"/>
      <c r="BY5" s="83"/>
      <c r="BZ5" s="1"/>
      <c r="CA5" s="89"/>
      <c r="CB5" s="83"/>
      <c r="CC5" s="1"/>
      <c r="CD5" s="89"/>
      <c r="CE5" s="83"/>
      <c r="CF5" s="1"/>
      <c r="CG5" s="89"/>
      <c r="CH5" s="83"/>
      <c r="CI5" s="1"/>
      <c r="CJ5" s="89"/>
      <c r="CK5" s="83"/>
      <c r="CL5" s="1"/>
      <c r="CM5" s="89"/>
      <c r="CN5" s="83"/>
      <c r="CO5" s="1"/>
      <c r="CP5" s="89"/>
      <c r="CQ5" s="83"/>
      <c r="CR5" s="1"/>
      <c r="CS5" s="89"/>
      <c r="CT5" s="83"/>
      <c r="CU5" s="1"/>
      <c r="CV5" s="89"/>
      <c r="CW5" s="83"/>
      <c r="CX5" s="1"/>
      <c r="CY5" s="89"/>
    </row>
    <row r="6" spans="1:103" x14ac:dyDescent="0.3">
      <c r="A6" s="41">
        <v>2003</v>
      </c>
      <c r="B6" s="83"/>
      <c r="C6" s="1"/>
      <c r="D6" s="89"/>
      <c r="E6" s="1"/>
      <c r="F6" s="1"/>
      <c r="G6" s="89"/>
      <c r="H6" s="83"/>
      <c r="I6" s="1">
        <v>10344.3048</v>
      </c>
      <c r="J6" s="89"/>
      <c r="K6" s="83"/>
      <c r="L6" s="1"/>
      <c r="M6" s="89"/>
      <c r="N6" s="83"/>
      <c r="O6" s="1"/>
      <c r="P6" s="89"/>
      <c r="Q6" s="83"/>
      <c r="R6" s="1"/>
      <c r="S6" s="89"/>
      <c r="T6" s="83"/>
      <c r="U6" s="1"/>
      <c r="V6" s="89"/>
      <c r="W6" s="83"/>
      <c r="X6" s="1"/>
      <c r="Y6" s="89"/>
      <c r="Z6" s="83"/>
      <c r="AA6" s="1"/>
      <c r="AB6" s="89"/>
      <c r="AC6" s="83"/>
      <c r="AD6" s="1"/>
      <c r="AE6" s="89"/>
      <c r="AF6" s="83"/>
      <c r="AG6" s="1"/>
      <c r="AH6" s="89"/>
      <c r="AI6" s="83"/>
      <c r="AJ6" s="1"/>
      <c r="AK6" s="89"/>
      <c r="AL6" s="83"/>
      <c r="AM6" s="1"/>
      <c r="AN6" s="89"/>
      <c r="AO6" s="83"/>
      <c r="AP6" s="1"/>
      <c r="AQ6" s="89"/>
      <c r="AR6" s="83"/>
      <c r="AS6" s="1"/>
      <c r="AT6" s="89"/>
      <c r="AU6" s="83"/>
      <c r="AV6" s="1"/>
      <c r="AW6" s="89"/>
      <c r="AX6" s="83"/>
      <c r="AY6" s="1"/>
      <c r="AZ6" s="89"/>
      <c r="BA6" s="83"/>
      <c r="BB6" s="1"/>
      <c r="BC6" s="89"/>
      <c r="BD6" s="83"/>
      <c r="BE6" s="1"/>
      <c r="BF6" s="89"/>
      <c r="BG6" s="83"/>
      <c r="BH6" s="1"/>
      <c r="BI6" s="89"/>
      <c r="BJ6" s="83"/>
      <c r="BK6" s="1"/>
      <c r="BL6" s="89"/>
      <c r="BM6" s="83"/>
      <c r="BN6" s="1"/>
      <c r="BO6" s="89"/>
      <c r="BP6" s="83"/>
      <c r="BQ6" s="1"/>
      <c r="BR6" s="89"/>
      <c r="BS6" s="83"/>
      <c r="BT6" s="1"/>
      <c r="BU6" s="89"/>
      <c r="BV6" s="83"/>
      <c r="BW6" s="1"/>
      <c r="BX6" s="89"/>
      <c r="BY6" s="83"/>
      <c r="BZ6" s="1"/>
      <c r="CA6" s="89"/>
      <c r="CB6" s="83"/>
      <c r="CC6" s="1"/>
      <c r="CD6" s="89"/>
      <c r="CE6" s="83"/>
      <c r="CF6" s="1"/>
      <c r="CG6" s="89"/>
      <c r="CH6" s="83"/>
      <c r="CI6" s="1"/>
      <c r="CJ6" s="89"/>
      <c r="CK6" s="83"/>
      <c r="CL6" s="1"/>
      <c r="CM6" s="89"/>
      <c r="CN6" s="83"/>
      <c r="CO6" s="1"/>
      <c r="CP6" s="89"/>
      <c r="CQ6" s="83"/>
      <c r="CR6" s="1"/>
      <c r="CS6" s="89"/>
      <c r="CT6" s="83"/>
      <c r="CU6" s="1"/>
      <c r="CV6" s="89"/>
      <c r="CW6" s="83"/>
      <c r="CX6" s="1"/>
      <c r="CY6" s="89"/>
    </row>
    <row r="7" spans="1:103" x14ac:dyDescent="0.3">
      <c r="A7" s="41">
        <v>2004</v>
      </c>
      <c r="B7" s="83"/>
      <c r="C7" s="1"/>
      <c r="D7" s="89"/>
      <c r="E7" s="1"/>
      <c r="F7" s="1"/>
      <c r="G7" s="89"/>
      <c r="H7" s="83"/>
      <c r="I7" s="1"/>
      <c r="J7" s="89"/>
      <c r="K7" s="83"/>
      <c r="L7">
        <v>10476.7572</v>
      </c>
      <c r="M7" s="89"/>
      <c r="N7" s="83"/>
      <c r="O7" s="1"/>
      <c r="P7" s="89"/>
      <c r="Q7" s="83"/>
      <c r="R7" s="1"/>
      <c r="S7" s="89"/>
      <c r="T7" s="83"/>
      <c r="U7" s="1"/>
      <c r="V7" s="89"/>
      <c r="W7" s="83"/>
      <c r="X7" s="1"/>
      <c r="Y7" s="89"/>
      <c r="Z7" s="83"/>
      <c r="AA7" s="1"/>
      <c r="AB7" s="89"/>
      <c r="AC7" s="83"/>
      <c r="AD7" s="1"/>
      <c r="AE7" s="89"/>
      <c r="AF7" s="83"/>
      <c r="AG7" s="1"/>
      <c r="AH7" s="89"/>
      <c r="AI7" s="83"/>
      <c r="AJ7" s="1"/>
      <c r="AK7" s="89"/>
      <c r="AL7" s="83"/>
      <c r="AM7" s="1"/>
      <c r="AN7" s="89"/>
      <c r="AO7" s="83"/>
      <c r="AP7" s="1"/>
      <c r="AQ7" s="89"/>
      <c r="AR7" s="83"/>
      <c r="AS7" s="1"/>
      <c r="AT7" s="89"/>
      <c r="AU7" s="83"/>
      <c r="AV7" s="1"/>
      <c r="AW7" s="89"/>
      <c r="AX7" s="83"/>
      <c r="AY7" s="1"/>
      <c r="AZ7" s="89"/>
      <c r="BA7" s="83"/>
      <c r="BB7" s="1"/>
      <c r="BC7" s="89"/>
      <c r="BD7" s="83"/>
      <c r="BE7" s="1"/>
      <c r="BF7" s="89"/>
      <c r="BG7" s="83"/>
      <c r="BH7" s="1"/>
      <c r="BI7" s="89"/>
      <c r="BJ7" s="83"/>
      <c r="BK7" s="1"/>
      <c r="BL7" s="89"/>
      <c r="BM7" s="83"/>
      <c r="BN7" s="1"/>
      <c r="BO7" s="89"/>
      <c r="BP7" s="83"/>
      <c r="BQ7" s="1"/>
      <c r="BR7" s="89"/>
      <c r="BS7" s="83"/>
      <c r="BT7" s="1"/>
      <c r="BU7" s="89"/>
      <c r="BV7" s="83"/>
      <c r="BW7" s="1"/>
      <c r="BX7" s="89"/>
      <c r="BY7" s="83"/>
      <c r="BZ7" s="1"/>
      <c r="CA7" s="89"/>
      <c r="CB7" s="83"/>
      <c r="CC7" s="1"/>
      <c r="CD7" s="89"/>
      <c r="CE7" s="83"/>
      <c r="CF7" s="1"/>
      <c r="CG7" s="89"/>
      <c r="CH7" s="83"/>
      <c r="CI7" s="1"/>
      <c r="CJ7" s="89"/>
      <c r="CK7" s="83"/>
      <c r="CL7" s="1"/>
      <c r="CM7" s="89"/>
      <c r="CN7" s="83"/>
      <c r="CO7" s="1"/>
      <c r="CP7" s="89"/>
      <c r="CQ7" s="83"/>
      <c r="CR7" s="1"/>
      <c r="CS7" s="89"/>
      <c r="CT7" s="83"/>
      <c r="CU7" s="1"/>
      <c r="CV7" s="89"/>
      <c r="CW7" s="83"/>
      <c r="CX7" s="1"/>
      <c r="CY7" s="89"/>
    </row>
    <row r="8" spans="1:103" x14ac:dyDescent="0.3">
      <c r="A8" s="41">
        <v>2005</v>
      </c>
      <c r="B8" s="83"/>
      <c r="C8" s="1"/>
      <c r="D8" s="89"/>
      <c r="E8" s="1"/>
      <c r="F8" s="1"/>
      <c r="G8" s="89"/>
      <c r="H8" s="83"/>
      <c r="I8" s="1"/>
      <c r="J8" s="89"/>
      <c r="K8" s="83"/>
      <c r="L8" s="1"/>
      <c r="M8" s="89"/>
      <c r="N8" s="83"/>
      <c r="O8" s="1"/>
      <c r="P8" s="89"/>
      <c r="Q8" s="83"/>
      <c r="R8">
        <v>8809.2599000000009</v>
      </c>
      <c r="S8" s="89"/>
      <c r="T8" s="83"/>
      <c r="U8" s="1"/>
      <c r="V8" s="89"/>
      <c r="W8" s="83"/>
      <c r="X8" s="1"/>
      <c r="Y8" s="89"/>
      <c r="Z8" s="83"/>
      <c r="AA8" s="1"/>
      <c r="AB8" s="89"/>
      <c r="AC8" s="83"/>
      <c r="AD8" s="1"/>
      <c r="AE8" s="89"/>
      <c r="AF8" s="83"/>
      <c r="AG8" s="1"/>
      <c r="AH8" s="89"/>
      <c r="AI8" s="83"/>
      <c r="AJ8" s="1"/>
      <c r="AK8" s="89"/>
      <c r="AL8" s="83"/>
      <c r="AM8" s="1"/>
      <c r="AN8" s="89"/>
      <c r="AO8" s="83"/>
      <c r="AP8" s="1"/>
      <c r="AQ8" s="89"/>
      <c r="AR8" s="83"/>
      <c r="AS8" s="1"/>
      <c r="AT8" s="89"/>
      <c r="AU8" s="83"/>
      <c r="AV8" s="1"/>
      <c r="AW8" s="89"/>
      <c r="AX8" s="83"/>
      <c r="AY8" s="1"/>
      <c r="AZ8" s="89"/>
      <c r="BA8" s="83"/>
      <c r="BB8" s="1"/>
      <c r="BC8" s="89"/>
      <c r="BD8" s="83"/>
      <c r="BE8" s="1"/>
      <c r="BF8" s="89"/>
      <c r="BG8" s="83"/>
      <c r="BH8" s="1"/>
      <c r="BI8" s="89"/>
      <c r="BJ8" s="83"/>
      <c r="BK8" s="1"/>
      <c r="BL8" s="89"/>
      <c r="BM8" s="83"/>
      <c r="BN8" s="1"/>
      <c r="BO8" s="89"/>
      <c r="BP8" s="83"/>
      <c r="BQ8" s="1"/>
      <c r="BR8" s="89"/>
      <c r="BS8" s="83"/>
      <c r="BT8" s="1"/>
      <c r="BU8" s="89"/>
      <c r="BV8" s="83"/>
      <c r="BW8" s="1"/>
      <c r="BX8" s="89"/>
      <c r="BY8" s="83"/>
      <c r="BZ8" s="1"/>
      <c r="CA8" s="89"/>
      <c r="CB8" s="83"/>
      <c r="CC8" s="1"/>
      <c r="CD8" s="89"/>
      <c r="CE8" s="83"/>
      <c r="CF8" s="1"/>
      <c r="CG8" s="89"/>
      <c r="CH8" s="83"/>
      <c r="CI8" s="1"/>
      <c r="CJ8" s="89"/>
      <c r="CK8" s="83"/>
      <c r="CL8" s="1"/>
      <c r="CM8" s="89"/>
      <c r="CN8" s="83"/>
      <c r="CO8" s="1"/>
      <c r="CP8" s="89"/>
      <c r="CQ8" s="83"/>
      <c r="CR8" s="1"/>
      <c r="CS8" s="89"/>
      <c r="CT8" s="83"/>
      <c r="CU8" s="1"/>
      <c r="CV8" s="89"/>
      <c r="CW8" s="83"/>
      <c r="CX8" s="1"/>
      <c r="CY8" s="89"/>
    </row>
    <row r="9" spans="1:103" x14ac:dyDescent="0.3">
      <c r="A9" s="41">
        <v>2006</v>
      </c>
      <c r="B9" s="83"/>
      <c r="C9" s="1"/>
      <c r="D9" s="89"/>
      <c r="E9" s="1"/>
      <c r="F9" s="1"/>
      <c r="G9" s="89"/>
      <c r="H9" s="83"/>
      <c r="I9" s="1"/>
      <c r="J9" s="89"/>
      <c r="K9" s="83"/>
      <c r="L9" s="1"/>
      <c r="M9" s="89"/>
      <c r="N9" s="83"/>
      <c r="O9" s="1"/>
      <c r="P9" s="89"/>
      <c r="Q9" s="83"/>
      <c r="S9" s="89"/>
      <c r="T9" s="83"/>
      <c r="U9" s="1"/>
      <c r="V9" s="89"/>
      <c r="W9" s="83">
        <v>9610.7725000000009</v>
      </c>
      <c r="X9" s="1">
        <v>10412.189900000001</v>
      </c>
      <c r="Y9" s="89">
        <v>11213.6073</v>
      </c>
      <c r="Z9" s="83"/>
      <c r="AA9" s="1"/>
      <c r="AB9" s="89"/>
      <c r="AC9" s="83"/>
      <c r="AD9" s="1"/>
      <c r="AE9" s="89"/>
      <c r="AF9" s="83"/>
      <c r="AG9" s="1"/>
      <c r="AH9" s="89"/>
      <c r="AI9" s="83"/>
      <c r="AJ9" s="1"/>
      <c r="AK9" s="89"/>
      <c r="AL9" s="83"/>
      <c r="AM9" s="1"/>
      <c r="AN9" s="89"/>
      <c r="AO9" s="83"/>
      <c r="AP9" s="1"/>
      <c r="AQ9" s="89"/>
      <c r="AR9" s="83"/>
      <c r="AS9" s="1"/>
      <c r="AT9" s="89"/>
      <c r="AU9" s="83"/>
      <c r="AV9" s="1"/>
      <c r="AW9" s="89"/>
      <c r="AX9" s="83"/>
      <c r="AY9" s="1"/>
      <c r="AZ9" s="89"/>
      <c r="BA9" s="83"/>
      <c r="BB9" s="1"/>
      <c r="BC9" s="89"/>
      <c r="BD9" s="83"/>
      <c r="BE9" s="1"/>
      <c r="BF9" s="89"/>
      <c r="BG9" s="83"/>
      <c r="BH9" s="1"/>
      <c r="BI9" s="89"/>
      <c r="BJ9" s="83"/>
      <c r="BK9" s="1"/>
      <c r="BL9" s="89"/>
      <c r="BM9" s="83"/>
      <c r="BN9" s="1"/>
      <c r="BO9" s="89"/>
      <c r="BP9" s="83"/>
      <c r="BQ9" s="1"/>
      <c r="BR9" s="89"/>
      <c r="BS9" s="83"/>
      <c r="BT9" s="1"/>
      <c r="BU9" s="89"/>
      <c r="BV9" s="83"/>
      <c r="BW9" s="1"/>
      <c r="BX9" s="89"/>
      <c r="BY9" s="83"/>
      <c r="BZ9" s="1"/>
      <c r="CA9" s="89"/>
      <c r="CB9" s="83"/>
      <c r="CC9" s="1"/>
      <c r="CD9" s="89"/>
      <c r="CE9" s="83"/>
      <c r="CF9" s="1"/>
      <c r="CG9" s="89"/>
      <c r="CH9" s="83"/>
      <c r="CI9" s="1"/>
      <c r="CJ9" s="89"/>
      <c r="CK9" s="83"/>
      <c r="CL9" s="1"/>
      <c r="CM9" s="89"/>
      <c r="CN9" s="83"/>
      <c r="CO9" s="1"/>
      <c r="CP9" s="89"/>
      <c r="CQ9" s="83"/>
      <c r="CR9" s="1"/>
      <c r="CS9" s="89"/>
      <c r="CT9" s="83"/>
      <c r="CU9" s="1"/>
      <c r="CV9" s="89"/>
      <c r="CW9" s="83"/>
      <c r="CX9" s="1"/>
      <c r="CY9" s="89"/>
    </row>
    <row r="10" spans="1:103" x14ac:dyDescent="0.3">
      <c r="A10" s="41">
        <v>2007</v>
      </c>
      <c r="B10" s="83"/>
      <c r="C10" s="1"/>
      <c r="D10" s="89"/>
      <c r="E10" s="1"/>
      <c r="F10" s="1"/>
      <c r="G10" s="89"/>
      <c r="H10" s="83"/>
      <c r="I10" s="1"/>
      <c r="J10" s="89"/>
      <c r="K10" s="83"/>
      <c r="L10" s="1"/>
      <c r="M10" s="89"/>
      <c r="N10" s="83"/>
      <c r="O10" s="1"/>
      <c r="P10" s="89"/>
      <c r="Q10" s="83"/>
      <c r="R10" s="1"/>
      <c r="S10" s="89"/>
      <c r="T10" s="83"/>
      <c r="U10" s="1"/>
      <c r="V10" s="89"/>
      <c r="W10" s="83"/>
      <c r="X10" s="1"/>
      <c r="Y10" s="89"/>
      <c r="Z10" s="83"/>
      <c r="AA10" s="1"/>
      <c r="AB10" s="89"/>
      <c r="AC10" s="83"/>
      <c r="AD10" s="1"/>
      <c r="AE10" s="89"/>
      <c r="AF10" s="83"/>
      <c r="AG10" s="1"/>
      <c r="AH10" s="89"/>
      <c r="AI10" s="83"/>
      <c r="AJ10" s="1"/>
      <c r="AK10" s="89"/>
      <c r="AL10" s="83"/>
      <c r="AM10" s="1"/>
      <c r="AN10" s="89"/>
      <c r="AO10" s="83"/>
      <c r="AP10" s="1"/>
      <c r="AQ10" s="89"/>
      <c r="AR10" s="83"/>
      <c r="AS10" s="1"/>
      <c r="AT10" s="89"/>
      <c r="AU10" s="83"/>
      <c r="AV10" s="1"/>
      <c r="AW10" s="89"/>
      <c r="AX10" s="83"/>
      <c r="AY10" s="1"/>
      <c r="AZ10" s="89"/>
      <c r="BA10" s="83"/>
      <c r="BB10" s="1"/>
      <c r="BC10" s="89"/>
      <c r="BD10" s="83"/>
      <c r="BE10" s="1"/>
      <c r="BF10" s="89"/>
      <c r="BG10" s="83"/>
      <c r="BH10" s="1"/>
      <c r="BI10" s="89"/>
      <c r="BJ10" s="83"/>
      <c r="BK10" s="1"/>
      <c r="BL10" s="89"/>
      <c r="BM10" s="83"/>
      <c r="BN10" s="1"/>
      <c r="BO10" s="89"/>
      <c r="BP10" s="83"/>
      <c r="BQ10" s="1"/>
      <c r="BR10" s="89"/>
      <c r="BS10" s="83"/>
      <c r="BT10" s="1"/>
      <c r="BU10" s="89"/>
      <c r="BV10" s="83"/>
      <c r="BW10" s="1"/>
      <c r="BX10" s="89"/>
      <c r="BY10" s="83"/>
      <c r="BZ10" s="1"/>
      <c r="CA10" s="89"/>
      <c r="CB10" s="83"/>
      <c r="CC10" s="1"/>
      <c r="CD10" s="89"/>
      <c r="CE10" s="83"/>
      <c r="CF10" s="1"/>
      <c r="CG10" s="89"/>
      <c r="CH10" s="83"/>
      <c r="CI10" s="1"/>
      <c r="CJ10" s="89"/>
      <c r="CK10" s="83"/>
      <c r="CL10" s="1"/>
      <c r="CM10" s="89"/>
      <c r="CN10" s="83"/>
      <c r="CO10" s="1"/>
      <c r="CP10" s="89"/>
      <c r="CQ10" s="83"/>
      <c r="CR10" s="1"/>
      <c r="CS10" s="89"/>
      <c r="CT10" s="83"/>
      <c r="CU10" s="1"/>
      <c r="CV10" s="89"/>
      <c r="CW10" s="83"/>
      <c r="CX10" s="1"/>
      <c r="CY10" s="89"/>
    </row>
    <row r="11" spans="1:103" x14ac:dyDescent="0.3">
      <c r="A11" s="41">
        <v>2008</v>
      </c>
      <c r="B11" s="83"/>
      <c r="C11" s="1"/>
      <c r="D11" s="89"/>
      <c r="E11" s="1"/>
      <c r="F11" s="1"/>
      <c r="G11" s="89"/>
      <c r="H11" s="83"/>
      <c r="I11" s="1"/>
      <c r="J11" s="89"/>
      <c r="K11" s="83"/>
      <c r="L11" s="1"/>
      <c r="M11" s="89"/>
      <c r="N11" s="83"/>
      <c r="O11" s="1"/>
      <c r="P11" s="89"/>
      <c r="Q11" s="83"/>
      <c r="R11" s="1"/>
      <c r="S11" s="89"/>
      <c r="T11" s="83"/>
      <c r="U11" s="1"/>
      <c r="V11" s="89"/>
      <c r="W11" s="83"/>
      <c r="X11" s="1"/>
      <c r="Y11" s="89"/>
      <c r="Z11" s="83">
        <v>8365.7999999999993</v>
      </c>
      <c r="AA11" s="1">
        <v>9146.9</v>
      </c>
      <c r="AB11" s="89">
        <v>9928</v>
      </c>
      <c r="AC11" s="83"/>
      <c r="AD11" s="1"/>
      <c r="AE11" s="89"/>
      <c r="AF11" s="83"/>
      <c r="AG11" s="1"/>
      <c r="AH11" s="89"/>
      <c r="AI11" s="83"/>
      <c r="AJ11" s="1"/>
      <c r="AK11" s="89"/>
      <c r="AL11" s="83"/>
      <c r="AM11" s="1"/>
      <c r="AN11" s="89"/>
      <c r="AO11" s="83"/>
      <c r="AP11" s="1"/>
      <c r="AQ11" s="89"/>
      <c r="AR11" s="83"/>
      <c r="AS11" s="1"/>
      <c r="AT11" s="89"/>
      <c r="AU11" s="83"/>
      <c r="AV11" s="1"/>
      <c r="AW11" s="89"/>
      <c r="AX11" s="83"/>
      <c r="AY11" s="1"/>
      <c r="AZ11" s="89"/>
      <c r="BA11" s="83"/>
      <c r="BB11" s="1"/>
      <c r="BC11" s="89"/>
      <c r="BD11" s="83"/>
      <c r="BE11" s="1"/>
      <c r="BF11" s="89"/>
      <c r="BG11" s="83"/>
      <c r="BH11" s="1"/>
      <c r="BI11" s="89"/>
      <c r="BJ11" s="83"/>
      <c r="BK11" s="1"/>
      <c r="BL11" s="89"/>
      <c r="BM11" s="83"/>
      <c r="BN11" s="1"/>
      <c r="BO11" s="89"/>
      <c r="BP11" s="83"/>
      <c r="BQ11" s="1"/>
      <c r="BR11" s="89"/>
      <c r="BS11" s="83"/>
      <c r="BT11" s="1"/>
      <c r="BU11" s="89"/>
      <c r="BV11" s="83"/>
      <c r="BW11" s="1"/>
      <c r="BX11" s="89"/>
      <c r="BY11" s="83"/>
      <c r="BZ11" s="1"/>
      <c r="CA11" s="89"/>
      <c r="CB11" s="83"/>
      <c r="CC11" s="1"/>
      <c r="CD11" s="89"/>
      <c r="CE11" s="83"/>
      <c r="CF11" s="1"/>
      <c r="CG11" s="89"/>
      <c r="CH11" s="83"/>
      <c r="CI11" s="1"/>
      <c r="CJ11" s="89"/>
      <c r="CK11" s="83"/>
      <c r="CL11" s="1"/>
      <c r="CM11" s="89"/>
      <c r="CN11" s="83"/>
      <c r="CO11" s="1"/>
      <c r="CP11" s="89"/>
      <c r="CQ11" s="83"/>
      <c r="CR11" s="1"/>
      <c r="CS11" s="89"/>
      <c r="CT11" s="83"/>
      <c r="CU11" s="1"/>
      <c r="CV11" s="89"/>
      <c r="CW11" s="83"/>
      <c r="CX11" s="1"/>
      <c r="CY11" s="89"/>
    </row>
    <row r="12" spans="1:103" x14ac:dyDescent="0.3">
      <c r="A12" s="41">
        <v>2009</v>
      </c>
      <c r="B12" s="83"/>
      <c r="C12" s="1"/>
      <c r="D12" s="89"/>
      <c r="E12" s="1"/>
      <c r="F12" s="1"/>
      <c r="G12" s="89"/>
      <c r="H12" s="83"/>
      <c r="I12" s="1"/>
      <c r="J12" s="89"/>
      <c r="K12" s="83"/>
      <c r="L12" s="1"/>
      <c r="M12" s="89"/>
      <c r="N12" s="83"/>
      <c r="O12" s="1"/>
      <c r="P12" s="89"/>
      <c r="Q12" s="83"/>
      <c r="R12" s="1"/>
      <c r="S12" s="89"/>
      <c r="T12" s="83"/>
      <c r="U12" s="1"/>
      <c r="V12" s="89"/>
      <c r="W12" s="83"/>
      <c r="X12" s="1"/>
      <c r="Y12" s="89"/>
      <c r="Z12" s="83"/>
      <c r="AA12" s="1"/>
      <c r="AB12" s="89"/>
      <c r="AC12" s="83"/>
      <c r="AD12" s="1"/>
      <c r="AE12" s="89"/>
      <c r="AF12" s="83"/>
      <c r="AG12" s="1"/>
      <c r="AH12" s="89"/>
      <c r="AI12" s="83"/>
      <c r="AJ12" s="1"/>
      <c r="AK12" s="89"/>
      <c r="AL12" s="83"/>
      <c r="AM12" s="1"/>
      <c r="AN12" s="89"/>
      <c r="AO12" s="83"/>
      <c r="AP12" s="1"/>
      <c r="AQ12" s="89"/>
      <c r="AR12" s="83"/>
      <c r="AS12" s="1"/>
      <c r="AT12" s="89"/>
      <c r="AU12" s="83"/>
      <c r="AV12" s="1"/>
      <c r="AW12" s="89"/>
      <c r="AX12" s="83"/>
      <c r="AY12" s="1"/>
      <c r="AZ12" s="89"/>
      <c r="BA12" s="83"/>
      <c r="BB12" s="1"/>
      <c r="BC12" s="89"/>
      <c r="BD12" s="83"/>
      <c r="BE12" s="1"/>
      <c r="BF12" s="89"/>
      <c r="BG12" s="83"/>
      <c r="BH12" s="1"/>
      <c r="BI12" s="89"/>
      <c r="BJ12" s="83"/>
      <c r="BK12" s="1"/>
      <c r="BL12" s="89"/>
      <c r="BM12" s="83"/>
      <c r="BN12" s="1"/>
      <c r="BO12" s="89"/>
      <c r="BP12" s="83"/>
      <c r="BQ12" s="1"/>
      <c r="BR12" s="89"/>
      <c r="BS12" s="83"/>
      <c r="BT12" s="1"/>
      <c r="BU12" s="89"/>
      <c r="BV12" s="83"/>
      <c r="BW12" s="1"/>
      <c r="BX12" s="89"/>
      <c r="BY12" s="83"/>
      <c r="BZ12" s="1"/>
      <c r="CA12" s="89"/>
      <c r="CB12" s="83"/>
      <c r="CC12" s="1"/>
      <c r="CD12" s="89"/>
      <c r="CE12" s="83"/>
      <c r="CF12" s="1"/>
      <c r="CG12" s="89"/>
      <c r="CH12" s="83"/>
      <c r="CI12" s="1"/>
      <c r="CJ12" s="89"/>
      <c r="CK12" s="83"/>
      <c r="CL12" s="1"/>
      <c r="CM12" s="89"/>
      <c r="CN12" s="83"/>
      <c r="CO12" s="1"/>
      <c r="CP12" s="89"/>
      <c r="CQ12" s="83"/>
      <c r="CR12" s="1"/>
      <c r="CS12" s="89"/>
      <c r="CT12" s="83"/>
      <c r="CU12" s="1"/>
      <c r="CV12" s="89"/>
      <c r="CW12" s="83"/>
      <c r="CX12" s="1"/>
      <c r="CY12" s="89"/>
    </row>
    <row r="13" spans="1:103" x14ac:dyDescent="0.3">
      <c r="A13" s="41">
        <v>2010</v>
      </c>
      <c r="B13" s="83"/>
      <c r="C13" s="1"/>
      <c r="D13" s="89"/>
      <c r="E13" s="1"/>
      <c r="F13" s="1"/>
      <c r="G13" s="89"/>
      <c r="H13" s="83"/>
      <c r="I13" s="1"/>
      <c r="J13" s="89"/>
      <c r="K13" s="83"/>
      <c r="L13" s="1"/>
      <c r="M13" s="89"/>
      <c r="N13" s="83"/>
      <c r="O13" s="1"/>
      <c r="P13" s="89"/>
      <c r="Q13" s="83"/>
      <c r="R13" s="1"/>
      <c r="S13" s="89"/>
      <c r="T13" s="83"/>
      <c r="U13" s="1"/>
      <c r="V13" s="89"/>
      <c r="W13" s="83"/>
      <c r="X13" s="1"/>
      <c r="Y13" s="89"/>
      <c r="Z13" s="83"/>
      <c r="AA13" s="1"/>
      <c r="AB13" s="89"/>
      <c r="AC13" s="83">
        <v>4314.1428000000005</v>
      </c>
      <c r="AD13" s="1">
        <v>5666.3376000000007</v>
      </c>
      <c r="AE13" s="89">
        <v>7018.5324000000001</v>
      </c>
      <c r="AF13" s="83"/>
      <c r="AG13" s="1"/>
      <c r="AH13" s="89"/>
      <c r="AI13" s="83"/>
      <c r="AJ13" s="1"/>
      <c r="AK13" s="89"/>
      <c r="AL13" s="83"/>
      <c r="AM13" s="1"/>
      <c r="AN13" s="89"/>
      <c r="AO13" s="83"/>
      <c r="AP13" s="1"/>
      <c r="AQ13" s="89"/>
      <c r="AR13" s="83"/>
      <c r="AS13" s="1"/>
      <c r="AT13" s="89"/>
      <c r="AU13" s="83"/>
      <c r="AV13" s="1"/>
      <c r="AW13" s="89"/>
      <c r="AX13" s="83"/>
      <c r="AY13" s="1"/>
      <c r="AZ13" s="89"/>
      <c r="BA13" s="83"/>
      <c r="BB13" s="1"/>
      <c r="BC13" s="89"/>
      <c r="BD13" s="83"/>
      <c r="BE13" s="1"/>
      <c r="BF13" s="89"/>
      <c r="BG13" s="83"/>
      <c r="BH13" s="1"/>
      <c r="BI13" s="89"/>
      <c r="BJ13" s="83"/>
      <c r="BK13" s="1"/>
      <c r="BL13" s="89"/>
      <c r="BM13" s="83"/>
      <c r="BN13" s="1"/>
      <c r="BO13" s="89"/>
      <c r="BP13" s="83"/>
      <c r="BQ13" s="1"/>
      <c r="BR13" s="89"/>
      <c r="BS13" s="83"/>
      <c r="BT13" s="1"/>
      <c r="BU13" s="89"/>
      <c r="BV13" s="83"/>
      <c r="BW13" s="1"/>
      <c r="BX13" s="89"/>
      <c r="BY13" s="83"/>
      <c r="BZ13" s="1"/>
      <c r="CA13" s="89"/>
      <c r="CB13" s="83"/>
      <c r="CC13" s="1"/>
      <c r="CD13" s="89"/>
      <c r="CE13" s="83"/>
      <c r="CF13" s="1"/>
      <c r="CG13" s="89"/>
      <c r="CH13" s="83"/>
      <c r="CI13" s="1"/>
      <c r="CJ13" s="89"/>
      <c r="CK13" s="83"/>
      <c r="CL13" s="1"/>
      <c r="CM13" s="89"/>
      <c r="CN13" s="83"/>
      <c r="CO13" s="1"/>
      <c r="CP13" s="89"/>
      <c r="CQ13" s="83"/>
      <c r="CR13" s="1"/>
      <c r="CS13" s="89"/>
      <c r="CT13" s="83"/>
      <c r="CU13" s="1"/>
      <c r="CV13" s="89"/>
      <c r="CW13" s="83"/>
      <c r="CX13" s="1"/>
      <c r="CY13" s="89"/>
    </row>
    <row r="14" spans="1:103" x14ac:dyDescent="0.3">
      <c r="A14" s="41">
        <v>2011</v>
      </c>
      <c r="B14" s="83"/>
      <c r="C14" s="1"/>
      <c r="D14" s="89"/>
      <c r="E14" s="1"/>
      <c r="F14" s="1"/>
      <c r="G14" s="89"/>
      <c r="H14" s="83"/>
      <c r="I14" s="1"/>
      <c r="J14" s="89"/>
      <c r="K14" s="83"/>
      <c r="L14" s="1"/>
      <c r="M14" s="89"/>
      <c r="N14" s="83"/>
      <c r="O14" s="1"/>
      <c r="P14" s="89"/>
      <c r="Q14" s="83"/>
      <c r="R14" s="1"/>
      <c r="S14" s="89"/>
      <c r="T14" s="83"/>
      <c r="U14" s="1"/>
      <c r="V14" s="89"/>
      <c r="W14" s="83"/>
      <c r="X14" s="1"/>
      <c r="Y14" s="89"/>
      <c r="Z14" s="83"/>
      <c r="AA14" s="1"/>
      <c r="AB14" s="89"/>
      <c r="AC14" s="83">
        <v>3605.8572000000004</v>
      </c>
      <c r="AD14" s="1">
        <v>4646.8289999999997</v>
      </c>
      <c r="AE14" s="89">
        <v>5687.8008</v>
      </c>
      <c r="AF14" s="83"/>
      <c r="AG14" s="1"/>
      <c r="AH14" s="89"/>
      <c r="AI14" s="83"/>
      <c r="AJ14" s="1"/>
      <c r="AK14" s="89"/>
      <c r="AL14" s="83"/>
      <c r="AM14" s="1"/>
      <c r="AN14" s="89"/>
      <c r="AO14" s="83"/>
      <c r="AP14" s="1"/>
      <c r="AQ14" s="89"/>
      <c r="AR14" s="83"/>
      <c r="AS14" s="1"/>
      <c r="AT14" s="89"/>
      <c r="AU14" s="83"/>
      <c r="AV14" s="1"/>
      <c r="AW14" s="89"/>
      <c r="AX14" s="83"/>
      <c r="AY14" s="1"/>
      <c r="AZ14" s="89"/>
      <c r="BA14" s="83"/>
      <c r="BB14" s="1"/>
      <c r="BC14" s="89"/>
      <c r="BD14" s="83"/>
      <c r="BE14" s="1"/>
      <c r="BF14" s="89"/>
      <c r="BG14" s="83"/>
      <c r="BH14" s="1"/>
      <c r="BI14" s="89"/>
      <c r="BJ14" s="83"/>
      <c r="BK14" s="1"/>
      <c r="BL14" s="89"/>
      <c r="BM14" s="83"/>
      <c r="BN14" s="1"/>
      <c r="BO14" s="89"/>
      <c r="BP14" s="83"/>
      <c r="BQ14" s="1"/>
      <c r="BR14" s="89"/>
      <c r="BS14" s="83"/>
      <c r="BT14" s="1"/>
      <c r="BU14" s="89"/>
      <c r="BV14" s="83"/>
      <c r="BW14" s="1"/>
      <c r="BX14" s="89"/>
      <c r="BY14" s="83"/>
      <c r="BZ14" s="1"/>
      <c r="CA14" s="89"/>
      <c r="CB14" s="83"/>
      <c r="CC14" s="1"/>
      <c r="CD14" s="89"/>
      <c r="CE14" s="83"/>
      <c r="CF14" s="1"/>
      <c r="CG14" s="89"/>
      <c r="CH14" s="83"/>
      <c r="CI14" s="1"/>
      <c r="CJ14" s="89"/>
      <c r="CK14" s="83"/>
      <c r="CL14" s="1"/>
      <c r="CM14" s="89"/>
      <c r="CN14" s="83"/>
      <c r="CO14" s="1"/>
      <c r="CP14" s="89"/>
      <c r="CQ14" s="83"/>
      <c r="CR14" s="1"/>
      <c r="CS14" s="89"/>
      <c r="CT14" s="83"/>
      <c r="CU14" s="1"/>
      <c r="CV14" s="89"/>
      <c r="CW14" s="83"/>
      <c r="CX14" s="1"/>
      <c r="CY14" s="89"/>
    </row>
    <row r="15" spans="1:103" x14ac:dyDescent="0.3">
      <c r="A15" s="41">
        <v>2012</v>
      </c>
      <c r="B15" s="83"/>
      <c r="C15" s="1"/>
      <c r="D15" s="89"/>
      <c r="E15" s="1"/>
      <c r="F15" s="1"/>
      <c r="G15" s="89"/>
      <c r="H15" s="83"/>
      <c r="I15" s="1"/>
      <c r="J15" s="89"/>
      <c r="K15" s="83"/>
      <c r="L15" s="1"/>
      <c r="M15" s="89"/>
      <c r="N15" s="83"/>
      <c r="O15" s="1"/>
      <c r="P15" s="89"/>
      <c r="Q15" s="83"/>
      <c r="R15" s="1"/>
      <c r="S15" s="89"/>
      <c r="T15" s="83"/>
      <c r="U15" s="1"/>
      <c r="V15" s="89"/>
      <c r="W15" s="83"/>
      <c r="X15" s="1"/>
      <c r="Y15" s="89"/>
      <c r="Z15" s="83"/>
      <c r="AA15" s="1"/>
      <c r="AB15" s="89"/>
      <c r="AC15" s="83">
        <v>3176.58</v>
      </c>
      <c r="AD15" s="1">
        <v>3970.7316000000001</v>
      </c>
      <c r="AE15" s="89">
        <v>4764.8832000000002</v>
      </c>
      <c r="AF15" s="83"/>
      <c r="AG15" s="1"/>
      <c r="AH15" s="89"/>
      <c r="AI15" s="83"/>
      <c r="AJ15" s="1"/>
      <c r="AK15" s="89"/>
      <c r="AL15" s="83">
        <v>2055</v>
      </c>
      <c r="AM15" s="1">
        <v>3082.5</v>
      </c>
      <c r="AN15" s="89">
        <v>4110</v>
      </c>
      <c r="AO15" s="83"/>
      <c r="AP15" s="1"/>
      <c r="AQ15" s="89"/>
      <c r="AR15" s="83"/>
      <c r="AS15" s="1"/>
      <c r="AT15" s="89"/>
      <c r="AU15" s="83"/>
      <c r="AV15" s="1"/>
      <c r="AW15" s="89"/>
      <c r="AX15" s="83"/>
      <c r="AY15" s="1"/>
      <c r="AZ15" s="89"/>
      <c r="BA15" s="83"/>
      <c r="BB15" s="1"/>
      <c r="BC15" s="89"/>
      <c r="BD15" s="83"/>
      <c r="BE15" s="1"/>
      <c r="BF15" s="89"/>
      <c r="BG15" s="83"/>
      <c r="BH15" s="1"/>
      <c r="BI15" s="89"/>
      <c r="BJ15" s="83"/>
      <c r="BK15" s="1"/>
      <c r="BL15" s="89"/>
      <c r="BM15" s="83"/>
      <c r="BN15" s="1"/>
      <c r="BO15" s="89"/>
      <c r="BP15" s="83"/>
      <c r="BQ15" s="1"/>
      <c r="BR15" s="89"/>
      <c r="BS15" s="83"/>
      <c r="BT15" s="1"/>
      <c r="BU15" s="89"/>
      <c r="BV15" s="83"/>
      <c r="BW15" s="1"/>
      <c r="BX15" s="89"/>
      <c r="BY15" s="83"/>
      <c r="BZ15" s="1"/>
      <c r="CA15" s="89"/>
      <c r="CB15" s="83"/>
      <c r="CC15" s="1"/>
      <c r="CD15" s="89"/>
      <c r="CE15" s="83"/>
      <c r="CF15" s="1"/>
      <c r="CG15" s="89"/>
      <c r="CH15" s="83"/>
      <c r="CI15" s="1"/>
      <c r="CJ15" s="89"/>
      <c r="CK15" s="83"/>
      <c r="CL15" s="1"/>
      <c r="CM15" s="89"/>
      <c r="CN15" s="83"/>
      <c r="CO15" s="1"/>
      <c r="CP15" s="89"/>
      <c r="CQ15" s="83"/>
      <c r="CR15" s="1"/>
      <c r="CS15" s="89"/>
      <c r="CT15" s="83"/>
      <c r="CU15" s="1"/>
      <c r="CV15" s="89"/>
      <c r="CW15" s="83"/>
      <c r="CX15" s="1"/>
      <c r="CY15" s="89"/>
    </row>
    <row r="16" spans="1:103" x14ac:dyDescent="0.3">
      <c r="A16" s="41">
        <v>2013</v>
      </c>
      <c r="B16" s="83"/>
      <c r="C16" s="1"/>
      <c r="D16" s="89"/>
      <c r="E16" s="1"/>
      <c r="F16" s="1"/>
      <c r="G16" s="89"/>
      <c r="H16" s="83"/>
      <c r="I16" s="1"/>
      <c r="J16" s="89"/>
      <c r="K16" s="83"/>
      <c r="L16" s="1"/>
      <c r="M16" s="89"/>
      <c r="N16" s="83"/>
      <c r="O16" s="1"/>
      <c r="P16" s="89"/>
      <c r="Q16" s="83"/>
      <c r="R16" s="1"/>
      <c r="S16" s="89"/>
      <c r="T16" s="83"/>
      <c r="U16" s="1"/>
      <c r="V16" s="89"/>
      <c r="W16" s="83"/>
      <c r="X16" s="1"/>
      <c r="Y16" s="89"/>
      <c r="Z16" s="83"/>
      <c r="AA16" s="1"/>
      <c r="AB16" s="89"/>
      <c r="AC16" s="83">
        <v>2876.0952000000002</v>
      </c>
      <c r="AD16" s="1">
        <v>3616.5821999999998</v>
      </c>
      <c r="AE16" s="89">
        <v>4357.0691999999999</v>
      </c>
      <c r="AF16" s="83"/>
      <c r="AG16" s="1"/>
      <c r="AH16" s="89"/>
      <c r="AI16" s="83"/>
      <c r="AJ16" s="1"/>
      <c r="AK16" s="89"/>
      <c r="AL16" s="83"/>
      <c r="AM16" s="1"/>
      <c r="AN16" s="89"/>
      <c r="AO16" s="83"/>
      <c r="AP16" s="1"/>
      <c r="AQ16" s="89"/>
      <c r="AR16" s="83"/>
      <c r="AS16" s="1"/>
      <c r="AT16" s="89"/>
      <c r="AU16" s="83"/>
      <c r="AV16" s="1"/>
      <c r="AW16" s="89"/>
      <c r="AX16" s="83"/>
      <c r="AY16" s="1"/>
      <c r="AZ16" s="89"/>
      <c r="BA16" s="83"/>
      <c r="BB16" s="1"/>
      <c r="BC16" s="89"/>
      <c r="BD16" s="83"/>
      <c r="BE16" s="1"/>
      <c r="BF16" s="89"/>
      <c r="BG16" s="83"/>
      <c r="BH16" s="1"/>
      <c r="BI16" s="89"/>
      <c r="BJ16" s="83"/>
      <c r="BK16" s="1"/>
      <c r="BL16" s="89"/>
      <c r="BM16" s="83"/>
      <c r="BN16" s="1"/>
      <c r="BO16" s="89"/>
      <c r="BP16" s="83"/>
      <c r="BQ16" s="1"/>
      <c r="BR16" s="89"/>
      <c r="BS16" s="83"/>
      <c r="BT16" s="1"/>
      <c r="BU16" s="89"/>
      <c r="BV16" s="83"/>
      <c r="BW16" s="1"/>
      <c r="BX16" s="89"/>
      <c r="BY16" s="83"/>
      <c r="BZ16" s="1"/>
      <c r="CA16" s="89"/>
      <c r="CB16" s="83"/>
      <c r="CC16" s="1"/>
      <c r="CD16" s="89"/>
      <c r="CE16" s="83"/>
      <c r="CF16" s="1"/>
      <c r="CG16" s="89"/>
      <c r="CH16" s="83"/>
      <c r="CI16" s="1"/>
      <c r="CJ16" s="89"/>
      <c r="CK16" s="83"/>
      <c r="CL16" s="1"/>
      <c r="CM16" s="89"/>
      <c r="CN16" s="83"/>
      <c r="CO16" s="1"/>
      <c r="CP16" s="89"/>
      <c r="CQ16" s="83"/>
      <c r="CR16" s="1"/>
      <c r="CS16" s="89"/>
      <c r="CT16" s="83"/>
      <c r="CU16" s="1"/>
      <c r="CV16" s="89"/>
      <c r="CW16" s="83"/>
      <c r="CX16" s="1"/>
      <c r="CY16" s="89"/>
    </row>
    <row r="17" spans="1:103" x14ac:dyDescent="0.3">
      <c r="A17" s="41">
        <v>2014</v>
      </c>
      <c r="B17" s="83"/>
      <c r="C17" s="1"/>
      <c r="D17" s="89"/>
      <c r="E17" s="1"/>
      <c r="F17" s="1"/>
      <c r="G17" s="89"/>
      <c r="H17" s="83"/>
      <c r="I17" s="1"/>
      <c r="J17" s="89"/>
      <c r="K17" s="83"/>
      <c r="L17" s="1"/>
      <c r="M17" s="89"/>
      <c r="N17" s="83"/>
      <c r="O17" s="1"/>
      <c r="P17" s="89"/>
      <c r="Q17" s="83"/>
      <c r="R17" s="1"/>
      <c r="S17" s="89"/>
      <c r="T17" s="83"/>
      <c r="U17" s="1"/>
      <c r="V17" s="89"/>
      <c r="W17" s="83"/>
      <c r="X17" s="1"/>
      <c r="Y17" s="89"/>
      <c r="Z17" s="83"/>
      <c r="AA17" s="1"/>
      <c r="AB17" s="89"/>
      <c r="AC17" s="83">
        <v>2682.9264000000003</v>
      </c>
      <c r="AD17" s="1">
        <v>3369.7554</v>
      </c>
      <c r="AE17" s="89">
        <v>4056.5844000000002</v>
      </c>
      <c r="AF17" s="83"/>
      <c r="AG17" s="1"/>
      <c r="AH17" s="89"/>
      <c r="AI17" s="83"/>
      <c r="AJ17" s="1"/>
      <c r="AK17" s="89"/>
      <c r="AL17" s="83"/>
      <c r="AM17" s="1"/>
      <c r="AN17" s="89"/>
      <c r="AO17" s="83"/>
      <c r="AP17" s="1"/>
      <c r="AQ17" s="89"/>
      <c r="AR17" s="83"/>
      <c r="AS17" s="1"/>
      <c r="AT17" s="89"/>
      <c r="AU17" s="83"/>
      <c r="AV17" s="1"/>
      <c r="AW17" s="89"/>
      <c r="AX17" s="83"/>
      <c r="AY17" s="1"/>
      <c r="AZ17" s="89"/>
      <c r="BA17" s="83"/>
      <c r="BB17" s="1"/>
      <c r="BC17" s="89"/>
      <c r="BD17" s="83"/>
      <c r="BE17" s="1"/>
      <c r="BF17" s="89"/>
      <c r="BG17" s="83"/>
      <c r="BH17" s="1"/>
      <c r="BI17" s="89"/>
      <c r="BJ17" s="83"/>
      <c r="BK17" s="1"/>
      <c r="BL17" s="89"/>
      <c r="BM17" s="83"/>
      <c r="BN17" s="1"/>
      <c r="BO17" s="89"/>
      <c r="BP17" s="83"/>
      <c r="BQ17" s="1"/>
      <c r="BR17" s="89"/>
      <c r="BS17" s="83"/>
      <c r="BT17" s="1"/>
      <c r="BU17" s="89"/>
      <c r="BV17" s="83"/>
      <c r="BW17" s="1"/>
      <c r="BX17" s="89"/>
      <c r="BY17" s="83"/>
      <c r="BZ17" s="1"/>
      <c r="CA17" s="89"/>
      <c r="CB17" s="83"/>
      <c r="CC17" s="1"/>
      <c r="CD17" s="89"/>
      <c r="CE17" s="83"/>
      <c r="CF17" s="1"/>
      <c r="CG17" s="89"/>
      <c r="CH17" s="83"/>
      <c r="CI17" s="1"/>
      <c r="CJ17" s="89"/>
      <c r="CK17" s="83"/>
      <c r="CL17" s="1"/>
      <c r="CM17" s="89"/>
      <c r="CN17" s="83"/>
      <c r="CO17" s="1"/>
      <c r="CP17" s="89"/>
      <c r="CQ17" s="83"/>
      <c r="CR17" s="1"/>
      <c r="CS17" s="89"/>
      <c r="CT17" s="83"/>
      <c r="CU17" s="1"/>
      <c r="CV17" s="89"/>
      <c r="CW17" s="83"/>
      <c r="CX17" s="1"/>
      <c r="CY17" s="89"/>
    </row>
    <row r="18" spans="1:103" x14ac:dyDescent="0.3">
      <c r="A18" s="41">
        <v>2015</v>
      </c>
      <c r="B18" s="83"/>
      <c r="C18" s="1"/>
      <c r="D18" s="89"/>
      <c r="E18" s="1"/>
      <c r="F18" s="1"/>
      <c r="G18" s="89"/>
      <c r="H18" s="83"/>
      <c r="I18" s="1"/>
      <c r="J18" s="89"/>
      <c r="K18" s="83"/>
      <c r="L18" s="1"/>
      <c r="M18" s="89"/>
      <c r="N18" s="83"/>
      <c r="O18" s="1"/>
      <c r="P18" s="89"/>
      <c r="Q18" s="83"/>
      <c r="R18" s="1"/>
      <c r="S18" s="89"/>
      <c r="T18" s="83"/>
      <c r="U18" s="1"/>
      <c r="V18" s="89"/>
      <c r="W18" s="83">
        <v>5235.4871000000003</v>
      </c>
      <c r="X18" s="1">
        <v>5647.0300500000003</v>
      </c>
      <c r="Y18" s="89">
        <v>6058.5730000000003</v>
      </c>
      <c r="Z18" s="83"/>
      <c r="AA18" s="1"/>
      <c r="AB18" s="89"/>
      <c r="AC18" s="83">
        <v>2446.8312000000001</v>
      </c>
      <c r="AD18" s="1">
        <v>3144.3918000000003</v>
      </c>
      <c r="AE18" s="89">
        <v>3841.9524000000006</v>
      </c>
      <c r="AF18" s="83"/>
      <c r="AG18" s="1"/>
      <c r="AH18" s="89"/>
      <c r="AI18" s="83"/>
      <c r="AJ18" s="1"/>
      <c r="AK18" s="89"/>
      <c r="AL18" s="83"/>
      <c r="AM18" s="1"/>
      <c r="AN18" s="89"/>
      <c r="AO18" s="83"/>
      <c r="AP18" s="1"/>
      <c r="AQ18" s="89"/>
      <c r="AR18" s="83"/>
      <c r="AS18" s="1"/>
      <c r="AT18" s="89"/>
      <c r="AU18" s="83">
        <v>1584</v>
      </c>
      <c r="AV18" s="1">
        <v>2244</v>
      </c>
      <c r="AW18" s="89">
        <v>2640</v>
      </c>
      <c r="AX18" s="83"/>
      <c r="AY18" s="1"/>
      <c r="AZ18" s="89"/>
      <c r="BA18" s="83"/>
      <c r="BB18" s="1"/>
      <c r="BC18" s="89"/>
      <c r="BD18" s="83"/>
      <c r="BE18" s="1"/>
      <c r="BF18" s="89"/>
      <c r="BG18" s="83"/>
      <c r="BH18" s="1"/>
      <c r="BI18" s="89"/>
      <c r="BJ18" s="83"/>
      <c r="BK18" s="1"/>
      <c r="BL18" s="89"/>
      <c r="BM18" s="83"/>
      <c r="BN18" s="1"/>
      <c r="BO18" s="89"/>
      <c r="BP18" s="83"/>
      <c r="BQ18" s="1"/>
      <c r="BR18" s="89"/>
      <c r="BS18" s="83"/>
      <c r="BT18" s="1"/>
      <c r="BU18" s="89"/>
      <c r="BV18" s="83"/>
      <c r="BW18" s="1"/>
      <c r="BX18" s="89"/>
      <c r="BY18" s="83"/>
      <c r="BZ18" s="1"/>
      <c r="CA18" s="89"/>
      <c r="CB18" s="83"/>
      <c r="CC18" s="1"/>
      <c r="CD18" s="89"/>
      <c r="CE18" s="83"/>
      <c r="CF18" s="1"/>
      <c r="CG18" s="89"/>
      <c r="CH18" s="83"/>
      <c r="CI18" s="1"/>
      <c r="CJ18" s="89"/>
      <c r="CK18" s="83"/>
      <c r="CL18" s="1"/>
      <c r="CM18" s="89"/>
      <c r="CN18" s="83"/>
      <c r="CO18" s="1"/>
      <c r="CP18" s="89"/>
      <c r="CQ18" s="83"/>
      <c r="CR18" s="1"/>
      <c r="CS18" s="89"/>
      <c r="CT18" s="83"/>
      <c r="CU18" s="1"/>
      <c r="CV18" s="89"/>
      <c r="CW18" s="83"/>
      <c r="CX18" s="1"/>
      <c r="CY18" s="89"/>
    </row>
    <row r="19" spans="1:103" x14ac:dyDescent="0.3">
      <c r="A19" s="41">
        <v>2016</v>
      </c>
      <c r="B19" s="83"/>
      <c r="C19" s="1"/>
      <c r="D19" s="89"/>
      <c r="E19" s="1"/>
      <c r="F19" s="1"/>
      <c r="G19" s="89"/>
      <c r="H19" s="83"/>
      <c r="I19" s="1"/>
      <c r="J19" s="89"/>
      <c r="K19" s="83"/>
      <c r="L19" s="1"/>
      <c r="M19" s="89"/>
      <c r="N19" s="83"/>
      <c r="O19" s="1"/>
      <c r="P19" s="89"/>
      <c r="Q19" s="83"/>
      <c r="R19" s="1"/>
      <c r="S19" s="89"/>
      <c r="T19" s="83"/>
      <c r="U19" s="1"/>
      <c r="V19" s="89"/>
      <c r="W19" s="83"/>
      <c r="X19" s="1"/>
      <c r="Y19" s="89"/>
      <c r="Z19" s="83"/>
      <c r="AA19" s="1"/>
      <c r="AB19" s="89"/>
      <c r="AC19" s="83"/>
      <c r="AD19" s="1"/>
      <c r="AE19" s="89"/>
      <c r="AF19" s="83"/>
      <c r="AG19" s="1"/>
      <c r="AH19" s="89"/>
      <c r="AI19" s="83"/>
      <c r="AJ19" s="1"/>
      <c r="AK19" s="89"/>
      <c r="AL19" s="83"/>
      <c r="AM19" s="1"/>
      <c r="AN19" s="89"/>
      <c r="AO19" s="83"/>
      <c r="AP19" s="1"/>
      <c r="AQ19" s="89"/>
      <c r="AR19" s="83"/>
      <c r="AS19" s="1"/>
      <c r="AT19" s="89"/>
      <c r="AU19" s="83"/>
      <c r="AV19" s="1"/>
      <c r="AW19" s="89"/>
      <c r="AX19" s="83"/>
      <c r="AY19" s="1">
        <v>3878.9441739130448</v>
      </c>
      <c r="AZ19" s="89"/>
      <c r="BA19" s="83"/>
      <c r="BB19" s="1"/>
      <c r="BC19" s="89"/>
      <c r="BD19" s="83"/>
      <c r="BE19" s="1"/>
      <c r="BF19" s="89"/>
      <c r="BG19" s="83"/>
      <c r="BH19" s="1"/>
      <c r="BI19" s="89"/>
      <c r="BJ19" s="83"/>
      <c r="BK19" s="1"/>
      <c r="BL19" s="89"/>
      <c r="BM19" s="83"/>
      <c r="BN19" s="1"/>
      <c r="BO19" s="89"/>
      <c r="BP19" s="83"/>
      <c r="BQ19" s="1"/>
      <c r="BR19" s="89"/>
      <c r="BS19" s="83"/>
      <c r="BT19" s="1"/>
      <c r="BU19" s="89"/>
      <c r="BV19" s="83"/>
      <c r="BW19" s="1"/>
      <c r="BX19" s="89"/>
      <c r="BY19" s="83"/>
      <c r="BZ19" s="1"/>
      <c r="CA19" s="89"/>
      <c r="CB19" s="83"/>
      <c r="CC19" s="1"/>
      <c r="CD19" s="89"/>
      <c r="CE19" s="83"/>
      <c r="CF19" s="1"/>
      <c r="CG19" s="89"/>
      <c r="CH19" s="83"/>
      <c r="CI19" s="1"/>
      <c r="CJ19" s="89"/>
      <c r="CK19" s="83"/>
      <c r="CL19" s="1"/>
      <c r="CM19" s="89"/>
      <c r="CN19" s="83"/>
      <c r="CO19" s="1"/>
      <c r="CP19" s="89"/>
      <c r="CQ19" s="83"/>
      <c r="CR19" s="1"/>
      <c r="CS19" s="89"/>
      <c r="CT19" s="83"/>
      <c r="CU19" s="1"/>
      <c r="CV19" s="89"/>
      <c r="CW19" s="83"/>
      <c r="CX19" s="1"/>
      <c r="CY19" s="89"/>
    </row>
    <row r="20" spans="1:103" x14ac:dyDescent="0.3">
      <c r="A20" s="41">
        <v>2017</v>
      </c>
      <c r="B20" s="83"/>
      <c r="C20" s="1"/>
      <c r="D20" s="89"/>
      <c r="E20" s="1"/>
      <c r="F20" s="1"/>
      <c r="G20" s="89"/>
      <c r="H20" s="83"/>
      <c r="I20" s="1"/>
      <c r="J20" s="89"/>
      <c r="K20" s="83"/>
      <c r="L20" s="1"/>
      <c r="M20" s="89"/>
      <c r="N20" s="83"/>
      <c r="O20" s="1"/>
      <c r="P20" s="89"/>
      <c r="Q20" s="83"/>
      <c r="R20" s="1"/>
      <c r="S20" s="89"/>
      <c r="T20" s="83"/>
      <c r="U20" s="1"/>
      <c r="V20" s="89"/>
      <c r="W20" s="83"/>
      <c r="X20" s="1"/>
      <c r="Y20" s="89"/>
      <c r="Z20" s="83"/>
      <c r="AA20" s="1"/>
      <c r="AB20" s="89"/>
      <c r="AC20" s="83"/>
      <c r="AD20" s="1"/>
      <c r="AE20" s="89"/>
      <c r="AF20" s="83"/>
      <c r="AG20" s="1"/>
      <c r="AH20" s="89"/>
      <c r="AI20" s="83"/>
      <c r="AJ20" s="1"/>
      <c r="AK20" s="89"/>
      <c r="AL20" s="83"/>
      <c r="AM20" s="1"/>
      <c r="AN20" s="89"/>
      <c r="AO20" s="83"/>
      <c r="AP20" s="1"/>
      <c r="AQ20" s="89"/>
      <c r="AR20" s="83"/>
      <c r="AS20" s="1"/>
      <c r="AT20" s="89"/>
      <c r="AU20" s="83"/>
      <c r="AV20" s="1"/>
      <c r="AW20" s="89"/>
      <c r="AX20" s="83"/>
      <c r="AZ20" s="89"/>
      <c r="BA20" s="83">
        <v>1444.8</v>
      </c>
      <c r="BB20" s="1">
        <v>1677</v>
      </c>
      <c r="BC20" s="89">
        <v>2012.4</v>
      </c>
      <c r="BD20" s="83"/>
      <c r="BE20" s="1"/>
      <c r="BF20" s="89"/>
      <c r="BG20" s="83"/>
      <c r="BH20" s="1"/>
      <c r="BI20" s="89"/>
      <c r="BJ20" s="83"/>
      <c r="BK20" s="1"/>
      <c r="BL20" s="89"/>
      <c r="BM20" s="83"/>
      <c r="BN20" s="1"/>
      <c r="BO20" s="89"/>
      <c r="BP20" s="83"/>
      <c r="BQ20" s="1"/>
      <c r="BR20" s="89"/>
      <c r="BS20" s="83"/>
      <c r="BT20" s="1"/>
      <c r="BU20" s="89"/>
      <c r="BV20" s="83"/>
      <c r="BW20" s="1"/>
      <c r="BX20" s="89"/>
      <c r="BY20" s="83"/>
      <c r="BZ20" s="1"/>
      <c r="CA20" s="89"/>
      <c r="CB20" s="83"/>
      <c r="CC20" s="1"/>
      <c r="CD20" s="89"/>
      <c r="CE20" s="83"/>
      <c r="CF20" s="1"/>
      <c r="CG20" s="89"/>
      <c r="CH20" s="83"/>
      <c r="CI20" s="1"/>
      <c r="CJ20" s="89"/>
      <c r="CK20" s="83"/>
      <c r="CL20" s="1"/>
      <c r="CM20" s="89"/>
      <c r="CN20" s="83"/>
      <c r="CO20" s="1"/>
      <c r="CP20" s="89"/>
      <c r="CQ20" s="83"/>
      <c r="CR20" s="1"/>
      <c r="CS20" s="89"/>
      <c r="CT20" s="83"/>
      <c r="CU20" s="1"/>
      <c r="CV20" s="89"/>
      <c r="CW20" s="83"/>
      <c r="CX20" s="1"/>
      <c r="CY20" s="89"/>
    </row>
    <row r="21" spans="1:103" x14ac:dyDescent="0.3">
      <c r="A21" s="41">
        <v>2018</v>
      </c>
      <c r="B21" s="83"/>
      <c r="C21" s="1"/>
      <c r="D21" s="89"/>
      <c r="E21" s="1"/>
      <c r="F21" s="1"/>
      <c r="G21" s="89"/>
      <c r="H21" s="83"/>
      <c r="I21" s="1"/>
      <c r="J21" s="89"/>
      <c r="K21" s="83"/>
      <c r="L21" s="1"/>
      <c r="M21" s="89"/>
      <c r="N21" s="83"/>
      <c r="O21" s="1"/>
      <c r="P21" s="89"/>
      <c r="Q21" s="83"/>
      <c r="R21" s="1"/>
      <c r="S21" s="89"/>
      <c r="T21" s="83"/>
      <c r="U21" s="1"/>
      <c r="V21" s="89"/>
      <c r="W21" s="83"/>
      <c r="X21" s="1"/>
      <c r="Y21" s="89"/>
      <c r="Z21" s="83"/>
      <c r="AA21" s="1"/>
      <c r="AB21" s="89"/>
      <c r="AC21" s="83"/>
      <c r="AD21" s="1"/>
      <c r="AE21" s="89"/>
      <c r="AF21" s="83"/>
      <c r="AG21" s="1"/>
      <c r="AH21" s="89"/>
      <c r="AI21" s="83"/>
      <c r="AJ21" s="1"/>
      <c r="AK21" s="89"/>
      <c r="AL21" s="83"/>
      <c r="AM21" s="1"/>
      <c r="AN21" s="89"/>
      <c r="AO21" s="83"/>
      <c r="AP21" s="1"/>
      <c r="AQ21" s="89"/>
      <c r="AR21" s="83"/>
      <c r="AS21" s="1"/>
      <c r="AT21" s="89"/>
      <c r="AU21" s="83"/>
      <c r="AV21" s="1"/>
      <c r="AW21" s="89"/>
      <c r="AX21" s="83"/>
      <c r="AZ21" s="89"/>
      <c r="BA21" s="83"/>
      <c r="BB21" s="1"/>
      <c r="BC21" s="89"/>
      <c r="BD21" s="83">
        <v>995.4</v>
      </c>
      <c r="BE21" s="1">
        <v>1357.65</v>
      </c>
      <c r="BF21" s="89">
        <v>1953</v>
      </c>
      <c r="BG21" s="83"/>
      <c r="BH21" s="1"/>
      <c r="BI21" s="89"/>
      <c r="BJ21" s="83"/>
      <c r="BK21" s="1"/>
      <c r="BL21" s="89"/>
      <c r="BM21" s="83"/>
      <c r="BN21" s="1"/>
      <c r="BO21" s="89"/>
      <c r="BP21" s="83"/>
      <c r="BQ21" s="1"/>
      <c r="BR21" s="89"/>
      <c r="BS21" s="83"/>
      <c r="BT21" s="1"/>
      <c r="BU21" s="89"/>
      <c r="BV21" s="83"/>
      <c r="BW21" s="1"/>
      <c r="BX21" s="89"/>
      <c r="BY21" s="83"/>
      <c r="BZ21" s="1"/>
      <c r="CA21" s="89"/>
      <c r="CB21" s="83"/>
      <c r="CC21" s="1"/>
      <c r="CD21" s="89"/>
      <c r="CE21" s="83"/>
      <c r="CF21" s="1"/>
      <c r="CG21" s="89"/>
      <c r="CH21" s="83"/>
      <c r="CI21" s="1"/>
      <c r="CJ21" s="89"/>
      <c r="CK21" s="83"/>
      <c r="CL21" s="1"/>
      <c r="CM21" s="89"/>
      <c r="CN21" s="83"/>
      <c r="CO21" s="1"/>
      <c r="CP21" s="89"/>
      <c r="CQ21" s="83"/>
      <c r="CR21" s="1"/>
      <c r="CS21" s="89"/>
      <c r="CT21" s="83"/>
      <c r="CU21" s="1"/>
      <c r="CV21" s="89"/>
      <c r="CW21" s="83"/>
      <c r="CX21" s="1"/>
      <c r="CY21" s="89"/>
    </row>
    <row r="22" spans="1:103" x14ac:dyDescent="0.3">
      <c r="A22" s="41">
        <v>2019</v>
      </c>
      <c r="B22" s="83"/>
      <c r="C22" s="1"/>
      <c r="D22" s="89"/>
      <c r="E22" s="1"/>
      <c r="F22" s="1"/>
      <c r="G22" s="89"/>
      <c r="H22" s="83"/>
      <c r="I22" s="1"/>
      <c r="J22" s="89"/>
      <c r="K22" s="83"/>
      <c r="L22" s="1"/>
      <c r="M22" s="89"/>
      <c r="N22" s="83"/>
      <c r="O22" s="1"/>
      <c r="P22" s="89"/>
      <c r="Q22" s="83"/>
      <c r="R22" s="1"/>
      <c r="S22" s="89"/>
      <c r="T22" s="83"/>
      <c r="U22" s="1"/>
      <c r="V22" s="89"/>
      <c r="W22" s="83"/>
      <c r="X22" s="1"/>
      <c r="Y22" s="89"/>
      <c r="Z22" s="83"/>
      <c r="AA22" s="1"/>
      <c r="AB22" s="89"/>
      <c r="AC22" s="83"/>
      <c r="AD22" s="1"/>
      <c r="AE22" s="89"/>
      <c r="AF22" s="83"/>
      <c r="AG22" s="1"/>
      <c r="AH22" s="89"/>
      <c r="AI22" s="83"/>
      <c r="AJ22" s="1"/>
      <c r="AK22" s="89"/>
      <c r="AL22" s="83"/>
      <c r="AM22" s="1"/>
      <c r="AN22" s="89"/>
      <c r="AO22" s="83"/>
      <c r="AP22" s="1"/>
      <c r="AQ22" s="89"/>
      <c r="AR22" s="83"/>
      <c r="AS22" s="1"/>
      <c r="AT22" s="89"/>
      <c r="AU22" s="83"/>
      <c r="AV22" s="1"/>
      <c r="AW22" s="89"/>
      <c r="AX22" s="83"/>
      <c r="AZ22" s="89"/>
      <c r="BA22" s="83"/>
      <c r="BB22" s="1"/>
      <c r="BC22" s="89"/>
      <c r="BD22" s="83"/>
      <c r="BE22" s="1"/>
      <c r="BF22" s="89"/>
      <c r="BG22" s="83">
        <v>238</v>
      </c>
      <c r="BH22" s="1">
        <v>1125.45</v>
      </c>
      <c r="BI22" s="89">
        <v>1500.6</v>
      </c>
      <c r="BJ22" s="83">
        <v>750.3</v>
      </c>
      <c r="BK22" s="1">
        <v>1125.45</v>
      </c>
      <c r="BL22" s="89">
        <v>1500.6</v>
      </c>
      <c r="BM22" s="83"/>
      <c r="BN22" s="1"/>
      <c r="BO22" s="89"/>
      <c r="BP22" s="83"/>
      <c r="BQ22" s="1"/>
      <c r="BR22" s="89"/>
      <c r="BS22" s="83"/>
      <c r="BT22" s="1"/>
      <c r="BU22" s="89"/>
      <c r="BV22" s="83"/>
      <c r="BW22" s="1"/>
      <c r="BX22" s="89"/>
      <c r="BY22" s="83"/>
      <c r="BZ22" s="1"/>
      <c r="CA22" s="89"/>
      <c r="CB22" s="83"/>
      <c r="CC22" s="1"/>
      <c r="CD22" s="89"/>
      <c r="CE22" s="83"/>
      <c r="CF22" s="1"/>
      <c r="CG22" s="89"/>
      <c r="CH22" s="83"/>
      <c r="CI22" s="1"/>
      <c r="CJ22" s="89"/>
      <c r="CK22" s="83"/>
      <c r="CL22" s="1"/>
      <c r="CM22" s="89"/>
      <c r="CN22" s="83"/>
      <c r="CO22" s="1"/>
      <c r="CP22" s="89"/>
      <c r="CQ22" s="83"/>
      <c r="CR22" s="1"/>
      <c r="CS22" s="89"/>
      <c r="CT22" s="83"/>
      <c r="CU22" s="1"/>
      <c r="CV22" s="89"/>
      <c r="CW22" s="83"/>
      <c r="CX22" s="1"/>
      <c r="CY22" s="89"/>
    </row>
    <row r="23" spans="1:103" x14ac:dyDescent="0.3">
      <c r="A23" s="41">
        <v>2020</v>
      </c>
      <c r="B23" s="83">
        <v>4425</v>
      </c>
      <c r="C23" s="1">
        <v>6549</v>
      </c>
      <c r="D23" s="89">
        <v>8673</v>
      </c>
      <c r="H23" s="83"/>
      <c r="I23" s="1"/>
      <c r="J23" s="89"/>
      <c r="K23" s="83"/>
      <c r="L23" s="1"/>
      <c r="M23" s="89"/>
      <c r="N23" s="83"/>
      <c r="O23" s="1"/>
      <c r="P23" s="89"/>
      <c r="Q23" s="83"/>
      <c r="R23" s="1"/>
      <c r="S23" s="89"/>
      <c r="T23" s="83"/>
      <c r="U23" s="1"/>
      <c r="V23" s="89"/>
      <c r="W23" s="83"/>
      <c r="X23" s="1"/>
      <c r="Y23" s="89"/>
      <c r="Z23" s="83"/>
      <c r="AA23" s="1"/>
      <c r="AB23" s="89"/>
      <c r="AC23" s="83"/>
      <c r="AD23" s="1"/>
      <c r="AE23" s="89"/>
      <c r="AF23" s="83"/>
      <c r="AG23" s="1"/>
      <c r="AH23" s="89"/>
      <c r="AI23" s="83"/>
      <c r="AJ23" s="1"/>
      <c r="AK23" s="89"/>
      <c r="AL23" s="83"/>
      <c r="AM23" s="1"/>
      <c r="AN23" s="89"/>
      <c r="AO23" s="83"/>
      <c r="AP23" s="1"/>
      <c r="AQ23" s="89"/>
      <c r="AR23" s="83"/>
      <c r="AS23" s="1"/>
      <c r="AT23" s="89"/>
      <c r="AU23" s="83"/>
      <c r="AV23" s="1"/>
      <c r="AW23" s="89"/>
      <c r="AX23" s="83"/>
      <c r="AY23">
        <v>1789.4769032258071</v>
      </c>
      <c r="AZ23" s="89"/>
      <c r="BA23" s="83"/>
      <c r="BB23" s="1"/>
      <c r="BC23" s="89"/>
      <c r="BD23" s="83"/>
      <c r="BE23" s="1"/>
      <c r="BF23" s="89"/>
      <c r="BG23" s="83"/>
      <c r="BH23" s="1"/>
      <c r="BI23" s="89"/>
      <c r="BJ23" s="83"/>
      <c r="BK23" s="1"/>
      <c r="BL23" s="89"/>
      <c r="BM23" s="83">
        <v>732</v>
      </c>
      <c r="BN23" s="1">
        <v>972.95</v>
      </c>
      <c r="BO23" s="89">
        <v>1342</v>
      </c>
      <c r="BP23" s="83">
        <v>732</v>
      </c>
      <c r="BQ23" s="1">
        <v>972.95</v>
      </c>
      <c r="BR23" s="89">
        <v>1342</v>
      </c>
      <c r="BS23" s="83">
        <v>732</v>
      </c>
      <c r="BT23" s="1">
        <v>972.95</v>
      </c>
      <c r="BU23" s="89">
        <v>1342</v>
      </c>
      <c r="BV23" s="83">
        <v>707.6</v>
      </c>
      <c r="BW23" s="1">
        <v>994.3</v>
      </c>
      <c r="BX23" s="89">
        <v>1390.8</v>
      </c>
      <c r="BY23" s="83"/>
      <c r="BZ23" s="1"/>
      <c r="CA23" s="89"/>
      <c r="CB23" s="83"/>
      <c r="CC23" s="1"/>
      <c r="CD23" s="89"/>
      <c r="CE23" s="83"/>
      <c r="CF23" s="1"/>
      <c r="CG23" s="89"/>
      <c r="CH23" s="83"/>
      <c r="CI23" s="1"/>
      <c r="CJ23" s="89"/>
      <c r="CK23" s="83"/>
      <c r="CL23" s="1"/>
      <c r="CM23" s="89"/>
      <c r="CN23" s="83"/>
      <c r="CO23" s="1"/>
      <c r="CP23" s="89"/>
      <c r="CQ23" s="83"/>
      <c r="CR23" s="1"/>
      <c r="CS23" s="89"/>
      <c r="CT23" s="83"/>
      <c r="CU23" s="1"/>
      <c r="CV23" s="89"/>
      <c r="CW23" s="83"/>
      <c r="CX23" s="1"/>
      <c r="CY23" s="89"/>
    </row>
    <row r="24" spans="1:103" x14ac:dyDescent="0.3">
      <c r="A24" s="41">
        <v>2021</v>
      </c>
      <c r="B24" s="83"/>
      <c r="C24" s="1"/>
      <c r="D24" s="89"/>
      <c r="E24" s="1"/>
      <c r="F24" s="1"/>
      <c r="G24" s="89"/>
      <c r="H24" s="83"/>
      <c r="I24" s="1"/>
      <c r="J24" s="89"/>
      <c r="K24" s="83"/>
      <c r="L24" s="1"/>
      <c r="M24" s="89"/>
      <c r="N24" s="83"/>
      <c r="O24" s="1"/>
      <c r="P24" s="89"/>
      <c r="Q24" s="83"/>
      <c r="R24" s="1"/>
      <c r="S24" s="89"/>
      <c r="T24" s="83"/>
      <c r="U24" s="1"/>
      <c r="V24" s="89"/>
      <c r="W24" s="83"/>
      <c r="X24" s="1"/>
      <c r="Y24" s="89"/>
      <c r="Z24" s="83"/>
      <c r="AA24" s="1"/>
      <c r="AB24" s="89"/>
      <c r="AC24" s="83"/>
      <c r="AD24" s="1"/>
      <c r="AE24" s="89"/>
      <c r="AF24" s="83"/>
      <c r="AG24" s="1"/>
      <c r="AH24" s="89"/>
      <c r="AI24" s="83"/>
      <c r="AJ24" s="1"/>
      <c r="AK24" s="89"/>
      <c r="AL24" s="83"/>
      <c r="AM24" s="1"/>
      <c r="AN24" s="89"/>
      <c r="AO24" s="83"/>
      <c r="AP24" s="1"/>
      <c r="AQ24" s="89"/>
      <c r="AR24" s="83"/>
      <c r="AS24" s="1"/>
      <c r="AT24" s="89"/>
      <c r="AU24" s="83"/>
      <c r="AV24" s="1"/>
      <c r="AW24" s="89"/>
      <c r="AX24" s="83"/>
      <c r="AY24" s="1"/>
      <c r="AZ24" s="89"/>
      <c r="BA24" s="83"/>
      <c r="BB24" s="1"/>
      <c r="BC24" s="89"/>
      <c r="BD24" s="83"/>
      <c r="BE24" s="1"/>
      <c r="BF24" s="89"/>
      <c r="BG24" s="83"/>
      <c r="BH24" s="1"/>
      <c r="BI24" s="89"/>
      <c r="BJ24" s="83"/>
      <c r="BK24" s="1"/>
      <c r="BL24" s="89"/>
      <c r="BM24" s="83"/>
      <c r="BN24" s="1"/>
      <c r="BO24" s="89"/>
      <c r="BP24" s="83"/>
      <c r="BQ24" s="1"/>
      <c r="BR24" s="89"/>
      <c r="BS24" s="83"/>
      <c r="BT24" s="1"/>
      <c r="BU24" s="89"/>
      <c r="BV24" s="83"/>
      <c r="BW24" s="1"/>
      <c r="BX24" s="89"/>
      <c r="BY24" s="83">
        <v>719.8</v>
      </c>
      <c r="BZ24" s="1">
        <v>951.6</v>
      </c>
      <c r="CA24" s="89">
        <v>1329.8</v>
      </c>
      <c r="CB24" s="83">
        <v>719.8</v>
      </c>
      <c r="CC24" s="1">
        <v>951.6</v>
      </c>
      <c r="CD24" s="89">
        <v>1329.8</v>
      </c>
      <c r="CE24" s="83">
        <v>719.8</v>
      </c>
      <c r="CF24" s="1">
        <v>951.6</v>
      </c>
      <c r="CG24" s="89">
        <v>1329.8</v>
      </c>
      <c r="CH24" s="83"/>
      <c r="CI24" s="1"/>
      <c r="CJ24" s="89"/>
      <c r="CK24" s="83"/>
      <c r="CL24" s="1"/>
      <c r="CM24" s="89"/>
      <c r="CN24" s="83"/>
      <c r="CO24" s="1"/>
      <c r="CP24" s="89"/>
      <c r="CQ24" s="83"/>
      <c r="CR24" s="1"/>
      <c r="CS24" s="89"/>
      <c r="CT24" s="83"/>
      <c r="CU24" s="1"/>
      <c r="CV24" s="89"/>
      <c r="CW24" s="83"/>
      <c r="CX24" s="1"/>
      <c r="CY24" s="89"/>
    </row>
    <row r="25" spans="1:103" x14ac:dyDescent="0.3">
      <c r="A25" s="41">
        <v>2022</v>
      </c>
      <c r="B25" s="83"/>
      <c r="C25" s="1"/>
      <c r="D25" s="89"/>
      <c r="E25" s="1"/>
      <c r="F25" s="1"/>
      <c r="G25" s="89"/>
      <c r="H25" s="83"/>
      <c r="I25" s="1"/>
      <c r="J25" s="89"/>
      <c r="K25" s="83"/>
      <c r="L25" s="1"/>
      <c r="M25" s="89"/>
      <c r="N25" s="83"/>
      <c r="O25" s="1"/>
      <c r="P25" s="89"/>
      <c r="Q25" s="83"/>
      <c r="R25" s="1"/>
      <c r="S25" s="89"/>
      <c r="T25" s="83"/>
      <c r="U25" s="1"/>
      <c r="V25" s="89"/>
      <c r="W25" s="83"/>
      <c r="X25" s="1"/>
      <c r="Y25" s="89"/>
      <c r="Z25" s="83"/>
      <c r="AA25" s="1"/>
      <c r="AB25" s="89"/>
      <c r="AC25" s="83"/>
      <c r="AD25" s="1"/>
      <c r="AE25" s="89"/>
      <c r="AF25" s="83"/>
      <c r="AG25" s="1"/>
      <c r="AH25" s="89"/>
      <c r="AI25" s="83"/>
      <c r="AJ25" s="1"/>
      <c r="AK25" s="89"/>
      <c r="AL25" s="83"/>
      <c r="AM25" s="1"/>
      <c r="AN25" s="89"/>
      <c r="AO25" s="83"/>
      <c r="AP25" s="1"/>
      <c r="AQ25" s="89"/>
      <c r="AR25" s="83"/>
      <c r="AS25" s="1"/>
      <c r="AT25" s="89"/>
      <c r="AU25" s="83"/>
      <c r="AV25" s="1"/>
      <c r="AW25" s="89"/>
      <c r="AX25" s="83"/>
      <c r="AY25" s="1"/>
      <c r="AZ25" s="89"/>
      <c r="BA25" s="83"/>
      <c r="BB25" s="1"/>
      <c r="BC25" s="89"/>
      <c r="BD25" s="83"/>
      <c r="BE25" s="1"/>
      <c r="BF25" s="89"/>
      <c r="BG25" s="83"/>
      <c r="BH25" s="1"/>
      <c r="BI25" s="89"/>
      <c r="BJ25" s="83"/>
      <c r="BK25" s="1"/>
      <c r="BL25" s="89"/>
      <c r="BM25" s="83"/>
      <c r="BN25" s="1"/>
      <c r="BO25" s="89"/>
      <c r="BP25" s="83"/>
      <c r="BQ25" s="1"/>
      <c r="BR25" s="89"/>
      <c r="BS25" s="83"/>
      <c r="BT25" s="1"/>
      <c r="BU25" s="89"/>
      <c r="BV25" s="83"/>
      <c r="BW25" s="1"/>
      <c r="BX25" s="89"/>
      <c r="BY25" s="83"/>
      <c r="BZ25" s="1"/>
      <c r="CA25" s="89"/>
      <c r="CB25" s="83"/>
      <c r="CC25" s="1"/>
      <c r="CD25" s="89"/>
      <c r="CE25" s="83"/>
      <c r="CF25" s="1"/>
      <c r="CG25" s="89"/>
      <c r="CH25" s="83">
        <v>665.6</v>
      </c>
      <c r="CI25" s="1">
        <v>902.2</v>
      </c>
      <c r="CJ25" s="89">
        <v>1164.8</v>
      </c>
      <c r="CK25" s="83">
        <v>665.6</v>
      </c>
      <c r="CL25" s="1">
        <v>902.2</v>
      </c>
      <c r="CM25" s="89">
        <v>1164.8</v>
      </c>
      <c r="CN25" s="83">
        <v>665.6</v>
      </c>
      <c r="CO25" s="1">
        <v>902.2</v>
      </c>
      <c r="CP25" s="89">
        <v>1164.8</v>
      </c>
      <c r="CQ25" s="83"/>
      <c r="CR25" s="1"/>
      <c r="CS25" s="89"/>
      <c r="CT25" s="83"/>
      <c r="CU25" s="1"/>
      <c r="CV25" s="89"/>
      <c r="CW25" s="83"/>
      <c r="CX25" s="1"/>
      <c r="CY25" s="89"/>
    </row>
    <row r="26" spans="1:103" x14ac:dyDescent="0.3">
      <c r="A26" s="41">
        <v>2023</v>
      </c>
      <c r="B26" s="83"/>
      <c r="C26" s="1"/>
      <c r="D26" s="89"/>
      <c r="E26" s="1"/>
      <c r="F26" s="1"/>
      <c r="G26" s="89"/>
      <c r="H26" s="83"/>
      <c r="I26" s="1"/>
      <c r="J26" s="89"/>
      <c r="K26" s="83"/>
      <c r="L26" s="1"/>
      <c r="M26" s="89"/>
      <c r="N26" s="83"/>
      <c r="O26" s="1"/>
      <c r="P26" s="89"/>
      <c r="Q26" s="83"/>
      <c r="S26" s="89"/>
      <c r="T26" s="83"/>
      <c r="U26" s="1"/>
      <c r="V26" s="89"/>
      <c r="W26" s="83"/>
      <c r="X26" s="1"/>
      <c r="Y26" s="89"/>
      <c r="Z26" s="83"/>
      <c r="AA26" s="1"/>
      <c r="AB26" s="89"/>
      <c r="AC26" s="83"/>
      <c r="AD26" s="1"/>
      <c r="AE26" s="89"/>
      <c r="AF26" s="83"/>
      <c r="AG26" s="1"/>
      <c r="AH26" s="89"/>
      <c r="AI26" s="83"/>
      <c r="AJ26" s="1"/>
      <c r="AK26" s="89"/>
      <c r="AL26" s="83"/>
      <c r="AM26" s="1"/>
      <c r="AN26" s="89"/>
      <c r="AO26" s="83"/>
      <c r="AP26" s="1"/>
      <c r="AQ26" s="89"/>
      <c r="AR26" s="83"/>
      <c r="AS26" s="1"/>
      <c r="AT26" s="89"/>
      <c r="AU26" s="83"/>
      <c r="AV26" s="1"/>
      <c r="AW26" s="89"/>
      <c r="AX26" s="83"/>
      <c r="AY26" s="1"/>
      <c r="AZ26" s="89"/>
      <c r="BA26" s="83"/>
      <c r="BB26" s="1"/>
      <c r="BC26" s="89"/>
      <c r="BD26" s="83"/>
      <c r="BE26" s="1"/>
      <c r="BF26" s="89"/>
      <c r="BG26" s="83"/>
      <c r="BH26" s="1"/>
      <c r="BI26" s="89"/>
      <c r="BJ26" s="83"/>
      <c r="BK26" s="1"/>
      <c r="BL26" s="89"/>
      <c r="BM26" s="83"/>
      <c r="BN26" s="1"/>
      <c r="BO26" s="89"/>
      <c r="BP26" s="83"/>
      <c r="BQ26" s="1"/>
      <c r="BR26" s="89"/>
      <c r="BS26" s="83"/>
      <c r="BT26" s="1"/>
      <c r="BU26" s="89"/>
      <c r="BV26" s="83"/>
      <c r="BW26" s="1"/>
      <c r="BX26" s="89"/>
      <c r="BY26" s="83"/>
      <c r="BZ26" s="1"/>
      <c r="CA26" s="89"/>
      <c r="CB26" s="83"/>
      <c r="CC26" s="1"/>
      <c r="CD26" s="89"/>
      <c r="CE26" s="83"/>
      <c r="CF26" s="1"/>
      <c r="CG26" s="89"/>
      <c r="CH26" s="83"/>
      <c r="CI26" s="1"/>
      <c r="CJ26" s="89"/>
      <c r="CK26" s="83"/>
      <c r="CL26" s="1"/>
      <c r="CM26" s="89"/>
      <c r="CN26" s="83"/>
      <c r="CO26" s="1"/>
      <c r="CP26" s="89"/>
      <c r="CQ26" s="83">
        <v>670</v>
      </c>
      <c r="CR26" s="1">
        <v>810</v>
      </c>
      <c r="CS26" s="89">
        <v>1110</v>
      </c>
      <c r="CT26" s="83">
        <v>670</v>
      </c>
      <c r="CU26" s="1">
        <v>810</v>
      </c>
      <c r="CV26" s="89">
        <v>1110</v>
      </c>
      <c r="CW26" s="83">
        <v>670</v>
      </c>
      <c r="CX26" s="1">
        <v>810</v>
      </c>
      <c r="CY26" s="89">
        <v>1110</v>
      </c>
    </row>
    <row r="27" spans="1:103" x14ac:dyDescent="0.3">
      <c r="A27" s="41">
        <v>2024</v>
      </c>
      <c r="B27" s="83"/>
      <c r="C27" s="1"/>
      <c r="D27" s="89"/>
      <c r="E27" s="1"/>
      <c r="F27" s="1"/>
      <c r="G27" s="89"/>
      <c r="H27" s="83"/>
      <c r="I27" s="1"/>
      <c r="J27" s="89"/>
      <c r="K27" s="83"/>
      <c r="L27" s="1"/>
      <c r="M27" s="89"/>
      <c r="N27" s="83"/>
      <c r="O27" s="1"/>
      <c r="P27" s="89"/>
      <c r="Q27" s="83"/>
      <c r="S27" s="89"/>
      <c r="T27" s="83"/>
      <c r="U27" s="1"/>
      <c r="V27" s="89"/>
      <c r="W27" s="83"/>
      <c r="X27" s="1"/>
      <c r="Y27" s="89"/>
      <c r="Z27" s="83"/>
      <c r="AA27" s="1"/>
      <c r="AB27" s="89"/>
      <c r="AC27" s="83"/>
      <c r="AD27" s="1"/>
      <c r="AE27" s="89"/>
      <c r="AF27" s="83"/>
      <c r="AG27" s="1"/>
      <c r="AH27" s="89"/>
      <c r="AI27" s="83"/>
      <c r="AJ27" s="1"/>
      <c r="AK27" s="89"/>
      <c r="AL27" s="83"/>
      <c r="AM27" s="1"/>
      <c r="AN27" s="89"/>
      <c r="AO27" s="83"/>
      <c r="AP27" s="1"/>
      <c r="AQ27" s="89"/>
      <c r="AR27" s="83"/>
      <c r="AS27" s="1"/>
      <c r="AT27" s="89"/>
      <c r="AU27" s="83"/>
      <c r="AV27" s="1"/>
      <c r="AW27" s="89"/>
      <c r="AX27" s="83"/>
      <c r="AY27" s="1"/>
      <c r="AZ27" s="89"/>
      <c r="BA27" s="83"/>
      <c r="BB27" s="1"/>
      <c r="BC27" s="89"/>
      <c r="BD27" s="83"/>
      <c r="BE27" s="1"/>
      <c r="BF27" s="89"/>
      <c r="BG27" s="83"/>
      <c r="BH27" s="1"/>
      <c r="BI27" s="89"/>
      <c r="BJ27" s="83"/>
      <c r="BK27" s="1"/>
      <c r="BL27" s="89"/>
      <c r="BM27" s="83"/>
      <c r="BN27" s="1"/>
      <c r="BO27" s="89"/>
      <c r="BP27" s="83"/>
      <c r="BQ27" s="1"/>
      <c r="BR27" s="89"/>
      <c r="BS27" s="83"/>
      <c r="BT27" s="1"/>
      <c r="BU27" s="89"/>
      <c r="BV27" s="83"/>
      <c r="BW27" s="1"/>
      <c r="BX27" s="89"/>
      <c r="BY27" s="83"/>
      <c r="BZ27" s="1"/>
      <c r="CA27" s="89"/>
      <c r="CB27" s="83"/>
      <c r="CC27" s="1"/>
      <c r="CD27" s="89"/>
      <c r="CE27" s="83"/>
      <c r="CF27" s="1"/>
      <c r="CG27" s="89"/>
      <c r="CH27" s="83"/>
      <c r="CI27" s="1"/>
      <c r="CJ27" s="89"/>
      <c r="CK27" s="83"/>
      <c r="CL27" s="1"/>
      <c r="CM27" s="89"/>
      <c r="CN27" s="83"/>
      <c r="CO27" s="1"/>
      <c r="CP27" s="89"/>
      <c r="CQ27" s="83"/>
      <c r="CR27" s="1"/>
      <c r="CS27" s="89"/>
      <c r="CT27" s="83"/>
      <c r="CU27" s="1"/>
      <c r="CV27" s="89"/>
      <c r="CW27" s="83"/>
      <c r="CX27" s="1"/>
      <c r="CY27" s="89"/>
    </row>
    <row r="28" spans="1:103" x14ac:dyDescent="0.3">
      <c r="A28" s="41">
        <v>2025</v>
      </c>
      <c r="B28" s="83"/>
      <c r="C28" s="1"/>
      <c r="D28" s="89"/>
      <c r="E28" s="1"/>
      <c r="F28" s="1"/>
      <c r="G28" s="89"/>
      <c r="H28" s="83"/>
      <c r="I28" s="1"/>
      <c r="J28" s="89"/>
      <c r="K28" s="83"/>
      <c r="L28" s="1"/>
      <c r="M28" s="89"/>
      <c r="N28" s="83"/>
      <c r="O28" s="1"/>
      <c r="P28" s="89"/>
      <c r="Q28" s="83"/>
      <c r="R28" s="1"/>
      <c r="S28" s="89"/>
      <c r="T28" s="83"/>
      <c r="U28" s="1"/>
      <c r="V28" s="89"/>
      <c r="W28" s="83"/>
      <c r="X28" s="1"/>
      <c r="Y28" s="89"/>
      <c r="Z28" s="83"/>
      <c r="AA28" s="1"/>
      <c r="AB28" s="89"/>
      <c r="AC28" s="83"/>
      <c r="AD28" s="1"/>
      <c r="AE28" s="89"/>
      <c r="AF28" s="83"/>
      <c r="AG28" s="1"/>
      <c r="AH28" s="89"/>
      <c r="AI28" s="83"/>
      <c r="AJ28" s="1"/>
      <c r="AK28" s="89"/>
      <c r="AL28" s="83"/>
      <c r="AM28" s="1"/>
      <c r="AN28" s="89"/>
      <c r="AO28" s="83">
        <v>1350</v>
      </c>
      <c r="AP28" s="1">
        <v>2714.594594594595</v>
      </c>
      <c r="AQ28" s="89">
        <v>4479.545454545455</v>
      </c>
      <c r="AR28" s="83">
        <v>417.35294117647061</v>
      </c>
      <c r="AS28" s="1">
        <v>666.92913385826773</v>
      </c>
      <c r="AT28" s="89">
        <v>1021.1320754716982</v>
      </c>
      <c r="AU28" s="83"/>
      <c r="AV28" s="1"/>
      <c r="AW28" s="89"/>
      <c r="AX28" s="83"/>
      <c r="AZ28" s="89"/>
      <c r="BA28" s="83"/>
      <c r="BB28" s="1"/>
      <c r="BC28" s="89"/>
      <c r="BD28" s="83"/>
      <c r="BE28" s="1"/>
      <c r="BF28" s="89"/>
      <c r="BG28" s="83"/>
      <c r="BH28" s="1"/>
      <c r="BI28" s="89"/>
      <c r="BJ28" s="83"/>
      <c r="BK28" s="1"/>
      <c r="BL28" s="89"/>
      <c r="BM28" s="83"/>
      <c r="BN28" s="1"/>
      <c r="BO28" s="89"/>
      <c r="BP28" s="83"/>
      <c r="BQ28" s="1"/>
      <c r="BR28" s="89"/>
      <c r="BS28" s="83"/>
      <c r="BT28" s="1"/>
      <c r="BU28" s="89"/>
      <c r="BV28" s="83"/>
      <c r="BW28" s="1"/>
      <c r="BX28" s="89"/>
      <c r="BY28" s="83"/>
      <c r="BZ28" s="1"/>
      <c r="CA28" s="89"/>
      <c r="CB28" s="83"/>
      <c r="CC28" s="1"/>
      <c r="CD28" s="89"/>
      <c r="CE28" s="83"/>
      <c r="CF28" s="1"/>
      <c r="CG28" s="89"/>
      <c r="CH28" s="83"/>
      <c r="CI28" s="1"/>
      <c r="CJ28" s="89"/>
      <c r="CK28" s="83"/>
      <c r="CL28" s="1"/>
      <c r="CM28" s="89"/>
      <c r="CN28" s="83"/>
      <c r="CO28" s="1"/>
      <c r="CP28" s="89"/>
      <c r="CQ28" s="83"/>
      <c r="CR28" s="1"/>
      <c r="CS28" s="89"/>
      <c r="CT28" s="83"/>
      <c r="CU28" s="1"/>
      <c r="CV28" s="89"/>
      <c r="CW28" s="83"/>
      <c r="CX28" s="1"/>
      <c r="CY28" s="89"/>
    </row>
    <row r="29" spans="1:103" x14ac:dyDescent="0.3">
      <c r="A29" s="41">
        <v>2026</v>
      </c>
      <c r="B29" s="83"/>
      <c r="C29" s="1"/>
      <c r="D29" s="89"/>
      <c r="E29" s="1"/>
      <c r="F29" s="1"/>
      <c r="G29" s="89"/>
      <c r="H29" s="83"/>
      <c r="I29" s="1"/>
      <c r="J29" s="89"/>
      <c r="K29" s="83"/>
      <c r="L29" s="1"/>
      <c r="M29" s="89"/>
      <c r="N29" s="83"/>
      <c r="O29" s="1"/>
      <c r="P29" s="89"/>
      <c r="Q29" s="83"/>
      <c r="R29" s="1"/>
      <c r="S29" s="89"/>
      <c r="T29" s="83"/>
      <c r="U29" s="1"/>
      <c r="V29" s="89"/>
      <c r="W29" s="83"/>
      <c r="X29" s="1"/>
      <c r="Y29" s="89"/>
      <c r="Z29" s="83"/>
      <c r="AA29" s="1"/>
      <c r="AB29" s="89"/>
      <c r="AC29" s="83"/>
      <c r="AD29" s="1"/>
      <c r="AE29" s="89"/>
      <c r="AF29" s="83"/>
      <c r="AG29" s="1"/>
      <c r="AH29" s="89"/>
      <c r="AI29" s="83"/>
      <c r="AJ29" s="1"/>
      <c r="AK29" s="89"/>
      <c r="AL29" s="83"/>
      <c r="AM29" s="1"/>
      <c r="AN29" s="89"/>
      <c r="AO29" s="83"/>
      <c r="AP29" s="1"/>
      <c r="AQ29" s="89"/>
      <c r="AR29" s="83"/>
      <c r="AS29" s="1"/>
      <c r="AT29" s="89"/>
      <c r="AU29" s="83"/>
      <c r="AV29" s="1"/>
      <c r="AW29" s="89"/>
      <c r="AX29" s="83"/>
      <c r="AZ29" s="89"/>
      <c r="BA29" s="83"/>
      <c r="BB29" s="1"/>
      <c r="BC29" s="89"/>
      <c r="BD29" s="83"/>
      <c r="BE29" s="1"/>
      <c r="BF29" s="89"/>
      <c r="BG29" s="83"/>
      <c r="BH29" s="1"/>
      <c r="BI29" s="89"/>
      <c r="BJ29" s="83"/>
      <c r="BK29" s="1"/>
      <c r="BL29" s="89"/>
      <c r="BM29" s="83"/>
      <c r="BN29" s="1"/>
      <c r="BO29" s="89"/>
      <c r="BP29" s="83"/>
      <c r="BQ29" s="1"/>
      <c r="BR29" s="89"/>
      <c r="BS29" s="83"/>
      <c r="BT29" s="1"/>
      <c r="BU29" s="89"/>
      <c r="BV29" s="83"/>
      <c r="BW29" s="1"/>
      <c r="BX29" s="89"/>
      <c r="BY29" s="83"/>
      <c r="BZ29" s="1"/>
      <c r="CA29" s="89"/>
      <c r="CB29" s="83"/>
      <c r="CC29" s="1"/>
      <c r="CD29" s="89"/>
      <c r="CE29" s="83"/>
      <c r="CF29" s="1"/>
      <c r="CG29" s="89"/>
      <c r="CH29" s="83"/>
      <c r="CI29" s="1"/>
      <c r="CJ29" s="89"/>
      <c r="CK29" s="83"/>
      <c r="CL29" s="1"/>
      <c r="CM29" s="89"/>
      <c r="CN29" s="83"/>
      <c r="CO29" s="1"/>
      <c r="CP29" s="89"/>
      <c r="CQ29" s="83"/>
      <c r="CR29" s="1"/>
      <c r="CS29" s="89"/>
      <c r="CT29" s="83"/>
      <c r="CU29" s="1"/>
      <c r="CV29" s="89"/>
      <c r="CW29" s="83"/>
      <c r="CX29" s="1"/>
      <c r="CY29" s="89"/>
    </row>
    <row r="30" spans="1:103" x14ac:dyDescent="0.3">
      <c r="A30" s="41">
        <v>2027</v>
      </c>
      <c r="B30" s="83"/>
      <c r="C30" s="1"/>
      <c r="D30" s="89"/>
      <c r="E30" s="1"/>
      <c r="F30" s="1"/>
      <c r="G30" s="89"/>
      <c r="H30" s="83"/>
      <c r="I30" s="1"/>
      <c r="J30" s="89"/>
      <c r="K30" s="83"/>
      <c r="L30" s="1"/>
      <c r="M30" s="89"/>
      <c r="N30" s="83"/>
      <c r="O30" s="1"/>
      <c r="P30" s="89"/>
      <c r="Q30" s="83"/>
      <c r="R30" s="1"/>
      <c r="S30" s="89"/>
      <c r="T30" s="83"/>
      <c r="U30" s="1"/>
      <c r="V30" s="89"/>
      <c r="W30" s="83"/>
      <c r="X30" s="1"/>
      <c r="Y30" s="89"/>
      <c r="Z30" s="83"/>
      <c r="AA30" s="1"/>
      <c r="AB30" s="89"/>
      <c r="AC30" s="83"/>
      <c r="AD30" s="1"/>
      <c r="AE30" s="89"/>
      <c r="AF30" s="83"/>
      <c r="AG30" s="1"/>
      <c r="AH30" s="89"/>
      <c r="AI30" s="83"/>
      <c r="AJ30" s="1"/>
      <c r="AK30" s="89"/>
      <c r="AL30" s="83"/>
      <c r="AM30" s="1"/>
      <c r="AN30" s="89"/>
      <c r="AO30" s="83"/>
      <c r="AP30" s="1"/>
      <c r="AQ30" s="89"/>
      <c r="AR30" s="83"/>
      <c r="AS30" s="1"/>
      <c r="AT30" s="89"/>
      <c r="AU30" s="83"/>
      <c r="AV30" s="1"/>
      <c r="AW30" s="89"/>
      <c r="AX30" s="83"/>
      <c r="AY30" s="1"/>
      <c r="AZ30" s="89"/>
      <c r="BA30" s="83"/>
      <c r="BB30" s="1"/>
      <c r="BC30" s="89"/>
      <c r="BD30" s="83"/>
      <c r="BE30" s="1"/>
      <c r="BF30" s="89"/>
      <c r="BG30" s="83"/>
      <c r="BH30" s="1"/>
      <c r="BI30" s="89"/>
      <c r="BJ30" s="83"/>
      <c r="BK30" s="1"/>
      <c r="BL30" s="89"/>
      <c r="BM30" s="83"/>
      <c r="BN30" s="1"/>
      <c r="BO30" s="89"/>
      <c r="BP30" s="83"/>
      <c r="BQ30" s="1"/>
      <c r="BR30" s="89"/>
      <c r="BS30" s="83"/>
      <c r="BT30" s="1"/>
      <c r="BU30" s="89"/>
      <c r="BV30" s="83"/>
      <c r="BW30" s="1"/>
      <c r="BX30" s="89"/>
      <c r="BY30" s="83"/>
      <c r="BZ30" s="1"/>
      <c r="CA30" s="89"/>
      <c r="CB30" s="83"/>
      <c r="CC30" s="1"/>
      <c r="CD30" s="89"/>
      <c r="CE30" s="83"/>
      <c r="CF30" s="1"/>
      <c r="CG30" s="89"/>
      <c r="CH30" s="83"/>
      <c r="CI30" s="1"/>
      <c r="CJ30" s="89"/>
      <c r="CK30" s="83"/>
      <c r="CL30" s="1"/>
      <c r="CM30" s="89"/>
      <c r="CN30" s="83"/>
      <c r="CO30" s="1"/>
      <c r="CP30" s="89"/>
      <c r="CQ30" s="83"/>
      <c r="CR30" s="1"/>
      <c r="CS30" s="89"/>
      <c r="CT30" s="83"/>
      <c r="CU30" s="1"/>
      <c r="CV30" s="89"/>
      <c r="CW30" s="83"/>
      <c r="CX30" s="1"/>
      <c r="CY30" s="89"/>
    </row>
    <row r="31" spans="1:103" x14ac:dyDescent="0.3">
      <c r="A31" s="41">
        <v>2028</v>
      </c>
      <c r="B31" s="83"/>
      <c r="C31" s="1"/>
      <c r="D31" s="89"/>
      <c r="E31" s="1"/>
      <c r="F31" s="1"/>
      <c r="G31" s="89"/>
      <c r="H31" s="83"/>
      <c r="I31" s="1"/>
      <c r="J31" s="89"/>
      <c r="K31" s="83"/>
      <c r="L31" s="1"/>
      <c r="M31" s="89"/>
      <c r="N31" s="83"/>
      <c r="O31" s="1"/>
      <c r="P31" s="89"/>
      <c r="Q31" s="83"/>
      <c r="R31" s="1"/>
      <c r="S31" s="89"/>
      <c r="T31" s="83"/>
      <c r="U31" s="1"/>
      <c r="V31" s="89"/>
      <c r="W31" s="83"/>
      <c r="X31" s="1"/>
      <c r="Y31" s="89"/>
      <c r="Z31" s="83"/>
      <c r="AA31" s="1"/>
      <c r="AB31" s="89"/>
      <c r="AC31" s="83"/>
      <c r="AD31" s="1"/>
      <c r="AE31" s="89"/>
      <c r="AF31" s="83"/>
      <c r="AG31" s="1"/>
      <c r="AH31" s="89"/>
      <c r="AI31" s="83"/>
      <c r="AJ31" s="1"/>
      <c r="AK31" s="89"/>
      <c r="AL31" s="83"/>
      <c r="AM31" s="1"/>
      <c r="AN31" s="89"/>
      <c r="AO31" s="83"/>
      <c r="AP31" s="1"/>
      <c r="AQ31" s="89"/>
      <c r="AR31" s="83"/>
      <c r="AS31" s="1"/>
      <c r="AT31" s="89"/>
      <c r="AU31" s="83"/>
      <c r="AV31" s="1"/>
      <c r="AW31" s="89"/>
      <c r="AX31" s="83"/>
      <c r="AY31" s="1"/>
      <c r="AZ31" s="89"/>
      <c r="BA31" s="83"/>
      <c r="BB31" s="1"/>
      <c r="BC31" s="89"/>
      <c r="BD31" s="83"/>
      <c r="BE31" s="1"/>
      <c r="BF31" s="89"/>
      <c r="BG31" s="83"/>
      <c r="BH31" s="1"/>
      <c r="BI31" s="89"/>
      <c r="BJ31" s="83"/>
      <c r="BK31" s="1"/>
      <c r="BL31" s="89"/>
      <c r="BM31" s="83"/>
      <c r="BN31" s="1"/>
      <c r="BO31" s="89"/>
      <c r="BP31" s="83"/>
      <c r="BQ31" s="1"/>
      <c r="BR31" s="89"/>
      <c r="BS31" s="83"/>
      <c r="BT31" s="1"/>
      <c r="BU31" s="89"/>
      <c r="BV31" s="83"/>
      <c r="BW31" s="1"/>
      <c r="BX31" s="89"/>
      <c r="BY31" s="83"/>
      <c r="BZ31" s="1"/>
      <c r="CA31" s="89"/>
      <c r="CB31" s="83"/>
      <c r="CC31" s="1"/>
      <c r="CD31" s="89"/>
      <c r="CE31" s="83"/>
      <c r="CF31" s="1"/>
      <c r="CG31" s="89"/>
      <c r="CH31" s="83"/>
      <c r="CI31" s="1"/>
      <c r="CJ31" s="89"/>
      <c r="CK31" s="83"/>
      <c r="CL31" s="1"/>
      <c r="CM31" s="89"/>
      <c r="CN31" s="83"/>
      <c r="CO31" s="1"/>
      <c r="CP31" s="89"/>
      <c r="CQ31" s="83"/>
      <c r="CR31" s="1"/>
      <c r="CS31" s="89"/>
      <c r="CT31" s="83"/>
      <c r="CU31" s="1"/>
      <c r="CV31" s="89"/>
      <c r="CW31" s="83"/>
      <c r="CX31" s="1"/>
      <c r="CY31" s="89"/>
    </row>
    <row r="32" spans="1:103" x14ac:dyDescent="0.3">
      <c r="A32" s="41">
        <v>2029</v>
      </c>
      <c r="B32" s="83"/>
      <c r="C32" s="1"/>
      <c r="D32" s="89"/>
      <c r="E32" s="1"/>
      <c r="F32" s="1"/>
      <c r="G32" s="89"/>
      <c r="H32" s="83"/>
      <c r="I32" s="1"/>
      <c r="J32" s="89"/>
      <c r="K32" s="83"/>
      <c r="M32" s="89"/>
      <c r="N32" s="83"/>
      <c r="O32" s="1"/>
      <c r="P32" s="89"/>
      <c r="Q32" s="83"/>
      <c r="R32" s="1"/>
      <c r="S32" s="89"/>
      <c r="T32" s="83"/>
      <c r="U32" s="1"/>
      <c r="V32" s="89"/>
      <c r="W32" s="83"/>
      <c r="X32" s="1"/>
      <c r="Y32" s="89"/>
      <c r="Z32" s="83"/>
      <c r="AA32" s="1"/>
      <c r="AB32" s="89"/>
      <c r="AC32" s="83"/>
      <c r="AD32" s="1"/>
      <c r="AE32" s="89"/>
      <c r="AF32" s="83"/>
      <c r="AG32" s="1"/>
      <c r="AH32" s="89"/>
      <c r="AI32" s="83"/>
      <c r="AJ32" s="1"/>
      <c r="AK32" s="89"/>
      <c r="AL32" s="83"/>
      <c r="AM32" s="1"/>
      <c r="AN32" s="89"/>
      <c r="AO32" s="83"/>
      <c r="AP32" s="1"/>
      <c r="AQ32" s="89"/>
      <c r="AR32" s="83"/>
      <c r="AS32" s="1"/>
      <c r="AT32" s="89"/>
      <c r="AU32" s="83"/>
      <c r="AV32" s="1"/>
      <c r="AW32" s="89"/>
      <c r="AX32" s="83"/>
      <c r="AZ32" s="89"/>
      <c r="BA32" s="83"/>
      <c r="BB32" s="1"/>
      <c r="BC32" s="89"/>
      <c r="BD32" s="83"/>
      <c r="BE32" s="1"/>
      <c r="BF32" s="89"/>
      <c r="BG32" s="83"/>
      <c r="BH32" s="1"/>
      <c r="BI32" s="89"/>
      <c r="BJ32" s="83"/>
      <c r="BK32" s="1"/>
      <c r="BL32" s="89"/>
      <c r="BM32" s="83"/>
      <c r="BN32" s="1"/>
      <c r="BO32" s="89"/>
      <c r="BP32" s="83"/>
      <c r="BQ32" s="1"/>
      <c r="BR32" s="89"/>
      <c r="BS32" s="83"/>
      <c r="BT32" s="1"/>
      <c r="BU32" s="89"/>
      <c r="BV32" s="83"/>
      <c r="BW32" s="1"/>
      <c r="BX32" s="89"/>
      <c r="BY32" s="83"/>
      <c r="BZ32" s="1"/>
      <c r="CA32" s="89"/>
      <c r="CB32" s="83"/>
      <c r="CC32" s="1"/>
      <c r="CD32" s="89"/>
      <c r="CE32" s="83"/>
      <c r="CF32" s="1"/>
      <c r="CG32" s="89"/>
      <c r="CH32" s="83"/>
      <c r="CI32" s="1"/>
      <c r="CJ32" s="89"/>
      <c r="CK32" s="83"/>
      <c r="CL32" s="1"/>
      <c r="CM32" s="89"/>
      <c r="CN32" s="83"/>
      <c r="CO32" s="1"/>
      <c r="CP32" s="89"/>
      <c r="CQ32" s="83"/>
      <c r="CR32" s="1"/>
      <c r="CS32" s="89"/>
      <c r="CT32" s="83"/>
      <c r="CU32" s="1"/>
      <c r="CV32" s="89"/>
      <c r="CW32" s="83"/>
      <c r="CX32" s="1"/>
      <c r="CY32" s="89"/>
    </row>
    <row r="33" spans="1:103" x14ac:dyDescent="0.3">
      <c r="A33" s="41">
        <v>2030</v>
      </c>
      <c r="B33" s="83"/>
      <c r="C33" s="1"/>
      <c r="D33" s="89"/>
      <c r="E33" s="1">
        <v>3097.5</v>
      </c>
      <c r="F33" s="1">
        <v>4646.25</v>
      </c>
      <c r="G33" s="89">
        <v>6195</v>
      </c>
      <c r="H33" s="83">
        <v>4077.875</v>
      </c>
      <c r="I33" s="1">
        <v>4226.1660000000002</v>
      </c>
      <c r="J33" s="89">
        <v>4374.4570000000003</v>
      </c>
      <c r="K33" s="83"/>
      <c r="L33">
        <v>5480.1474000000007</v>
      </c>
      <c r="M33" s="89"/>
      <c r="N33" s="83"/>
      <c r="O33" s="1"/>
      <c r="P33" s="89"/>
      <c r="Q33" s="83"/>
      <c r="R33">
        <v>4226.25</v>
      </c>
      <c r="S33" s="89"/>
      <c r="T33" s="83"/>
      <c r="U33" s="1"/>
      <c r="V33" s="89"/>
      <c r="W33" s="83">
        <v>3632.6673999999998</v>
      </c>
      <c r="X33" s="1">
        <v>4087.5246999999999</v>
      </c>
      <c r="Y33" s="89">
        <v>4542.3819999999996</v>
      </c>
      <c r="Z33" s="83">
        <v>2934.6</v>
      </c>
      <c r="AA33" s="1">
        <v>3219.3</v>
      </c>
      <c r="AB33" s="89">
        <v>3504</v>
      </c>
      <c r="AC33" s="83"/>
      <c r="AD33" s="1"/>
      <c r="AE33" s="89"/>
      <c r="AF33" s="83"/>
      <c r="AG33" s="1"/>
      <c r="AH33" s="89"/>
      <c r="AI33" s="83"/>
      <c r="AJ33" s="1"/>
      <c r="AK33" s="89"/>
      <c r="AL33" s="83"/>
      <c r="AM33" s="1"/>
      <c r="AN33" s="89"/>
      <c r="AO33" s="83"/>
      <c r="AP33" s="1"/>
      <c r="AQ33" s="89"/>
      <c r="AR33" s="83"/>
      <c r="AS33" s="1"/>
      <c r="AT33" s="89"/>
      <c r="AU33" s="83"/>
      <c r="AV33" s="1"/>
      <c r="AW33" s="89"/>
      <c r="AX33" s="83"/>
      <c r="AY33">
        <v>1646.4943148688048</v>
      </c>
      <c r="AZ33" s="89"/>
      <c r="BA33" s="83"/>
      <c r="BB33" s="1"/>
      <c r="BC33" s="89"/>
      <c r="BD33" s="83"/>
      <c r="BE33" s="1"/>
      <c r="BF33" s="89"/>
      <c r="BG33" s="83"/>
      <c r="BH33" s="1"/>
      <c r="BI33" s="89"/>
      <c r="BJ33" s="83"/>
      <c r="BK33" s="1"/>
      <c r="BL33" s="89"/>
      <c r="BM33" s="83">
        <v>463.59999999999997</v>
      </c>
      <c r="BN33" s="1">
        <v>628.29999999999995</v>
      </c>
      <c r="BO33" s="89">
        <v>866.19999999999993</v>
      </c>
      <c r="BP33" s="83">
        <v>439.2</v>
      </c>
      <c r="BQ33" s="1">
        <v>594.75</v>
      </c>
      <c r="BR33" s="89">
        <v>805.19999999999993</v>
      </c>
      <c r="BS33" s="83">
        <v>414.8</v>
      </c>
      <c r="BT33" s="1">
        <v>570.35</v>
      </c>
      <c r="BU33" s="89">
        <v>780.8</v>
      </c>
      <c r="BV33" s="83">
        <v>378.2</v>
      </c>
      <c r="BW33" s="1">
        <v>545.94999999999993</v>
      </c>
      <c r="BX33" s="89">
        <v>756.4</v>
      </c>
      <c r="BY33" s="83">
        <v>463.59999999999997</v>
      </c>
      <c r="BZ33" s="1">
        <v>619.15</v>
      </c>
      <c r="CA33" s="89">
        <v>866.19999999999993</v>
      </c>
      <c r="CB33" s="83">
        <v>439.2</v>
      </c>
      <c r="CC33" s="1">
        <v>594.75</v>
      </c>
      <c r="CD33" s="89">
        <v>829.6</v>
      </c>
      <c r="CE33" s="83">
        <v>390.4</v>
      </c>
      <c r="CF33" s="1">
        <v>539.85</v>
      </c>
      <c r="CG33" s="89">
        <v>756.4</v>
      </c>
      <c r="CH33" s="83">
        <v>405.6</v>
      </c>
      <c r="CI33" s="1">
        <v>553.80000000000007</v>
      </c>
      <c r="CJ33" s="89">
        <v>717.6</v>
      </c>
      <c r="CK33" s="83">
        <v>395.2</v>
      </c>
      <c r="CL33" s="1">
        <v>535.6</v>
      </c>
      <c r="CM33" s="89">
        <v>686.4</v>
      </c>
      <c r="CN33" s="83">
        <v>374.40000000000003</v>
      </c>
      <c r="CO33" s="1">
        <v>517.4</v>
      </c>
      <c r="CP33" s="89">
        <v>665.6</v>
      </c>
      <c r="CQ33" s="83">
        <v>410</v>
      </c>
      <c r="CR33" s="1">
        <v>507.5</v>
      </c>
      <c r="CS33" s="89">
        <v>690</v>
      </c>
      <c r="CT33" s="83">
        <v>400</v>
      </c>
      <c r="CU33" s="1">
        <v>487.5</v>
      </c>
      <c r="CV33" s="89">
        <v>660</v>
      </c>
      <c r="CW33" s="83">
        <v>400</v>
      </c>
      <c r="CX33" s="1">
        <v>482.5</v>
      </c>
      <c r="CY33" s="89">
        <v>640</v>
      </c>
    </row>
    <row r="34" spans="1:103" x14ac:dyDescent="0.3">
      <c r="A34" s="41">
        <v>2031</v>
      </c>
      <c r="B34" s="83"/>
      <c r="C34" s="1"/>
      <c r="D34" s="89"/>
      <c r="E34" s="1"/>
      <c r="F34" s="1"/>
      <c r="G34" s="89"/>
      <c r="H34" s="83"/>
      <c r="I34" s="1"/>
      <c r="J34" s="89"/>
      <c r="K34" s="83"/>
      <c r="L34" s="1"/>
      <c r="M34" s="89"/>
      <c r="N34" s="83"/>
      <c r="O34" s="1"/>
      <c r="P34" s="89"/>
      <c r="Q34" s="83"/>
      <c r="R34" s="1"/>
      <c r="S34" s="89"/>
      <c r="T34" s="83"/>
      <c r="U34" s="1"/>
      <c r="V34" s="89"/>
      <c r="W34" s="83"/>
      <c r="X34" s="1"/>
      <c r="Y34" s="89"/>
      <c r="Z34" s="83"/>
      <c r="AA34" s="1"/>
      <c r="AB34" s="89"/>
      <c r="AC34" s="83"/>
      <c r="AD34" s="1"/>
      <c r="AE34" s="89"/>
      <c r="AF34" s="83"/>
      <c r="AG34" s="1"/>
      <c r="AH34" s="89"/>
      <c r="AI34" s="83"/>
      <c r="AJ34" s="1"/>
      <c r="AK34" s="89"/>
      <c r="AL34" s="83"/>
      <c r="AM34" s="1"/>
      <c r="AN34" s="89"/>
      <c r="AO34" s="83"/>
      <c r="AP34" s="1"/>
      <c r="AQ34" s="89"/>
      <c r="AR34" s="83"/>
      <c r="AS34" s="1"/>
      <c r="AT34" s="89"/>
      <c r="AU34" s="83"/>
      <c r="AV34" s="1"/>
      <c r="AW34" s="89"/>
      <c r="AX34" s="83"/>
      <c r="AY34" s="1"/>
      <c r="AZ34" s="89"/>
      <c r="BA34" s="83"/>
      <c r="BB34" s="1"/>
      <c r="BC34" s="89"/>
      <c r="BD34" s="83"/>
      <c r="BE34" s="1"/>
      <c r="BF34" s="89"/>
      <c r="BG34" s="83"/>
      <c r="BH34" s="1"/>
      <c r="BI34" s="89"/>
      <c r="BJ34" s="83"/>
      <c r="BK34" s="1"/>
      <c r="BL34" s="89"/>
      <c r="BM34" s="83"/>
      <c r="BN34" s="1"/>
      <c r="BO34" s="89"/>
      <c r="BP34" s="83"/>
      <c r="BQ34" s="1"/>
      <c r="BR34" s="89"/>
      <c r="BS34" s="83"/>
      <c r="BT34" s="1"/>
      <c r="BU34" s="89"/>
      <c r="BV34" s="83"/>
      <c r="BW34" s="1"/>
      <c r="BX34" s="89"/>
      <c r="BY34" s="83"/>
      <c r="BZ34" s="1"/>
      <c r="CA34" s="89"/>
      <c r="CB34" s="83"/>
      <c r="CC34" s="1"/>
      <c r="CD34" s="89"/>
      <c r="CE34" s="83"/>
      <c r="CF34" s="1"/>
      <c r="CG34" s="89"/>
      <c r="CH34" s="83"/>
      <c r="CI34" s="1"/>
      <c r="CJ34" s="89"/>
      <c r="CK34" s="83"/>
      <c r="CL34" s="1"/>
      <c r="CM34" s="89"/>
      <c r="CN34" s="83"/>
      <c r="CO34" s="1"/>
      <c r="CP34" s="89"/>
      <c r="CQ34" s="83"/>
      <c r="CR34" s="1"/>
      <c r="CS34" s="89"/>
      <c r="CT34" s="83"/>
      <c r="CU34" s="1"/>
      <c r="CV34" s="89"/>
      <c r="CW34" s="83"/>
      <c r="CX34" s="1"/>
      <c r="CY34" s="89"/>
    </row>
    <row r="35" spans="1:103" x14ac:dyDescent="0.3">
      <c r="A35" s="41">
        <v>2032</v>
      </c>
      <c r="B35" s="83"/>
      <c r="C35" s="1"/>
      <c r="D35" s="89"/>
      <c r="E35" s="1"/>
      <c r="F35" s="1"/>
      <c r="G35" s="89"/>
      <c r="H35" s="83"/>
      <c r="I35" s="1"/>
      <c r="J35" s="89"/>
      <c r="K35" s="83"/>
      <c r="L35" s="1"/>
      <c r="M35" s="89"/>
      <c r="N35" s="83"/>
      <c r="O35" s="1"/>
      <c r="P35" s="89"/>
      <c r="Q35" s="83"/>
      <c r="R35" s="1"/>
      <c r="S35" s="89"/>
      <c r="T35" s="83"/>
      <c r="U35" s="1"/>
      <c r="V35" s="89"/>
      <c r="W35" s="83"/>
      <c r="X35" s="1"/>
      <c r="Y35" s="89"/>
      <c r="Z35" s="83"/>
      <c r="AA35" s="1"/>
      <c r="AB35" s="89"/>
      <c r="AC35" s="83"/>
      <c r="AD35" s="1"/>
      <c r="AE35" s="89"/>
      <c r="AF35" s="83"/>
      <c r="AG35" s="1"/>
      <c r="AH35" s="89"/>
      <c r="AI35" s="83"/>
      <c r="AJ35" s="1"/>
      <c r="AK35" s="89"/>
      <c r="AL35" s="83"/>
      <c r="AM35" s="1"/>
      <c r="AN35" s="89"/>
      <c r="AO35" s="83"/>
      <c r="AP35" s="1"/>
      <c r="AQ35" s="89"/>
      <c r="AR35" s="83"/>
      <c r="AS35" s="1"/>
      <c r="AT35" s="89"/>
      <c r="AU35" s="83"/>
      <c r="AV35" s="1"/>
      <c r="AW35" s="89"/>
      <c r="AX35" s="83"/>
      <c r="AY35" s="1"/>
      <c r="AZ35" s="89"/>
      <c r="BA35" s="83"/>
      <c r="BB35" s="1"/>
      <c r="BC35" s="89"/>
      <c r="BD35" s="83"/>
      <c r="BE35" s="1"/>
      <c r="BF35" s="89"/>
      <c r="BG35" s="83"/>
      <c r="BH35" s="1"/>
      <c r="BI35" s="89"/>
      <c r="BJ35" s="83"/>
      <c r="BK35" s="1"/>
      <c r="BL35" s="89"/>
      <c r="BM35" s="83"/>
      <c r="BN35" s="1"/>
      <c r="BO35" s="89"/>
      <c r="BP35" s="83"/>
      <c r="BQ35" s="1"/>
      <c r="BR35" s="89"/>
      <c r="BS35" s="83"/>
      <c r="BT35" s="1"/>
      <c r="BU35" s="89"/>
      <c r="BV35" s="83"/>
      <c r="BW35" s="1"/>
      <c r="BX35" s="89"/>
      <c r="BY35" s="83"/>
      <c r="BZ35" s="1"/>
      <c r="CA35" s="89"/>
      <c r="CB35" s="83"/>
      <c r="CC35" s="1"/>
      <c r="CD35" s="89"/>
      <c r="CE35" s="83"/>
      <c r="CF35" s="1"/>
      <c r="CG35" s="89"/>
      <c r="CH35" s="83"/>
      <c r="CI35" s="1"/>
      <c r="CJ35" s="89"/>
      <c r="CK35" s="83"/>
      <c r="CL35" s="1"/>
      <c r="CM35" s="89"/>
      <c r="CN35" s="83"/>
      <c r="CO35" s="1"/>
      <c r="CP35" s="89"/>
      <c r="CQ35" s="83"/>
      <c r="CR35" s="1"/>
      <c r="CS35" s="89"/>
      <c r="CT35" s="83"/>
      <c r="CU35" s="1"/>
      <c r="CV35" s="89"/>
      <c r="CW35" s="83"/>
      <c r="CX35" s="1"/>
      <c r="CY35" s="89"/>
    </row>
    <row r="36" spans="1:103" x14ac:dyDescent="0.3">
      <c r="A36" s="41">
        <v>2033</v>
      </c>
      <c r="B36" s="83"/>
      <c r="C36" s="1"/>
      <c r="D36" s="89"/>
      <c r="E36" s="1"/>
      <c r="F36" s="1"/>
      <c r="G36" s="89"/>
      <c r="H36" s="83"/>
      <c r="I36" s="1"/>
      <c r="J36" s="89"/>
      <c r="K36" s="83"/>
      <c r="L36" s="1"/>
      <c r="M36" s="89"/>
      <c r="N36" s="83"/>
      <c r="O36" s="1"/>
      <c r="P36" s="89"/>
      <c r="Q36" s="83"/>
      <c r="R36" s="1"/>
      <c r="S36" s="89"/>
      <c r="T36" s="83"/>
      <c r="U36" s="1"/>
      <c r="V36" s="89"/>
      <c r="W36" s="83"/>
      <c r="X36" s="1"/>
      <c r="Y36" s="89"/>
      <c r="Z36" s="83"/>
      <c r="AA36" s="1"/>
      <c r="AB36" s="89"/>
      <c r="AC36" s="83"/>
      <c r="AD36" s="1"/>
      <c r="AE36" s="89"/>
      <c r="AF36" s="83"/>
      <c r="AG36" s="1"/>
      <c r="AH36" s="89"/>
      <c r="AI36" s="83"/>
      <c r="AJ36" s="1"/>
      <c r="AK36" s="89"/>
      <c r="AL36" s="83"/>
      <c r="AM36" s="1"/>
      <c r="AN36" s="89"/>
      <c r="AO36" s="83"/>
      <c r="AP36" s="1"/>
      <c r="AQ36" s="89"/>
      <c r="AR36" s="83"/>
      <c r="AS36" s="1"/>
      <c r="AT36" s="89"/>
      <c r="AU36" s="83"/>
      <c r="AV36" s="1"/>
      <c r="AW36" s="89"/>
      <c r="AX36" s="83"/>
      <c r="AZ36" s="89"/>
      <c r="BA36" s="83"/>
      <c r="BB36" s="1"/>
      <c r="BC36" s="89"/>
      <c r="BD36" s="83"/>
      <c r="BE36" s="1"/>
      <c r="BF36" s="89"/>
      <c r="BG36" s="83"/>
      <c r="BH36" s="1"/>
      <c r="BI36" s="89"/>
      <c r="BJ36" s="83"/>
      <c r="BK36" s="1"/>
      <c r="BL36" s="89"/>
      <c r="BM36" s="83"/>
      <c r="BN36" s="1"/>
      <c r="BO36" s="89"/>
      <c r="BP36" s="83"/>
      <c r="BQ36" s="1"/>
      <c r="BR36" s="89"/>
      <c r="BS36" s="83"/>
      <c r="BT36" s="1"/>
      <c r="BU36" s="89"/>
      <c r="BV36" s="83"/>
      <c r="BW36" s="1"/>
      <c r="BX36" s="89"/>
      <c r="BY36" s="83"/>
      <c r="BZ36" s="1"/>
      <c r="CA36" s="89"/>
      <c r="CB36" s="83"/>
      <c r="CC36" s="1"/>
      <c r="CD36" s="89"/>
      <c r="CE36" s="83"/>
      <c r="CF36" s="1"/>
      <c r="CG36" s="89"/>
      <c r="CH36" s="83"/>
      <c r="CI36" s="1"/>
      <c r="CJ36" s="89"/>
      <c r="CK36" s="83"/>
      <c r="CL36" s="1"/>
      <c r="CM36" s="89"/>
      <c r="CN36" s="83"/>
      <c r="CO36" s="1"/>
      <c r="CP36" s="89"/>
      <c r="CQ36" s="83"/>
      <c r="CR36" s="1"/>
      <c r="CS36" s="89"/>
      <c r="CT36" s="83"/>
      <c r="CU36" s="1"/>
      <c r="CV36" s="89"/>
      <c r="CW36" s="83"/>
      <c r="CX36" s="1"/>
      <c r="CY36" s="89"/>
    </row>
    <row r="37" spans="1:103" x14ac:dyDescent="0.3">
      <c r="A37" s="41">
        <v>2034</v>
      </c>
      <c r="B37" s="83"/>
      <c r="C37" s="1"/>
      <c r="D37" s="89"/>
      <c r="E37" s="1"/>
      <c r="F37" s="1"/>
      <c r="G37" s="89"/>
      <c r="H37" s="83"/>
      <c r="I37" s="1"/>
      <c r="J37" s="89"/>
      <c r="K37" s="83"/>
      <c r="L37" s="1"/>
      <c r="M37" s="89"/>
      <c r="N37" s="83"/>
      <c r="O37" s="1"/>
      <c r="P37" s="89"/>
      <c r="Q37" s="83"/>
      <c r="R37" s="1"/>
      <c r="S37" s="89"/>
      <c r="T37" s="83"/>
      <c r="U37" s="1"/>
      <c r="V37" s="89"/>
      <c r="W37" s="83"/>
      <c r="X37" s="1"/>
      <c r="Y37" s="89"/>
      <c r="Z37" s="83"/>
      <c r="AA37" s="1"/>
      <c r="AB37" s="89"/>
      <c r="AC37" s="83"/>
      <c r="AD37" s="1"/>
      <c r="AE37" s="89"/>
      <c r="AF37" s="83"/>
      <c r="AG37" s="1"/>
      <c r="AH37" s="89"/>
      <c r="AI37" s="83"/>
      <c r="AJ37" s="1"/>
      <c r="AK37" s="89"/>
      <c r="AL37" s="83"/>
      <c r="AM37" s="1"/>
      <c r="AN37" s="89"/>
      <c r="AO37" s="83"/>
      <c r="AP37" s="1"/>
      <c r="AQ37" s="89"/>
      <c r="AR37" s="83"/>
      <c r="AS37" s="1"/>
      <c r="AT37" s="89"/>
      <c r="AU37" s="83"/>
      <c r="AV37" s="1"/>
      <c r="AW37" s="89"/>
      <c r="AX37" s="83"/>
      <c r="AY37" s="1"/>
      <c r="AZ37" s="89"/>
      <c r="BA37" s="83"/>
      <c r="BB37" s="1"/>
      <c r="BC37" s="89"/>
      <c r="BD37" s="83"/>
      <c r="BE37" s="1"/>
      <c r="BF37" s="89"/>
      <c r="BG37" s="83"/>
      <c r="BH37" s="1"/>
      <c r="BI37" s="89"/>
      <c r="BJ37" s="83"/>
      <c r="BK37" s="1"/>
      <c r="BL37" s="89"/>
      <c r="BM37" s="83"/>
      <c r="BN37" s="1"/>
      <c r="BO37" s="89"/>
      <c r="BP37" s="83"/>
      <c r="BQ37" s="1"/>
      <c r="BR37" s="89"/>
      <c r="BS37" s="83"/>
      <c r="BT37" s="1"/>
      <c r="BU37" s="89"/>
      <c r="BV37" s="83"/>
      <c r="BW37" s="1"/>
      <c r="BX37" s="89"/>
      <c r="BY37" s="83"/>
      <c r="BZ37" s="1"/>
      <c r="CA37" s="89"/>
      <c r="CB37" s="83"/>
      <c r="CC37" s="1"/>
      <c r="CD37" s="89"/>
      <c r="CE37" s="83"/>
      <c r="CF37" s="1"/>
      <c r="CG37" s="89"/>
      <c r="CH37" s="83"/>
      <c r="CI37" s="1"/>
      <c r="CJ37" s="89"/>
      <c r="CK37" s="83"/>
      <c r="CL37" s="1"/>
      <c r="CM37" s="89"/>
      <c r="CN37" s="83"/>
      <c r="CO37" s="1"/>
      <c r="CP37" s="89"/>
      <c r="CQ37" s="83"/>
      <c r="CR37" s="1"/>
      <c r="CS37" s="89"/>
      <c r="CT37" s="83"/>
      <c r="CU37" s="1"/>
      <c r="CV37" s="89"/>
      <c r="CW37" s="83"/>
      <c r="CX37" s="1"/>
      <c r="CY37" s="89"/>
    </row>
    <row r="38" spans="1:103" x14ac:dyDescent="0.3">
      <c r="A38" s="41">
        <v>2035</v>
      </c>
      <c r="B38" s="83"/>
      <c r="C38" s="1"/>
      <c r="D38" s="89"/>
      <c r="E38" s="1"/>
      <c r="F38" s="1"/>
      <c r="G38" s="89"/>
      <c r="H38" s="83"/>
      <c r="I38" s="1"/>
      <c r="J38" s="89"/>
      <c r="K38" s="83"/>
      <c r="L38" s="1"/>
      <c r="M38" s="89"/>
      <c r="N38" s="83"/>
      <c r="O38" s="1"/>
      <c r="P38" s="89"/>
      <c r="Q38" s="83"/>
      <c r="R38" s="1"/>
      <c r="S38" s="89"/>
      <c r="T38" s="83"/>
      <c r="U38" s="1"/>
      <c r="V38" s="89"/>
      <c r="W38" s="83"/>
      <c r="X38" s="1"/>
      <c r="Y38" s="89"/>
      <c r="Z38" s="83"/>
      <c r="AA38" s="1"/>
      <c r="AB38" s="89"/>
      <c r="AC38" s="83"/>
      <c r="AD38" s="1">
        <v>808.22929908623701</v>
      </c>
      <c r="AE38" s="89"/>
      <c r="AF38" s="83">
        <v>2595.5</v>
      </c>
      <c r="AG38" s="1">
        <v>3174.68</v>
      </c>
      <c r="AH38" s="89">
        <v>3772.22</v>
      </c>
      <c r="AI38" s="83">
        <v>2198.9</v>
      </c>
      <c r="AJ38" s="1">
        <v>2643.5</v>
      </c>
      <c r="AK38" s="89">
        <v>3093.2</v>
      </c>
      <c r="AL38">
        <v>1233</v>
      </c>
      <c r="AM38">
        <v>1849.5</v>
      </c>
      <c r="AN38">
        <v>2466</v>
      </c>
      <c r="AO38" s="83"/>
      <c r="AP38" s="1"/>
      <c r="AQ38" s="89"/>
      <c r="AR38" s="83"/>
      <c r="AS38" s="1"/>
      <c r="AT38" s="89"/>
      <c r="AU38" s="83"/>
      <c r="AV38" s="1"/>
      <c r="AW38" s="89"/>
      <c r="AX38" s="83"/>
      <c r="AY38" s="1"/>
      <c r="AZ38" s="89"/>
      <c r="BA38" s="83"/>
      <c r="BB38" s="1"/>
      <c r="BC38" s="89"/>
      <c r="BD38" s="83"/>
      <c r="BE38" s="1"/>
      <c r="BF38" s="89"/>
      <c r="BG38" s="83"/>
      <c r="BH38" s="1"/>
      <c r="BI38" s="89"/>
      <c r="BJ38" s="83"/>
      <c r="BK38" s="1"/>
      <c r="BL38" s="89"/>
      <c r="BM38" s="83"/>
      <c r="BN38" s="1"/>
      <c r="BO38" s="89"/>
      <c r="BP38" s="83"/>
      <c r="BQ38" s="1"/>
      <c r="BR38" s="89"/>
      <c r="BS38" s="83"/>
      <c r="BT38" s="1"/>
      <c r="BU38" s="89"/>
      <c r="BV38" s="83"/>
      <c r="BW38" s="1"/>
      <c r="BX38" s="89"/>
      <c r="BY38" s="83"/>
      <c r="BZ38" s="1"/>
      <c r="CA38" s="89"/>
      <c r="CB38" s="83"/>
      <c r="CC38" s="1"/>
      <c r="CD38" s="89"/>
      <c r="CE38" s="83"/>
      <c r="CF38" s="1"/>
      <c r="CG38" s="89"/>
      <c r="CH38" s="83"/>
      <c r="CI38" s="1"/>
      <c r="CJ38" s="89"/>
      <c r="CK38" s="83"/>
      <c r="CL38" s="1"/>
      <c r="CM38" s="89"/>
      <c r="CN38" s="83"/>
      <c r="CO38" s="1"/>
      <c r="CP38" s="89"/>
      <c r="CQ38" s="83"/>
      <c r="CR38" s="1"/>
      <c r="CS38" s="89"/>
      <c r="CT38" s="83"/>
      <c r="CU38" s="1"/>
      <c r="CV38" s="89"/>
      <c r="CW38" s="83"/>
      <c r="CX38" s="1"/>
      <c r="CY38" s="89"/>
    </row>
    <row r="39" spans="1:103" x14ac:dyDescent="0.3">
      <c r="A39" s="41">
        <v>2036</v>
      </c>
      <c r="B39" s="83"/>
      <c r="C39" s="1"/>
      <c r="D39" s="89"/>
      <c r="E39" s="1"/>
      <c r="F39" s="1"/>
      <c r="G39" s="89"/>
      <c r="H39" s="83"/>
      <c r="I39" s="1"/>
      <c r="J39" s="89"/>
      <c r="K39" s="83"/>
      <c r="L39" s="1"/>
      <c r="M39" s="89"/>
      <c r="N39" s="83"/>
      <c r="O39" s="1"/>
      <c r="P39" s="89"/>
      <c r="Q39" s="83"/>
      <c r="R39" s="1"/>
      <c r="S39" s="89"/>
      <c r="T39" s="83"/>
      <c r="U39" s="1"/>
      <c r="V39" s="89"/>
      <c r="W39" s="83"/>
      <c r="X39" s="1"/>
      <c r="Y39" s="89"/>
      <c r="Z39" s="83"/>
      <c r="AA39" s="1"/>
      <c r="AB39" s="89"/>
      <c r="AC39" s="83"/>
      <c r="AD39" s="1"/>
      <c r="AE39" s="89"/>
      <c r="AF39" s="83"/>
      <c r="AG39" s="1"/>
      <c r="AH39" s="89"/>
      <c r="AI39" s="83"/>
      <c r="AJ39" s="1"/>
      <c r="AK39" s="89"/>
      <c r="AL39" s="83"/>
      <c r="AM39" s="1"/>
      <c r="AN39" s="89"/>
      <c r="AO39" s="83"/>
      <c r="AP39" s="1"/>
      <c r="AQ39" s="89"/>
      <c r="AR39" s="83"/>
      <c r="AS39" s="1"/>
      <c r="AT39" s="89"/>
      <c r="AU39" s="83"/>
      <c r="AV39" s="1"/>
      <c r="AW39" s="89"/>
      <c r="AX39" s="83"/>
      <c r="AY39" s="1"/>
      <c r="AZ39" s="89"/>
      <c r="BA39" s="83"/>
      <c r="BB39" s="1"/>
      <c r="BC39" s="89"/>
      <c r="BD39" s="83"/>
      <c r="BE39" s="1"/>
      <c r="BF39" s="89"/>
      <c r="BG39" s="83"/>
      <c r="BH39" s="1"/>
      <c r="BI39" s="89"/>
      <c r="BJ39" s="83"/>
      <c r="BK39" s="1"/>
      <c r="BL39" s="89"/>
      <c r="BM39" s="83"/>
      <c r="BN39" s="1"/>
      <c r="BO39" s="89"/>
      <c r="BP39" s="83"/>
      <c r="BQ39" s="1"/>
      <c r="BR39" s="89"/>
      <c r="BS39" s="83"/>
      <c r="BT39" s="1"/>
      <c r="BU39" s="89"/>
      <c r="BV39" s="83"/>
      <c r="BW39" s="1"/>
      <c r="BX39" s="89"/>
      <c r="BY39" s="83"/>
      <c r="BZ39" s="1"/>
      <c r="CA39" s="89"/>
      <c r="CB39" s="83"/>
      <c r="CC39" s="1"/>
      <c r="CD39" s="89"/>
      <c r="CE39" s="83"/>
      <c r="CF39" s="1"/>
      <c r="CG39" s="89"/>
      <c r="CH39" s="83"/>
      <c r="CI39" s="1"/>
      <c r="CJ39" s="89"/>
      <c r="CK39" s="83"/>
      <c r="CL39" s="1"/>
      <c r="CM39" s="89"/>
      <c r="CN39" s="83"/>
      <c r="CO39" s="1"/>
      <c r="CP39" s="89"/>
      <c r="CQ39" s="83"/>
      <c r="CR39" s="1"/>
      <c r="CS39" s="89"/>
      <c r="CT39" s="83"/>
      <c r="CU39" s="1"/>
      <c r="CV39" s="89"/>
      <c r="CW39" s="83"/>
      <c r="CX39" s="1"/>
      <c r="CY39" s="89"/>
    </row>
    <row r="40" spans="1:103" x14ac:dyDescent="0.3">
      <c r="A40" s="41">
        <v>2037</v>
      </c>
      <c r="B40" s="83"/>
      <c r="C40" s="1"/>
      <c r="D40" s="89"/>
      <c r="E40" s="1"/>
      <c r="F40" s="1"/>
      <c r="G40" s="89"/>
      <c r="H40" s="83"/>
      <c r="I40" s="1"/>
      <c r="J40" s="89"/>
      <c r="K40" s="83"/>
      <c r="L40" s="1"/>
      <c r="M40" s="89"/>
      <c r="N40" s="83"/>
      <c r="O40" s="1"/>
      <c r="P40" s="89"/>
      <c r="Q40" s="83"/>
      <c r="R40" s="1"/>
      <c r="S40" s="89"/>
      <c r="T40" s="83"/>
      <c r="U40" s="1"/>
      <c r="V40" s="89"/>
      <c r="W40" s="83"/>
      <c r="X40" s="1"/>
      <c r="Y40" s="89"/>
      <c r="Z40" s="83"/>
      <c r="AA40" s="1"/>
      <c r="AB40" s="89"/>
      <c r="AC40" s="83"/>
      <c r="AD40" s="1"/>
      <c r="AE40" s="89"/>
      <c r="AF40" s="83"/>
      <c r="AG40" s="1"/>
      <c r="AH40" s="89"/>
      <c r="AI40" s="83"/>
      <c r="AJ40" s="1"/>
      <c r="AK40" s="89"/>
      <c r="AL40" s="83"/>
      <c r="AM40" s="1"/>
      <c r="AN40" s="89"/>
      <c r="AO40" s="83"/>
      <c r="AP40" s="1"/>
      <c r="AQ40" s="89"/>
      <c r="AR40" s="83"/>
      <c r="AS40" s="1"/>
      <c r="AT40" s="89"/>
      <c r="AU40" s="83"/>
      <c r="AV40" s="1"/>
      <c r="AW40" s="89"/>
      <c r="AX40" s="83"/>
      <c r="AY40" s="1"/>
      <c r="AZ40" s="89"/>
      <c r="BA40" s="83"/>
      <c r="BB40" s="1"/>
      <c r="BC40" s="89"/>
      <c r="BD40" s="83"/>
      <c r="BE40" s="1"/>
      <c r="BF40" s="89"/>
      <c r="BG40" s="83"/>
      <c r="BH40" s="1"/>
      <c r="BI40" s="89"/>
      <c r="BJ40" s="83"/>
      <c r="BK40" s="1"/>
      <c r="BL40" s="89"/>
      <c r="BM40" s="83"/>
      <c r="BN40" s="1"/>
      <c r="BO40" s="89"/>
      <c r="BP40" s="83"/>
      <c r="BQ40" s="1"/>
      <c r="BR40" s="89"/>
      <c r="BS40" s="83"/>
      <c r="BT40" s="1"/>
      <c r="BU40" s="89"/>
      <c r="BV40" s="83"/>
      <c r="BW40" s="1"/>
      <c r="BX40" s="89"/>
      <c r="BY40" s="83"/>
      <c r="BZ40" s="1"/>
      <c r="CA40" s="89"/>
      <c r="CB40" s="83"/>
      <c r="CC40" s="1"/>
      <c r="CD40" s="89"/>
      <c r="CE40" s="83"/>
      <c r="CF40" s="1"/>
      <c r="CG40" s="89"/>
      <c r="CH40" s="83"/>
      <c r="CI40" s="1"/>
      <c r="CJ40" s="89"/>
      <c r="CK40" s="83"/>
      <c r="CL40" s="1"/>
      <c r="CM40" s="89"/>
      <c r="CN40" s="83"/>
      <c r="CO40" s="1"/>
      <c r="CP40" s="89"/>
      <c r="CQ40" s="83"/>
      <c r="CR40" s="1"/>
      <c r="CS40" s="89"/>
      <c r="CT40" s="83"/>
      <c r="CU40" s="1"/>
      <c r="CV40" s="89"/>
      <c r="CW40" s="83"/>
      <c r="CX40" s="1"/>
      <c r="CY40" s="89"/>
    </row>
    <row r="41" spans="1:103" x14ac:dyDescent="0.3">
      <c r="A41" s="41">
        <v>2038</v>
      </c>
      <c r="B41" s="83"/>
      <c r="C41" s="1"/>
      <c r="D41" s="89"/>
      <c r="E41" s="1"/>
      <c r="F41" s="1"/>
      <c r="G41" s="89"/>
      <c r="H41" s="83"/>
      <c r="I41" s="1"/>
      <c r="J41" s="89"/>
      <c r="K41" s="83"/>
      <c r="L41" s="1"/>
      <c r="M41" s="89"/>
      <c r="N41" s="83"/>
      <c r="O41" s="1"/>
      <c r="P41" s="89"/>
      <c r="Q41" s="83"/>
      <c r="R41" s="1"/>
      <c r="S41" s="89"/>
      <c r="T41" s="83"/>
      <c r="U41" s="1"/>
      <c r="V41" s="89"/>
      <c r="W41" s="83"/>
      <c r="X41" s="1"/>
      <c r="Y41" s="89"/>
      <c r="Z41" s="83"/>
      <c r="AA41" s="1"/>
      <c r="AB41" s="89"/>
      <c r="AC41" s="83"/>
      <c r="AD41" s="1"/>
      <c r="AE41" s="89"/>
      <c r="AF41" s="83"/>
      <c r="AG41" s="1"/>
      <c r="AH41" s="89"/>
      <c r="AI41" s="83"/>
      <c r="AJ41" s="1"/>
      <c r="AK41" s="89"/>
      <c r="AL41" s="83"/>
      <c r="AM41" s="1"/>
      <c r="AN41" s="89"/>
      <c r="AO41" s="83"/>
      <c r="AP41" s="1"/>
      <c r="AQ41" s="89"/>
      <c r="AR41" s="83"/>
      <c r="AS41" s="1"/>
      <c r="AT41" s="89"/>
      <c r="AU41" s="83"/>
      <c r="AV41" s="1"/>
      <c r="AW41" s="89"/>
      <c r="AX41" s="83"/>
      <c r="AZ41" s="89"/>
      <c r="BA41" s="83"/>
      <c r="BB41" s="1"/>
      <c r="BC41" s="89"/>
      <c r="BD41" s="83"/>
      <c r="BE41" s="1"/>
      <c r="BF41" s="89"/>
      <c r="BG41" s="83"/>
      <c r="BH41" s="1"/>
      <c r="BI41" s="89"/>
      <c r="BJ41" s="83"/>
      <c r="BK41" s="1"/>
      <c r="BL41" s="89"/>
      <c r="BM41" s="83"/>
      <c r="BN41" s="1"/>
      <c r="BO41" s="89"/>
      <c r="BP41" s="83"/>
      <c r="BQ41" s="1"/>
      <c r="BR41" s="89"/>
      <c r="BS41" s="83"/>
      <c r="BT41" s="1"/>
      <c r="BU41" s="89"/>
      <c r="BV41" s="83"/>
      <c r="BW41" s="1"/>
      <c r="BX41" s="89"/>
      <c r="BY41" s="83"/>
      <c r="BZ41" s="1"/>
      <c r="CA41" s="89"/>
      <c r="CB41" s="83"/>
      <c r="CC41" s="1"/>
      <c r="CD41" s="89"/>
      <c r="CE41" s="83"/>
      <c r="CF41" s="1"/>
      <c r="CG41" s="89"/>
      <c r="CH41" s="83"/>
      <c r="CI41" s="1"/>
      <c r="CJ41" s="89"/>
      <c r="CK41" s="83"/>
      <c r="CL41" s="1"/>
      <c r="CM41" s="89"/>
      <c r="CN41" s="83"/>
      <c r="CO41" s="1"/>
      <c r="CP41" s="89"/>
      <c r="CQ41" s="83"/>
      <c r="CR41" s="1"/>
      <c r="CS41" s="89"/>
      <c r="CT41" s="83"/>
      <c r="CU41" s="1"/>
      <c r="CV41" s="89"/>
      <c r="CW41" s="83"/>
      <c r="CX41" s="1"/>
      <c r="CY41" s="89"/>
    </row>
    <row r="42" spans="1:103" x14ac:dyDescent="0.3">
      <c r="A42" s="41">
        <v>2039</v>
      </c>
      <c r="B42" s="83"/>
      <c r="C42" s="1"/>
      <c r="D42" s="89"/>
      <c r="E42" s="1"/>
      <c r="F42" s="1"/>
      <c r="G42" s="89"/>
      <c r="H42" s="83"/>
      <c r="I42" s="1"/>
      <c r="J42" s="89"/>
      <c r="K42" s="83"/>
      <c r="L42" s="1"/>
      <c r="M42" s="89"/>
      <c r="N42" s="83"/>
      <c r="O42" s="1"/>
      <c r="P42" s="89"/>
      <c r="Q42" s="83"/>
      <c r="R42" s="1"/>
      <c r="S42" s="89"/>
      <c r="T42" s="83"/>
      <c r="U42" s="1"/>
      <c r="V42" s="89"/>
      <c r="W42" s="83"/>
      <c r="X42" s="1"/>
      <c r="Y42" s="89"/>
      <c r="Z42" s="83"/>
      <c r="AA42" s="1"/>
      <c r="AB42" s="89"/>
      <c r="AC42" s="83"/>
      <c r="AD42" s="1"/>
      <c r="AE42" s="89"/>
      <c r="AF42" s="83"/>
      <c r="AG42" s="1"/>
      <c r="AH42" s="89"/>
      <c r="AI42" s="83"/>
      <c r="AJ42" s="1"/>
      <c r="AK42" s="89"/>
      <c r="AL42" s="83"/>
      <c r="AM42" s="1"/>
      <c r="AN42" s="89"/>
      <c r="AO42" s="83"/>
      <c r="AP42" s="1"/>
      <c r="AQ42" s="89"/>
      <c r="AR42" s="83"/>
      <c r="AS42" s="1"/>
      <c r="AT42" s="89"/>
      <c r="AU42" s="83"/>
      <c r="AV42" s="1"/>
      <c r="AW42" s="89"/>
      <c r="AX42" s="83"/>
      <c r="AZ42" s="89"/>
      <c r="BA42" s="83"/>
      <c r="BB42" s="1"/>
      <c r="BC42" s="89"/>
      <c r="BD42" s="83"/>
      <c r="BE42" s="1"/>
      <c r="BF42" s="89"/>
      <c r="BG42" s="83"/>
      <c r="BH42" s="1"/>
      <c r="BI42" s="89"/>
      <c r="BJ42" s="83"/>
      <c r="BK42" s="1"/>
      <c r="BL42" s="89"/>
      <c r="BM42" s="83"/>
      <c r="BN42" s="1"/>
      <c r="BO42" s="89"/>
      <c r="BP42" s="83"/>
      <c r="BQ42" s="1"/>
      <c r="BR42" s="89"/>
      <c r="BS42" s="83"/>
      <c r="BT42" s="1"/>
      <c r="BU42" s="89"/>
      <c r="BV42" s="83"/>
      <c r="BW42" s="1"/>
      <c r="BX42" s="89"/>
      <c r="BY42" s="83"/>
      <c r="BZ42" s="1"/>
      <c r="CA42" s="89"/>
      <c r="CB42" s="83"/>
      <c r="CC42" s="1"/>
      <c r="CD42" s="89"/>
      <c r="CE42" s="83"/>
      <c r="CF42" s="1"/>
      <c r="CG42" s="89"/>
      <c r="CH42" s="83"/>
      <c r="CI42" s="1"/>
      <c r="CJ42" s="89"/>
      <c r="CK42" s="83"/>
      <c r="CL42" s="1"/>
      <c r="CM42" s="89"/>
      <c r="CN42" s="83"/>
      <c r="CO42" s="1"/>
      <c r="CP42" s="89"/>
      <c r="CQ42" s="83"/>
      <c r="CR42" s="1"/>
      <c r="CS42" s="89"/>
      <c r="CT42" s="83"/>
      <c r="CU42" s="1"/>
      <c r="CV42" s="89"/>
      <c r="CW42" s="83"/>
      <c r="CX42" s="1"/>
      <c r="CY42" s="89"/>
    </row>
    <row r="43" spans="1:103" x14ac:dyDescent="0.3">
      <c r="A43" s="41">
        <v>2040</v>
      </c>
      <c r="B43" s="83"/>
      <c r="C43" s="1"/>
      <c r="D43" s="89"/>
      <c r="E43" s="1"/>
      <c r="F43" s="1"/>
      <c r="G43" s="89"/>
      <c r="H43" s="83"/>
      <c r="I43" s="1"/>
      <c r="J43" s="89"/>
      <c r="K43" s="83"/>
      <c r="L43" s="1"/>
      <c r="M43" s="89"/>
      <c r="N43" s="83"/>
      <c r="O43" s="1"/>
      <c r="P43" s="89"/>
      <c r="Q43" s="83"/>
      <c r="R43" s="1"/>
      <c r="S43" s="89"/>
      <c r="T43" s="83"/>
      <c r="U43" s="1"/>
      <c r="V43" s="89"/>
      <c r="W43" s="83"/>
      <c r="X43" s="1"/>
      <c r="Y43" s="89"/>
      <c r="Z43" s="83"/>
      <c r="AA43" s="1"/>
      <c r="AB43" s="89"/>
      <c r="AC43" s="83"/>
      <c r="AD43" s="1"/>
      <c r="AE43" s="89"/>
      <c r="AF43" s="83"/>
      <c r="AG43" s="1"/>
      <c r="AH43" s="89"/>
      <c r="AI43" s="83"/>
      <c r="AJ43" s="1"/>
      <c r="AK43" s="89"/>
      <c r="AL43" s="83"/>
      <c r="AM43" s="1"/>
      <c r="AN43" s="89"/>
      <c r="AO43" s="83">
        <v>1378.3216783216785</v>
      </c>
      <c r="AP43" s="1">
        <v>1971</v>
      </c>
      <c r="AQ43" s="89">
        <v>3115.3846153846157</v>
      </c>
      <c r="AR43" s="83">
        <v>504.70588235294116</v>
      </c>
      <c r="AS43" s="1">
        <v>820.30150753768851</v>
      </c>
      <c r="AT43" s="89">
        <v>1320</v>
      </c>
      <c r="AU43" s="83">
        <v>459.35999999999996</v>
      </c>
      <c r="AV43" s="1">
        <v>800</v>
      </c>
      <c r="AW43" s="89">
        <v>1346.4</v>
      </c>
      <c r="AX43" s="83"/>
      <c r="AY43">
        <v>1703.8314766839378</v>
      </c>
      <c r="AZ43" s="89"/>
      <c r="BA43" s="83">
        <v>799.80000000000007</v>
      </c>
      <c r="BB43" s="1">
        <v>928.80000000000007</v>
      </c>
      <c r="BC43" s="89">
        <v>1109.4000000000001</v>
      </c>
      <c r="BD43" s="83">
        <v>541.79999999999995</v>
      </c>
      <c r="BE43" s="1">
        <v>743.4</v>
      </c>
      <c r="BF43" s="89">
        <v>1045.8</v>
      </c>
      <c r="BG43" s="83">
        <v>430.5</v>
      </c>
      <c r="BH43" s="1">
        <v>633.45000000000005</v>
      </c>
      <c r="BI43" s="89">
        <v>836.4</v>
      </c>
      <c r="BJ43" s="83">
        <v>381.3</v>
      </c>
      <c r="BK43" s="1">
        <v>547.35</v>
      </c>
      <c r="BL43" s="89">
        <v>713.4</v>
      </c>
      <c r="BM43" s="83"/>
      <c r="BN43" s="1"/>
      <c r="BO43" s="89"/>
      <c r="BP43" s="83"/>
      <c r="BQ43" s="1"/>
      <c r="BR43" s="89"/>
      <c r="BS43" s="83"/>
      <c r="BT43" s="1"/>
      <c r="BU43" s="89"/>
      <c r="BV43" s="83"/>
      <c r="BW43" s="1"/>
      <c r="BX43" s="89"/>
      <c r="BY43" s="83"/>
      <c r="BZ43" s="1"/>
      <c r="CA43" s="89"/>
      <c r="CB43" s="83"/>
      <c r="CC43" s="1"/>
      <c r="CD43" s="89"/>
      <c r="CE43" s="83"/>
      <c r="CF43" s="1"/>
      <c r="CG43" s="89"/>
      <c r="CH43" s="83"/>
      <c r="CI43" s="1"/>
      <c r="CJ43" s="89"/>
      <c r="CK43" s="83"/>
      <c r="CL43" s="1"/>
      <c r="CM43" s="89"/>
      <c r="CN43" s="83"/>
      <c r="CO43" s="1"/>
      <c r="CP43" s="89"/>
      <c r="CQ43" s="83"/>
      <c r="CR43" s="1"/>
      <c r="CS43" s="89"/>
      <c r="CT43" s="83"/>
      <c r="CU43" s="1"/>
      <c r="CV43" s="89"/>
      <c r="CW43" s="83"/>
      <c r="CX43" s="1"/>
      <c r="CY43" s="89"/>
    </row>
    <row r="44" spans="1:103" x14ac:dyDescent="0.3">
      <c r="A44" s="41">
        <v>2041</v>
      </c>
      <c r="B44" s="83"/>
      <c r="C44" s="1"/>
      <c r="D44" s="89"/>
      <c r="E44" s="1"/>
      <c r="F44" s="1"/>
      <c r="G44" s="89"/>
      <c r="H44" s="83"/>
      <c r="I44" s="1"/>
      <c r="J44" s="89"/>
      <c r="K44" s="83"/>
      <c r="L44" s="1"/>
      <c r="M44" s="89"/>
      <c r="N44" s="83"/>
      <c r="O44" s="1"/>
      <c r="P44" s="89"/>
      <c r="Q44" s="83"/>
      <c r="R44" s="1"/>
      <c r="S44" s="89"/>
      <c r="T44" s="83"/>
      <c r="U44" s="1"/>
      <c r="V44" s="89"/>
      <c r="W44" s="83"/>
      <c r="X44" s="1"/>
      <c r="Y44" s="89"/>
      <c r="Z44" s="83"/>
      <c r="AA44" s="1"/>
      <c r="AB44" s="89"/>
      <c r="AC44" s="83"/>
      <c r="AD44" s="1"/>
      <c r="AE44" s="89"/>
      <c r="AF44" s="83"/>
      <c r="AG44" s="1"/>
      <c r="AH44" s="89"/>
      <c r="AI44" s="83"/>
      <c r="AJ44" s="1"/>
      <c r="AK44" s="89"/>
      <c r="AL44" s="83"/>
      <c r="AM44" s="1"/>
      <c r="AN44" s="89"/>
      <c r="AO44" s="83"/>
      <c r="AP44" s="1"/>
      <c r="AQ44" s="89"/>
      <c r="AR44" s="83"/>
      <c r="AS44" s="1"/>
      <c r="AT44" s="89"/>
      <c r="AU44" s="83"/>
      <c r="AV44" s="1"/>
      <c r="AW44" s="89"/>
      <c r="AX44" s="83"/>
      <c r="AY44" s="1"/>
      <c r="AZ44" s="89"/>
      <c r="BA44" s="83"/>
      <c r="BB44" s="1"/>
      <c r="BC44" s="89"/>
      <c r="BD44" s="83"/>
      <c r="BE44" s="1"/>
      <c r="BF44" s="89"/>
      <c r="BG44" s="83"/>
      <c r="BH44" s="1"/>
      <c r="BI44" s="89"/>
      <c r="BJ44" s="83"/>
      <c r="BK44" s="1"/>
      <c r="BL44" s="89"/>
      <c r="BM44" s="83"/>
      <c r="BN44" s="1"/>
      <c r="BO44" s="89"/>
      <c r="BP44" s="83"/>
      <c r="BQ44" s="1"/>
      <c r="BR44" s="89"/>
      <c r="BS44" s="83"/>
      <c r="BT44" s="1"/>
      <c r="BU44" s="89"/>
      <c r="BV44" s="83"/>
      <c r="BW44" s="1"/>
      <c r="BX44" s="89"/>
      <c r="BY44" s="83"/>
      <c r="BZ44" s="1"/>
      <c r="CA44" s="89"/>
      <c r="CB44" s="83"/>
      <c r="CC44" s="1"/>
      <c r="CD44" s="89"/>
      <c r="CE44" s="83"/>
      <c r="CF44" s="1"/>
      <c r="CG44" s="89"/>
      <c r="CH44" s="83"/>
      <c r="CI44" s="1"/>
      <c r="CJ44" s="89"/>
      <c r="CK44" s="83"/>
      <c r="CL44" s="1"/>
      <c r="CM44" s="89"/>
      <c r="CN44" s="83"/>
      <c r="CO44" s="1"/>
      <c r="CP44" s="89"/>
      <c r="CQ44" s="83"/>
      <c r="CR44" s="1"/>
      <c r="CS44" s="89"/>
      <c r="CT44" s="83"/>
      <c r="CU44" s="1"/>
      <c r="CV44" s="89"/>
      <c r="CW44" s="83"/>
      <c r="CX44" s="1"/>
      <c r="CY44" s="89"/>
    </row>
    <row r="45" spans="1:103" x14ac:dyDescent="0.3">
      <c r="A45" s="41">
        <v>2042</v>
      </c>
      <c r="B45" s="83"/>
      <c r="C45" s="1"/>
      <c r="D45" s="89"/>
      <c r="E45" s="1"/>
      <c r="F45" s="1"/>
      <c r="G45" s="89"/>
      <c r="H45" s="83"/>
      <c r="I45" s="1"/>
      <c r="J45" s="89"/>
      <c r="K45" s="83"/>
      <c r="L45" s="1"/>
      <c r="M45" s="89"/>
      <c r="N45" s="83"/>
      <c r="O45" s="1"/>
      <c r="P45" s="89"/>
      <c r="Q45" s="83"/>
      <c r="R45" s="1"/>
      <c r="S45" s="89"/>
      <c r="T45" s="83"/>
      <c r="U45" s="1"/>
      <c r="V45" s="89"/>
      <c r="W45" s="83"/>
      <c r="X45" s="1"/>
      <c r="Y45" s="89"/>
      <c r="Z45" s="83"/>
      <c r="AA45" s="1"/>
      <c r="AB45" s="89"/>
      <c r="AC45" s="83"/>
      <c r="AD45" s="1"/>
      <c r="AE45" s="89"/>
      <c r="AF45" s="83"/>
      <c r="AG45" s="1"/>
      <c r="AH45" s="89"/>
      <c r="AI45" s="83"/>
      <c r="AJ45" s="1"/>
      <c r="AK45" s="89"/>
      <c r="AL45" s="83"/>
      <c r="AM45" s="1"/>
      <c r="AN45" s="89"/>
      <c r="AO45" s="83"/>
      <c r="AP45" s="1"/>
      <c r="AQ45" s="89"/>
      <c r="AR45" s="83"/>
      <c r="AS45" s="1"/>
      <c r="AT45" s="89"/>
      <c r="AU45" s="83"/>
      <c r="AV45" s="1"/>
      <c r="AW45" s="89"/>
      <c r="AX45" s="83"/>
      <c r="AY45" s="1"/>
      <c r="AZ45" s="89"/>
      <c r="BA45" s="83"/>
      <c r="BB45" s="1"/>
      <c r="BC45" s="89"/>
      <c r="BD45" s="83"/>
      <c r="BE45" s="1"/>
      <c r="BF45" s="89"/>
      <c r="BG45" s="83"/>
      <c r="BH45" s="1"/>
      <c r="BI45" s="89"/>
      <c r="BJ45" s="83"/>
      <c r="BK45" s="1"/>
      <c r="BL45" s="89"/>
      <c r="BM45" s="83"/>
      <c r="BN45" s="1"/>
      <c r="BO45" s="89"/>
      <c r="BP45" s="83"/>
      <c r="BQ45" s="1"/>
      <c r="BR45" s="89"/>
      <c r="BS45" s="83"/>
      <c r="BT45" s="1"/>
      <c r="BU45" s="89"/>
      <c r="BV45" s="83"/>
      <c r="BW45" s="1"/>
      <c r="BX45" s="89"/>
      <c r="BY45" s="83"/>
      <c r="BZ45" s="1"/>
      <c r="CA45" s="89"/>
      <c r="CB45" s="83"/>
      <c r="CC45" s="1"/>
      <c r="CD45" s="89"/>
      <c r="CE45" s="83"/>
      <c r="CF45" s="1"/>
      <c r="CG45" s="89"/>
      <c r="CH45" s="83"/>
      <c r="CI45" s="1"/>
      <c r="CJ45" s="89"/>
      <c r="CK45" s="83"/>
      <c r="CL45" s="1"/>
      <c r="CM45" s="89"/>
      <c r="CN45" s="83"/>
      <c r="CO45" s="1"/>
      <c r="CP45" s="89"/>
      <c r="CQ45" s="83"/>
      <c r="CR45" s="1"/>
      <c r="CS45" s="89"/>
      <c r="CT45" s="83"/>
      <c r="CU45" s="1"/>
      <c r="CV45" s="89"/>
      <c r="CW45" s="83"/>
      <c r="CX45" s="1"/>
      <c r="CY45" s="89"/>
    </row>
    <row r="46" spans="1:103" x14ac:dyDescent="0.3">
      <c r="A46" s="41">
        <v>2043</v>
      </c>
      <c r="B46" s="83"/>
      <c r="C46" s="1"/>
      <c r="D46" s="89"/>
      <c r="E46" s="1"/>
      <c r="F46" s="1"/>
      <c r="G46" s="89"/>
      <c r="H46" s="83"/>
      <c r="I46" s="1"/>
      <c r="J46" s="89"/>
      <c r="K46" s="83"/>
      <c r="L46" s="1"/>
      <c r="M46" s="89"/>
      <c r="N46" s="83"/>
      <c r="O46" s="1"/>
      <c r="P46" s="89"/>
      <c r="Q46" s="83"/>
      <c r="R46" s="1"/>
      <c r="S46" s="89"/>
      <c r="T46" s="83"/>
      <c r="U46" s="1"/>
      <c r="V46" s="89"/>
      <c r="W46" s="83"/>
      <c r="X46" s="1"/>
      <c r="Y46" s="89"/>
      <c r="Z46" s="83"/>
      <c r="AA46" s="1"/>
      <c r="AB46" s="89"/>
      <c r="AC46" s="83"/>
      <c r="AD46" s="1"/>
      <c r="AE46" s="89"/>
      <c r="AF46" s="83"/>
      <c r="AG46" s="1"/>
      <c r="AH46" s="89"/>
      <c r="AI46" s="83"/>
      <c r="AJ46" s="1"/>
      <c r="AK46" s="89"/>
      <c r="AL46" s="83"/>
      <c r="AM46" s="1"/>
      <c r="AN46" s="89"/>
      <c r="AO46" s="83"/>
      <c r="AP46" s="1"/>
      <c r="AQ46" s="89"/>
      <c r="AR46" s="83"/>
      <c r="AS46" s="1"/>
      <c r="AT46" s="89"/>
      <c r="AU46" s="83"/>
      <c r="AV46" s="1"/>
      <c r="AW46" s="89"/>
      <c r="AX46" s="83"/>
      <c r="AY46" s="1"/>
      <c r="AZ46" s="89"/>
      <c r="BA46" s="83"/>
      <c r="BB46" s="1"/>
      <c r="BC46" s="89"/>
      <c r="BD46" s="83"/>
      <c r="BE46" s="1"/>
      <c r="BF46" s="89"/>
      <c r="BG46" s="83"/>
      <c r="BH46" s="1"/>
      <c r="BI46" s="89"/>
      <c r="BJ46" s="83"/>
      <c r="BK46" s="1"/>
      <c r="BL46" s="89"/>
      <c r="BM46" s="83"/>
      <c r="BN46" s="1"/>
      <c r="BO46" s="89"/>
      <c r="BP46" s="83"/>
      <c r="BQ46" s="1"/>
      <c r="BR46" s="89"/>
      <c r="BS46" s="83"/>
      <c r="BT46" s="1"/>
      <c r="BU46" s="89"/>
      <c r="BV46" s="83"/>
      <c r="BW46" s="1"/>
      <c r="BX46" s="89"/>
      <c r="BY46" s="83"/>
      <c r="BZ46" s="1"/>
      <c r="CA46" s="89"/>
      <c r="CB46" s="83"/>
      <c r="CC46" s="1"/>
      <c r="CD46" s="89"/>
      <c r="CE46" s="83"/>
      <c r="CF46" s="1"/>
      <c r="CG46" s="89"/>
      <c r="CH46" s="83"/>
      <c r="CI46" s="1"/>
      <c r="CJ46" s="89"/>
      <c r="CK46" s="83"/>
      <c r="CL46" s="1"/>
      <c r="CM46" s="89"/>
      <c r="CN46" s="83"/>
      <c r="CO46" s="1"/>
      <c r="CP46" s="89"/>
      <c r="CQ46" s="83"/>
      <c r="CR46" s="1"/>
      <c r="CS46" s="89"/>
      <c r="CT46" s="83"/>
      <c r="CU46" s="1"/>
      <c r="CV46" s="89"/>
      <c r="CW46" s="83"/>
      <c r="CX46" s="1"/>
      <c r="CY46" s="89"/>
    </row>
    <row r="47" spans="1:103" x14ac:dyDescent="0.3">
      <c r="A47" s="41">
        <v>2044</v>
      </c>
      <c r="B47" s="83"/>
      <c r="C47" s="1"/>
      <c r="D47" s="89"/>
      <c r="E47" s="1"/>
      <c r="F47" s="1"/>
      <c r="G47" s="89"/>
      <c r="H47" s="83"/>
      <c r="I47" s="1"/>
      <c r="J47" s="89"/>
      <c r="K47" s="83"/>
      <c r="L47" s="1"/>
      <c r="M47" s="89"/>
      <c r="N47" s="83"/>
      <c r="O47" s="1"/>
      <c r="P47" s="89"/>
      <c r="Q47" s="83"/>
      <c r="R47" s="1"/>
      <c r="S47" s="89"/>
      <c r="T47" s="83"/>
      <c r="U47" s="1"/>
      <c r="V47" s="89"/>
      <c r="W47" s="83"/>
      <c r="X47" s="1"/>
      <c r="Y47" s="89"/>
      <c r="Z47" s="83"/>
      <c r="AA47" s="1"/>
      <c r="AB47" s="89"/>
      <c r="AC47" s="83"/>
      <c r="AD47" s="1"/>
      <c r="AE47" s="89"/>
      <c r="AF47" s="83"/>
      <c r="AG47" s="1"/>
      <c r="AH47" s="89"/>
      <c r="AI47" s="83"/>
      <c r="AJ47" s="1"/>
      <c r="AK47" s="89"/>
      <c r="AL47" s="83"/>
      <c r="AM47" s="1"/>
      <c r="AN47" s="89"/>
      <c r="AO47" s="83"/>
      <c r="AP47" s="1"/>
      <c r="AQ47" s="89"/>
      <c r="AR47" s="83"/>
      <c r="AS47" s="1"/>
      <c r="AT47" s="89"/>
      <c r="AU47" s="83"/>
      <c r="AV47" s="1"/>
      <c r="AW47" s="89"/>
      <c r="AX47" s="83"/>
      <c r="AY47" s="1"/>
      <c r="AZ47" s="89"/>
      <c r="BA47" s="83"/>
      <c r="BB47" s="1"/>
      <c r="BC47" s="89"/>
      <c r="BD47" s="83"/>
      <c r="BE47" s="1"/>
      <c r="BF47" s="89"/>
      <c r="BG47" s="83"/>
      <c r="BH47" s="1"/>
      <c r="BI47" s="89"/>
      <c r="BJ47" s="83"/>
      <c r="BK47" s="1"/>
      <c r="BL47" s="89"/>
      <c r="BM47" s="83"/>
      <c r="BN47" s="1"/>
      <c r="BO47" s="89"/>
      <c r="BP47" s="83"/>
      <c r="BQ47" s="1"/>
      <c r="BR47" s="89"/>
      <c r="BS47" s="83"/>
      <c r="BT47" s="1"/>
      <c r="BU47" s="89"/>
      <c r="BV47" s="83"/>
      <c r="BW47" s="1"/>
      <c r="BX47" s="89"/>
      <c r="BY47" s="83"/>
      <c r="BZ47" s="1"/>
      <c r="CA47" s="89"/>
      <c r="CB47" s="83"/>
      <c r="CC47" s="1"/>
      <c r="CD47" s="89"/>
      <c r="CE47" s="83"/>
      <c r="CF47" s="1"/>
      <c r="CG47" s="89"/>
      <c r="CH47" s="83"/>
      <c r="CI47" s="1"/>
      <c r="CJ47" s="89"/>
      <c r="CK47" s="83"/>
      <c r="CL47" s="1"/>
      <c r="CM47" s="89"/>
      <c r="CN47" s="83"/>
      <c r="CO47" s="1"/>
      <c r="CP47" s="89"/>
      <c r="CQ47" s="83"/>
      <c r="CR47" s="1"/>
      <c r="CS47" s="89"/>
      <c r="CT47" s="83"/>
      <c r="CU47" s="1"/>
      <c r="CV47" s="89"/>
      <c r="CW47" s="83"/>
      <c r="CX47" s="1"/>
      <c r="CY47" s="89"/>
    </row>
    <row r="48" spans="1:103" x14ac:dyDescent="0.3">
      <c r="A48" s="41">
        <v>2045</v>
      </c>
      <c r="B48" s="83"/>
      <c r="C48" s="1"/>
      <c r="D48" s="89"/>
      <c r="E48" s="1"/>
      <c r="F48" s="1"/>
      <c r="G48" s="89"/>
      <c r="H48" s="83"/>
      <c r="I48" s="1"/>
      <c r="J48" s="89"/>
      <c r="K48" s="83"/>
      <c r="L48" s="1"/>
      <c r="M48" s="89"/>
      <c r="N48" s="83"/>
      <c r="O48" s="1"/>
      <c r="P48" s="89"/>
      <c r="Q48" s="83"/>
      <c r="R48" s="1"/>
      <c r="S48" s="89"/>
      <c r="T48" s="83"/>
      <c r="U48" s="1"/>
      <c r="V48" s="89"/>
      <c r="W48" s="83"/>
      <c r="X48" s="1"/>
      <c r="Y48" s="89"/>
      <c r="Z48" s="83"/>
      <c r="AA48" s="1"/>
      <c r="AB48" s="89"/>
      <c r="AC48" s="83"/>
      <c r="AD48" s="1"/>
      <c r="AE48" s="89"/>
      <c r="AF48" s="83"/>
      <c r="AG48" s="1"/>
      <c r="AH48" s="89"/>
      <c r="AI48" s="83"/>
      <c r="AJ48" s="1"/>
      <c r="AK48" s="89"/>
      <c r="AL48" s="83"/>
      <c r="AM48" s="1"/>
      <c r="AN48" s="89"/>
      <c r="AO48" s="83"/>
      <c r="AP48" s="1"/>
      <c r="AQ48" s="89"/>
      <c r="AR48" s="83"/>
      <c r="AS48" s="1"/>
      <c r="AT48" s="89"/>
      <c r="AU48" s="83"/>
      <c r="AV48" s="1"/>
      <c r="AW48" s="89"/>
      <c r="AX48" s="83"/>
      <c r="AY48" s="1"/>
      <c r="AZ48" s="89"/>
      <c r="BA48" s="83"/>
      <c r="BB48" s="1"/>
      <c r="BC48" s="89"/>
      <c r="BD48" s="83"/>
      <c r="BE48" s="1"/>
      <c r="BF48" s="89"/>
      <c r="BG48" s="83"/>
      <c r="BH48" s="1"/>
      <c r="BI48" s="89"/>
      <c r="BJ48" s="83"/>
      <c r="BK48" s="1"/>
      <c r="BL48" s="89"/>
      <c r="BM48" s="83"/>
      <c r="BN48" s="1"/>
      <c r="BO48" s="89"/>
      <c r="BP48" s="83"/>
      <c r="BQ48" s="1"/>
      <c r="BR48" s="89"/>
      <c r="BS48" s="83"/>
      <c r="BT48" s="1"/>
      <c r="BU48" s="89"/>
      <c r="BV48" s="83"/>
      <c r="BW48" s="1"/>
      <c r="BX48" s="89"/>
      <c r="BY48" s="83"/>
      <c r="BZ48" s="1"/>
      <c r="CA48" s="89"/>
      <c r="CB48" s="83"/>
      <c r="CC48" s="1"/>
      <c r="CD48" s="89"/>
      <c r="CE48" s="83"/>
      <c r="CF48" s="1"/>
      <c r="CG48" s="89"/>
      <c r="CH48" s="83"/>
      <c r="CI48" s="1"/>
      <c r="CJ48" s="89"/>
      <c r="CK48" s="83"/>
      <c r="CL48" s="1"/>
      <c r="CM48" s="89"/>
      <c r="CN48" s="83"/>
      <c r="CO48" s="1"/>
      <c r="CP48" s="89"/>
      <c r="CQ48" s="83"/>
      <c r="CR48" s="1"/>
      <c r="CS48" s="89"/>
      <c r="CT48" s="83"/>
      <c r="CU48" s="1"/>
      <c r="CV48" s="89"/>
      <c r="CW48" s="83"/>
      <c r="CX48" s="1"/>
      <c r="CY48" s="89"/>
    </row>
    <row r="49" spans="1:103" x14ac:dyDescent="0.3">
      <c r="A49" s="41">
        <v>2046</v>
      </c>
      <c r="B49" s="83"/>
      <c r="C49" s="1"/>
      <c r="D49" s="89"/>
      <c r="E49" s="1"/>
      <c r="F49" s="1"/>
      <c r="G49" s="89"/>
      <c r="H49" s="83"/>
      <c r="I49" s="1"/>
      <c r="J49" s="89"/>
      <c r="K49" s="83"/>
      <c r="L49" s="1"/>
      <c r="M49" s="89"/>
      <c r="N49" s="83"/>
      <c r="O49" s="1"/>
      <c r="P49" s="89"/>
      <c r="Q49" s="83"/>
      <c r="R49" s="1"/>
      <c r="S49" s="89"/>
      <c r="T49" s="83"/>
      <c r="U49" s="1"/>
      <c r="V49" s="89"/>
      <c r="W49" s="83"/>
      <c r="X49" s="1"/>
      <c r="Y49" s="89"/>
      <c r="Z49" s="83"/>
      <c r="AA49" s="1"/>
      <c r="AB49" s="89"/>
      <c r="AC49" s="83"/>
      <c r="AD49" s="1"/>
      <c r="AE49" s="89"/>
      <c r="AF49" s="83"/>
      <c r="AG49" s="1"/>
      <c r="AH49" s="89"/>
      <c r="AI49" s="83"/>
      <c r="AJ49" s="1"/>
      <c r="AK49" s="89"/>
      <c r="AL49" s="83"/>
      <c r="AM49" s="1"/>
      <c r="AN49" s="89"/>
      <c r="AO49" s="83"/>
      <c r="AP49" s="1"/>
      <c r="AQ49" s="89"/>
      <c r="AR49" s="83"/>
      <c r="AS49" s="1"/>
      <c r="AT49" s="89"/>
      <c r="AU49" s="83"/>
      <c r="AV49" s="1"/>
      <c r="AW49" s="89"/>
      <c r="AX49" s="83"/>
      <c r="AY49" s="1"/>
      <c r="AZ49" s="89"/>
      <c r="BA49" s="83"/>
      <c r="BB49" s="1"/>
      <c r="BC49" s="89"/>
      <c r="BD49" s="83"/>
      <c r="BE49" s="1"/>
      <c r="BF49" s="89"/>
      <c r="BG49" s="83"/>
      <c r="BH49" s="1"/>
      <c r="BI49" s="89"/>
      <c r="BJ49" s="83"/>
      <c r="BK49" s="1"/>
      <c r="BL49" s="89"/>
      <c r="BM49" s="83"/>
      <c r="BN49" s="1"/>
      <c r="BO49" s="89"/>
      <c r="BP49" s="83"/>
      <c r="BQ49" s="1"/>
      <c r="BR49" s="89"/>
      <c r="BS49" s="83"/>
      <c r="BT49" s="1"/>
      <c r="BU49" s="89"/>
      <c r="BV49" s="83"/>
      <c r="BW49" s="1"/>
      <c r="BX49" s="89"/>
      <c r="BY49" s="83"/>
      <c r="BZ49" s="1"/>
      <c r="CA49" s="89"/>
      <c r="CB49" s="83"/>
      <c r="CC49" s="1"/>
      <c r="CD49" s="89"/>
      <c r="CE49" s="83"/>
      <c r="CF49" s="1"/>
      <c r="CG49" s="89"/>
      <c r="CH49" s="83"/>
      <c r="CI49" s="1"/>
      <c r="CJ49" s="89"/>
      <c r="CK49" s="83"/>
      <c r="CL49" s="1"/>
      <c r="CM49" s="89"/>
      <c r="CN49" s="83"/>
      <c r="CO49" s="1"/>
      <c r="CP49" s="89"/>
      <c r="CQ49" s="83"/>
      <c r="CR49" s="1"/>
      <c r="CS49" s="89"/>
      <c r="CT49" s="83"/>
      <c r="CU49" s="1"/>
      <c r="CV49" s="89"/>
      <c r="CW49" s="83"/>
      <c r="CX49" s="1"/>
      <c r="CY49" s="89"/>
    </row>
    <row r="50" spans="1:103" x14ac:dyDescent="0.3">
      <c r="A50" s="41">
        <v>2047</v>
      </c>
      <c r="B50" s="83"/>
      <c r="C50" s="1"/>
      <c r="D50" s="89"/>
      <c r="E50" s="1"/>
      <c r="F50" s="1"/>
      <c r="G50" s="89"/>
      <c r="H50" s="83"/>
      <c r="I50" s="1"/>
      <c r="J50" s="89"/>
      <c r="K50" s="83"/>
      <c r="L50" s="1"/>
      <c r="M50" s="89"/>
      <c r="N50" s="83"/>
      <c r="O50" s="1"/>
      <c r="P50" s="89"/>
      <c r="Q50" s="83"/>
      <c r="R50" s="1"/>
      <c r="S50" s="89"/>
      <c r="T50" s="83"/>
      <c r="U50" s="1"/>
      <c r="V50" s="89"/>
      <c r="W50" s="83"/>
      <c r="X50" s="1"/>
      <c r="Y50" s="89"/>
      <c r="Z50" s="83"/>
      <c r="AA50" s="1"/>
      <c r="AB50" s="89"/>
      <c r="AC50" s="83"/>
      <c r="AD50" s="1"/>
      <c r="AE50" s="89"/>
      <c r="AF50" s="83"/>
      <c r="AG50" s="1"/>
      <c r="AH50" s="89"/>
      <c r="AI50" s="83"/>
      <c r="AJ50" s="1"/>
      <c r="AK50" s="89"/>
      <c r="AL50" s="83"/>
      <c r="AM50" s="1"/>
      <c r="AN50" s="89"/>
      <c r="AO50" s="83"/>
      <c r="AP50" s="1"/>
      <c r="AQ50" s="89"/>
      <c r="AR50" s="83"/>
      <c r="AS50" s="1"/>
      <c r="AT50" s="89"/>
      <c r="AU50" s="83"/>
      <c r="AV50" s="1"/>
      <c r="AW50" s="89"/>
      <c r="AX50" s="83"/>
      <c r="AY50" s="1"/>
      <c r="AZ50" s="89"/>
      <c r="BA50" s="83"/>
      <c r="BB50" s="1"/>
      <c r="BC50" s="89"/>
      <c r="BD50" s="83"/>
      <c r="BE50" s="1"/>
      <c r="BF50" s="89"/>
      <c r="BG50" s="83"/>
      <c r="BH50" s="1"/>
      <c r="BI50" s="89"/>
      <c r="BJ50" s="83"/>
      <c r="BK50" s="1"/>
      <c r="BL50" s="89"/>
      <c r="BM50" s="83"/>
      <c r="BN50" s="1"/>
      <c r="BO50" s="89"/>
      <c r="BP50" s="83"/>
      <c r="BQ50" s="1"/>
      <c r="BR50" s="89"/>
      <c r="BS50" s="83"/>
      <c r="BT50" s="1"/>
      <c r="BU50" s="89"/>
      <c r="BV50" s="83"/>
      <c r="BW50" s="1"/>
      <c r="BX50" s="89"/>
      <c r="BY50" s="83"/>
      <c r="BZ50" s="1"/>
      <c r="CA50" s="89"/>
      <c r="CB50" s="83"/>
      <c r="CC50" s="1"/>
      <c r="CD50" s="89"/>
      <c r="CE50" s="83"/>
      <c r="CF50" s="1"/>
      <c r="CG50" s="89"/>
      <c r="CH50" s="83"/>
      <c r="CI50" s="1"/>
      <c r="CJ50" s="89"/>
      <c r="CK50" s="83"/>
      <c r="CL50" s="1"/>
      <c r="CM50" s="89"/>
      <c r="CN50" s="83"/>
      <c r="CO50" s="1"/>
      <c r="CP50" s="89"/>
      <c r="CQ50" s="83"/>
      <c r="CR50" s="1"/>
      <c r="CS50" s="89"/>
      <c r="CT50" s="83"/>
      <c r="CU50" s="1"/>
      <c r="CV50" s="89"/>
      <c r="CW50" s="83"/>
      <c r="CX50" s="1"/>
      <c r="CY50" s="89"/>
    </row>
    <row r="51" spans="1:103" x14ac:dyDescent="0.3">
      <c r="A51" s="41">
        <v>2048</v>
      </c>
      <c r="B51" s="83"/>
      <c r="C51" s="1"/>
      <c r="D51" s="89"/>
      <c r="E51" s="1"/>
      <c r="F51" s="1"/>
      <c r="G51" s="89"/>
      <c r="H51" s="83"/>
      <c r="I51" s="1"/>
      <c r="J51" s="89"/>
      <c r="K51" s="83"/>
      <c r="L51" s="1"/>
      <c r="M51" s="89"/>
      <c r="N51" s="83"/>
      <c r="O51" s="1"/>
      <c r="P51" s="89"/>
      <c r="Q51" s="83"/>
      <c r="R51" s="1"/>
      <c r="S51" s="89"/>
      <c r="T51" s="83"/>
      <c r="U51" s="1"/>
      <c r="V51" s="89"/>
      <c r="W51" s="83"/>
      <c r="X51" s="1"/>
      <c r="Y51" s="89"/>
      <c r="Z51" s="83"/>
      <c r="AA51" s="1"/>
      <c r="AB51" s="89"/>
      <c r="AC51" s="83"/>
      <c r="AD51" s="1"/>
      <c r="AE51" s="89"/>
      <c r="AF51" s="83"/>
      <c r="AG51" s="1"/>
      <c r="AH51" s="89"/>
      <c r="AI51" s="83"/>
      <c r="AJ51" s="1"/>
      <c r="AK51" s="89"/>
      <c r="AL51" s="83"/>
      <c r="AM51" s="1"/>
      <c r="AN51" s="89"/>
      <c r="AO51" s="83"/>
      <c r="AP51" s="1"/>
      <c r="AQ51" s="89"/>
      <c r="AR51" s="83"/>
      <c r="AS51" s="1"/>
      <c r="AT51" s="89"/>
      <c r="AU51" s="83"/>
      <c r="AV51" s="1"/>
      <c r="AW51" s="89"/>
      <c r="AX51" s="83"/>
      <c r="AY51" s="1"/>
      <c r="AZ51" s="89"/>
      <c r="BA51" s="83"/>
      <c r="BB51" s="1"/>
      <c r="BC51" s="89"/>
      <c r="BD51" s="83"/>
      <c r="BE51" s="1"/>
      <c r="BF51" s="89"/>
      <c r="BG51" s="83"/>
      <c r="BH51" s="1"/>
      <c r="BI51" s="89"/>
      <c r="BJ51" s="83"/>
      <c r="BK51" s="1"/>
      <c r="BL51" s="89"/>
      <c r="BM51" s="83"/>
      <c r="BN51" s="1"/>
      <c r="BO51" s="89"/>
      <c r="BP51" s="83"/>
      <c r="BQ51" s="1"/>
      <c r="BR51" s="89"/>
      <c r="BS51" s="83"/>
      <c r="BT51" s="1"/>
      <c r="BU51" s="89"/>
      <c r="BV51" s="83"/>
      <c r="BW51" s="1"/>
      <c r="BX51" s="89"/>
      <c r="BY51" s="83"/>
      <c r="BZ51" s="1"/>
      <c r="CA51" s="89"/>
      <c r="CB51" s="83"/>
      <c r="CC51" s="1"/>
      <c r="CD51" s="89"/>
      <c r="CE51" s="83"/>
      <c r="CF51" s="1"/>
      <c r="CG51" s="89"/>
      <c r="CH51" s="83"/>
      <c r="CI51" s="1"/>
      <c r="CJ51" s="89"/>
      <c r="CK51" s="83"/>
      <c r="CL51" s="1"/>
      <c r="CM51" s="89"/>
      <c r="CN51" s="83"/>
      <c r="CO51" s="1"/>
      <c r="CP51" s="89"/>
      <c r="CQ51" s="83"/>
      <c r="CR51" s="1"/>
      <c r="CS51" s="89"/>
      <c r="CT51" s="83"/>
      <c r="CU51" s="1"/>
      <c r="CV51" s="89"/>
      <c r="CW51" s="83"/>
      <c r="CX51" s="1"/>
      <c r="CY51" s="89"/>
    </row>
    <row r="52" spans="1:103" x14ac:dyDescent="0.3">
      <c r="A52" s="41">
        <v>2049</v>
      </c>
      <c r="B52" s="83"/>
      <c r="C52" s="1"/>
      <c r="D52" s="89"/>
      <c r="E52" s="1"/>
      <c r="F52" s="1"/>
      <c r="G52" s="89"/>
      <c r="H52" s="83"/>
      <c r="I52" s="1"/>
      <c r="J52" s="89"/>
      <c r="K52" s="83"/>
      <c r="L52" s="1"/>
      <c r="M52" s="89"/>
      <c r="N52" s="83"/>
      <c r="O52" s="1"/>
      <c r="P52" s="89"/>
      <c r="Q52" s="83"/>
      <c r="R52" s="1"/>
      <c r="S52" s="89"/>
      <c r="T52" s="83"/>
      <c r="U52" s="1"/>
      <c r="V52" s="89"/>
      <c r="W52" s="83"/>
      <c r="X52" s="1"/>
      <c r="Y52" s="89"/>
      <c r="Z52" s="83"/>
      <c r="AA52" s="1"/>
      <c r="AB52" s="89"/>
      <c r="AC52" s="83"/>
      <c r="AD52" s="1"/>
      <c r="AE52" s="89"/>
      <c r="AF52" s="83"/>
      <c r="AG52" s="1"/>
      <c r="AH52" s="89"/>
      <c r="AI52" s="83"/>
      <c r="AJ52" s="1"/>
      <c r="AK52" s="89"/>
      <c r="AL52" s="83"/>
      <c r="AM52" s="1"/>
      <c r="AN52" s="89"/>
      <c r="AO52" s="83"/>
      <c r="AP52" s="1"/>
      <c r="AQ52" s="89"/>
      <c r="AR52" s="83"/>
      <c r="AS52" s="1"/>
      <c r="AT52" s="89"/>
      <c r="AU52" s="83"/>
      <c r="AV52" s="1"/>
      <c r="AW52" s="89"/>
      <c r="AX52" s="83"/>
      <c r="AY52" s="1"/>
      <c r="AZ52" s="89"/>
      <c r="BA52" s="83"/>
      <c r="BB52" s="1"/>
      <c r="BC52" s="89"/>
      <c r="BD52" s="83"/>
      <c r="BE52" s="1"/>
      <c r="BF52" s="89"/>
      <c r="BG52" s="83"/>
      <c r="BH52" s="1"/>
      <c r="BI52" s="89"/>
      <c r="BJ52" s="83"/>
      <c r="BK52" s="1"/>
      <c r="BL52" s="89"/>
      <c r="BM52" s="83"/>
      <c r="BN52" s="1"/>
      <c r="BO52" s="89"/>
      <c r="BP52" s="83"/>
      <c r="BQ52" s="1"/>
      <c r="BR52" s="89"/>
      <c r="BS52" s="83"/>
      <c r="BT52" s="1"/>
      <c r="BU52" s="89"/>
      <c r="BV52" s="83"/>
      <c r="BW52" s="1"/>
      <c r="BX52" s="89"/>
      <c r="BY52" s="83"/>
      <c r="BZ52" s="1"/>
      <c r="CA52" s="89"/>
      <c r="CB52" s="83"/>
      <c r="CC52" s="1"/>
      <c r="CD52" s="89"/>
      <c r="CE52" s="83"/>
      <c r="CF52" s="1"/>
      <c r="CG52" s="89"/>
      <c r="CH52" s="83"/>
      <c r="CI52" s="1"/>
      <c r="CJ52" s="89"/>
      <c r="CK52" s="83"/>
      <c r="CL52" s="1"/>
      <c r="CM52" s="89"/>
      <c r="CN52" s="83"/>
      <c r="CO52" s="1"/>
      <c r="CP52" s="89"/>
      <c r="CQ52" s="83"/>
      <c r="CR52" s="1"/>
      <c r="CS52" s="89"/>
      <c r="CT52" s="83"/>
      <c r="CU52" s="1"/>
      <c r="CV52" s="89"/>
      <c r="CW52" s="83"/>
      <c r="CX52" s="1"/>
      <c r="CY52" s="89"/>
    </row>
    <row r="53" spans="1:103" ht="15" thickBot="1" x14ac:dyDescent="0.35">
      <c r="A53" s="42">
        <v>2050</v>
      </c>
      <c r="B53" s="90"/>
      <c r="C53" s="91"/>
      <c r="D53" s="92"/>
      <c r="E53" s="91"/>
      <c r="F53" s="91"/>
      <c r="G53" s="92"/>
      <c r="H53" s="90"/>
      <c r="I53" s="91"/>
      <c r="J53" s="92"/>
      <c r="K53" s="90"/>
      <c r="L53" s="91"/>
      <c r="M53" s="92"/>
      <c r="N53" s="90"/>
      <c r="O53" s="91"/>
      <c r="P53" s="92"/>
      <c r="Q53" s="90"/>
      <c r="R53" s="91"/>
      <c r="S53" s="92"/>
      <c r="T53" s="90"/>
      <c r="U53" s="91"/>
      <c r="V53" s="92"/>
      <c r="W53" s="90"/>
      <c r="X53" s="91"/>
      <c r="Y53" s="92"/>
      <c r="Z53" s="90"/>
      <c r="AA53" s="91"/>
      <c r="AB53" s="92"/>
      <c r="AC53" s="90"/>
      <c r="AD53" s="91"/>
      <c r="AE53" s="92"/>
      <c r="AF53" s="90"/>
      <c r="AG53" s="91"/>
      <c r="AH53" s="92"/>
      <c r="AI53" s="90"/>
      <c r="AJ53" s="91"/>
      <c r="AK53" s="92"/>
      <c r="AL53" s="90"/>
      <c r="AM53" s="91"/>
      <c r="AN53" s="92"/>
      <c r="AO53" s="90"/>
      <c r="AP53" s="91"/>
      <c r="AQ53" s="92"/>
      <c r="AR53" s="90"/>
      <c r="AS53" s="91"/>
      <c r="AT53" s="92"/>
      <c r="AU53" s="90"/>
      <c r="AV53" s="91"/>
      <c r="AW53" s="92"/>
      <c r="AX53" s="90"/>
      <c r="AY53" s="91"/>
      <c r="AZ53" s="92"/>
      <c r="BA53" s="90"/>
      <c r="BB53" s="91"/>
      <c r="BC53" s="92"/>
      <c r="BD53" s="90"/>
      <c r="BE53" s="91"/>
      <c r="BF53" s="92"/>
      <c r="BG53" s="90"/>
      <c r="BH53" s="91"/>
      <c r="BI53" s="92"/>
      <c r="BJ53" s="90"/>
      <c r="BK53" s="91"/>
      <c r="BL53" s="92"/>
      <c r="BM53" s="90">
        <v>329.4</v>
      </c>
      <c r="BN53" s="91">
        <v>469.70000000000005</v>
      </c>
      <c r="BO53" s="92">
        <v>646.6</v>
      </c>
      <c r="BP53" s="90">
        <v>292.8</v>
      </c>
      <c r="BQ53" s="91">
        <v>411.74999999999994</v>
      </c>
      <c r="BR53" s="92">
        <v>561.19999999999993</v>
      </c>
      <c r="BS53" s="90">
        <v>280.59999999999997</v>
      </c>
      <c r="BT53" s="91">
        <v>396.49999999999994</v>
      </c>
      <c r="BU53" s="92">
        <v>536.79999999999995</v>
      </c>
      <c r="BV53" s="90">
        <v>268.39999999999998</v>
      </c>
      <c r="BW53" s="91">
        <v>384.29999999999995</v>
      </c>
      <c r="BX53" s="92">
        <v>512.4</v>
      </c>
      <c r="BY53" s="90">
        <v>329.4</v>
      </c>
      <c r="BZ53" s="91">
        <v>454.45</v>
      </c>
      <c r="CA53" s="92">
        <v>622.19999999999993</v>
      </c>
      <c r="CB53" s="90">
        <v>292.8</v>
      </c>
      <c r="CC53" s="91">
        <v>408.7</v>
      </c>
      <c r="CD53" s="92">
        <v>573.4</v>
      </c>
      <c r="CE53" s="90">
        <v>256.2</v>
      </c>
      <c r="CF53" s="91">
        <v>375.15</v>
      </c>
      <c r="CG53" s="92">
        <v>524.6</v>
      </c>
      <c r="CH53" s="90">
        <v>280.8</v>
      </c>
      <c r="CI53" s="91">
        <v>390</v>
      </c>
      <c r="CJ53" s="92">
        <v>499.20000000000005</v>
      </c>
      <c r="CK53" s="90">
        <v>260</v>
      </c>
      <c r="CL53" s="91">
        <v>366.6</v>
      </c>
      <c r="CM53" s="92">
        <v>478.40000000000003</v>
      </c>
      <c r="CN53" s="90">
        <v>249.60000000000002</v>
      </c>
      <c r="CO53" s="91">
        <v>356.2</v>
      </c>
      <c r="CP53" s="92">
        <v>457.6</v>
      </c>
      <c r="CQ53" s="90">
        <v>280</v>
      </c>
      <c r="CR53" s="91">
        <v>350</v>
      </c>
      <c r="CS53" s="92">
        <v>480</v>
      </c>
      <c r="CT53" s="90">
        <v>270</v>
      </c>
      <c r="CU53" s="91">
        <v>337.5</v>
      </c>
      <c r="CV53" s="92">
        <v>460</v>
      </c>
      <c r="CW53" s="90">
        <v>270</v>
      </c>
      <c r="CX53" s="91">
        <v>327.5</v>
      </c>
      <c r="CY53" s="92">
        <v>440</v>
      </c>
    </row>
    <row r="54" spans="1:103" ht="15" thickBot="1" x14ac:dyDescent="0.35">
      <c r="A54" s="36"/>
    </row>
    <row r="55" spans="1:103" ht="18.600000000000001" thickBot="1" x14ac:dyDescent="0.4">
      <c r="A55" s="289" t="s">
        <v>0</v>
      </c>
      <c r="B55" s="353" t="s">
        <v>111</v>
      </c>
      <c r="C55" s="354"/>
      <c r="D55" s="354"/>
      <c r="E55" s="354"/>
      <c r="F55" s="354"/>
      <c r="G55" s="354"/>
      <c r="H55" s="354"/>
      <c r="I55" s="354"/>
      <c r="J55" s="354"/>
      <c r="K55" s="354"/>
      <c r="L55" s="354"/>
      <c r="M55" s="354"/>
      <c r="N55" s="354"/>
      <c r="O55" s="354"/>
      <c r="P55" s="354"/>
      <c r="Q55" s="354"/>
      <c r="R55" s="354"/>
      <c r="S55" s="354"/>
      <c r="T55" s="354"/>
      <c r="U55" s="354"/>
      <c r="V55" s="354"/>
      <c r="W55" s="354"/>
      <c r="X55" s="354"/>
      <c r="Y55" s="354"/>
      <c r="Z55" s="354"/>
      <c r="AA55" s="354"/>
      <c r="AB55" s="354"/>
      <c r="AC55" s="354"/>
      <c r="AD55" s="354"/>
      <c r="AE55" s="354"/>
      <c r="AF55" s="354"/>
      <c r="AG55" s="354"/>
      <c r="AH55" s="354"/>
      <c r="AI55" s="354"/>
      <c r="AJ55" s="354"/>
      <c r="AK55" s="354"/>
      <c r="AL55" s="354"/>
      <c r="AM55" s="354"/>
      <c r="AN55" s="354"/>
      <c r="AO55" s="354"/>
      <c r="AP55" s="354"/>
      <c r="AQ55" s="354"/>
      <c r="AR55" s="354"/>
      <c r="AS55" s="354"/>
      <c r="AT55" s="354"/>
      <c r="AU55" s="354"/>
      <c r="AV55" s="354"/>
      <c r="AW55" s="354"/>
      <c r="AX55" s="354"/>
      <c r="AY55" s="354"/>
      <c r="AZ55" s="355"/>
    </row>
    <row r="56" spans="1:103" ht="18.600000000000001" thickBot="1" x14ac:dyDescent="0.35">
      <c r="A56" s="344"/>
      <c r="B56" s="368" t="s">
        <v>355</v>
      </c>
      <c r="C56" s="369"/>
      <c r="D56" s="370"/>
      <c r="E56" s="368" t="s">
        <v>356</v>
      </c>
      <c r="F56" s="369"/>
      <c r="G56" s="370"/>
      <c r="H56" s="368" t="s">
        <v>357</v>
      </c>
      <c r="I56" s="369"/>
      <c r="J56" s="370"/>
      <c r="K56" s="368" t="s">
        <v>358</v>
      </c>
      <c r="L56" s="369"/>
      <c r="M56" s="370"/>
      <c r="N56" s="368" t="s">
        <v>359</v>
      </c>
      <c r="O56" s="369"/>
      <c r="P56" s="370"/>
      <c r="Q56" s="368" t="s">
        <v>360</v>
      </c>
      <c r="R56" s="369"/>
      <c r="S56" s="370"/>
      <c r="T56" s="368" t="s">
        <v>361</v>
      </c>
      <c r="U56" s="369"/>
      <c r="V56" s="370"/>
      <c r="W56" s="368" t="s">
        <v>362</v>
      </c>
      <c r="X56" s="369"/>
      <c r="Y56" s="370"/>
      <c r="Z56" s="368" t="s">
        <v>363</v>
      </c>
      <c r="AA56" s="369"/>
      <c r="AB56" s="370"/>
      <c r="AC56" s="368" t="s">
        <v>364</v>
      </c>
      <c r="AD56" s="369"/>
      <c r="AE56" s="370"/>
      <c r="AF56" s="368" t="s">
        <v>365</v>
      </c>
      <c r="AG56" s="369"/>
      <c r="AH56" s="370"/>
      <c r="AI56" s="368" t="s">
        <v>366</v>
      </c>
      <c r="AJ56" s="369"/>
      <c r="AK56" s="370"/>
      <c r="AL56" s="368" t="s">
        <v>367</v>
      </c>
      <c r="AM56" s="369"/>
      <c r="AN56" s="370"/>
      <c r="AO56" s="368" t="s">
        <v>368</v>
      </c>
      <c r="AP56" s="369"/>
      <c r="AQ56" s="370"/>
      <c r="AR56" s="368" t="s">
        <v>369</v>
      </c>
      <c r="AS56" s="369"/>
      <c r="AT56" s="370"/>
      <c r="AU56" s="368" t="s">
        <v>370</v>
      </c>
      <c r="AV56" s="369"/>
      <c r="AW56" s="370"/>
      <c r="AX56" s="368" t="s">
        <v>371</v>
      </c>
      <c r="AY56" s="369"/>
      <c r="AZ56" s="370"/>
    </row>
    <row r="57" spans="1:103" ht="15" thickBot="1" x14ac:dyDescent="0.35">
      <c r="A57" s="290"/>
      <c r="B57" s="84" t="s">
        <v>18</v>
      </c>
      <c r="C57" s="85" t="s">
        <v>19</v>
      </c>
      <c r="D57" s="86" t="s">
        <v>20</v>
      </c>
      <c r="E57" s="84" t="s">
        <v>18</v>
      </c>
      <c r="F57" s="85" t="s">
        <v>19</v>
      </c>
      <c r="G57" s="86" t="s">
        <v>20</v>
      </c>
      <c r="H57" s="84" t="s">
        <v>18</v>
      </c>
      <c r="I57" s="85" t="s">
        <v>19</v>
      </c>
      <c r="J57" s="86" t="s">
        <v>20</v>
      </c>
      <c r="K57" s="84" t="s">
        <v>18</v>
      </c>
      <c r="L57" s="85" t="s">
        <v>19</v>
      </c>
      <c r="M57" s="86" t="s">
        <v>20</v>
      </c>
      <c r="N57" s="84" t="s">
        <v>18</v>
      </c>
      <c r="O57" s="85" t="s">
        <v>19</v>
      </c>
      <c r="P57" s="86" t="s">
        <v>20</v>
      </c>
      <c r="Q57" s="84" t="s">
        <v>18</v>
      </c>
      <c r="R57" s="85" t="s">
        <v>19</v>
      </c>
      <c r="S57" s="86" t="s">
        <v>20</v>
      </c>
      <c r="T57" s="84" t="s">
        <v>18</v>
      </c>
      <c r="U57" s="85" t="s">
        <v>19</v>
      </c>
      <c r="V57" s="86" t="s">
        <v>20</v>
      </c>
      <c r="W57" s="84" t="s">
        <v>18</v>
      </c>
      <c r="X57" s="85" t="s">
        <v>19</v>
      </c>
      <c r="Y57" s="86" t="s">
        <v>20</v>
      </c>
      <c r="Z57" s="84" t="s">
        <v>18</v>
      </c>
      <c r="AA57" s="85" t="s">
        <v>19</v>
      </c>
      <c r="AB57" s="86" t="s">
        <v>20</v>
      </c>
      <c r="AC57" s="84" t="s">
        <v>18</v>
      </c>
      <c r="AD57" s="85" t="s">
        <v>19</v>
      </c>
      <c r="AE57" s="86" t="s">
        <v>20</v>
      </c>
      <c r="AF57" s="84" t="s">
        <v>18</v>
      </c>
      <c r="AG57" s="85" t="s">
        <v>19</v>
      </c>
      <c r="AH57" s="86" t="s">
        <v>20</v>
      </c>
      <c r="AI57" s="84" t="s">
        <v>18</v>
      </c>
      <c r="AJ57" s="85" t="s">
        <v>19</v>
      </c>
      <c r="AK57" s="86" t="s">
        <v>20</v>
      </c>
      <c r="AL57" s="84" t="s">
        <v>18</v>
      </c>
      <c r="AM57" s="85" t="s">
        <v>19</v>
      </c>
      <c r="AN57" s="86" t="s">
        <v>20</v>
      </c>
      <c r="AO57" s="84" t="s">
        <v>18</v>
      </c>
      <c r="AP57" s="85" t="s">
        <v>19</v>
      </c>
      <c r="AQ57" s="86" t="s">
        <v>20</v>
      </c>
      <c r="AR57" s="84" t="s">
        <v>18</v>
      </c>
      <c r="AS57" s="85" t="s">
        <v>19</v>
      </c>
      <c r="AT57" s="86" t="s">
        <v>20</v>
      </c>
      <c r="AU57" s="84" t="s">
        <v>18</v>
      </c>
      <c r="AV57" s="85" t="s">
        <v>19</v>
      </c>
      <c r="AW57" s="86" t="s">
        <v>20</v>
      </c>
      <c r="AX57" s="84" t="s">
        <v>18</v>
      </c>
      <c r="AY57" s="85" t="s">
        <v>19</v>
      </c>
      <c r="AZ57" s="86" t="s">
        <v>20</v>
      </c>
    </row>
    <row r="58" spans="1:103" x14ac:dyDescent="0.3">
      <c r="A58" s="41">
        <v>2017</v>
      </c>
      <c r="B58" s="81">
        <v>103.2</v>
      </c>
      <c r="C58" s="82">
        <v>158.02500000000001</v>
      </c>
      <c r="D58" s="88">
        <v>212.85</v>
      </c>
      <c r="E58" s="81"/>
      <c r="F58" s="82"/>
      <c r="G58" s="88"/>
      <c r="H58" s="81"/>
      <c r="I58" s="82"/>
      <c r="J58" s="88"/>
      <c r="K58" s="81"/>
      <c r="L58" s="82"/>
      <c r="M58" s="88"/>
      <c r="N58" s="81"/>
      <c r="O58" s="82"/>
      <c r="P58" s="88"/>
      <c r="Q58" s="81"/>
      <c r="R58" s="82"/>
      <c r="S58" s="88"/>
      <c r="T58" s="81"/>
      <c r="U58" s="82"/>
      <c r="V58" s="88"/>
      <c r="W58" s="81"/>
      <c r="X58" s="82"/>
      <c r="Y58" s="88"/>
      <c r="Z58" s="81"/>
      <c r="AA58" s="82"/>
      <c r="AB58" s="88"/>
      <c r="AC58" s="81"/>
      <c r="AD58" s="82"/>
      <c r="AE58" s="88"/>
      <c r="AF58" s="81"/>
      <c r="AG58" s="82"/>
      <c r="AH58" s="88"/>
      <c r="AI58" s="81"/>
      <c r="AJ58" s="82"/>
      <c r="AK58" s="88"/>
      <c r="AL58" s="81"/>
      <c r="AM58" s="82"/>
      <c r="AN58" s="88"/>
      <c r="AO58" s="81"/>
      <c r="AP58" s="82"/>
      <c r="AQ58" s="88"/>
      <c r="AR58" s="81"/>
      <c r="AS58" s="82"/>
      <c r="AT58" s="88"/>
      <c r="AU58" s="81"/>
      <c r="AV58" s="82"/>
      <c r="AW58" s="88"/>
      <c r="AX58" s="81"/>
      <c r="AY58" s="82"/>
      <c r="AZ58" s="88"/>
    </row>
    <row r="59" spans="1:103" x14ac:dyDescent="0.3">
      <c r="A59" s="41">
        <v>2018</v>
      </c>
      <c r="B59" s="83"/>
      <c r="C59" s="1"/>
      <c r="D59" s="89"/>
      <c r="E59" s="83">
        <v>63</v>
      </c>
      <c r="F59" s="1">
        <v>97.65</v>
      </c>
      <c r="G59" s="89">
        <v>132.30000000000001</v>
      </c>
      <c r="H59" s="83"/>
      <c r="I59" s="1"/>
      <c r="J59" s="89"/>
      <c r="K59" s="83"/>
      <c r="L59" s="1"/>
      <c r="M59" s="89"/>
      <c r="N59" s="83"/>
      <c r="O59" s="1"/>
      <c r="P59" s="89"/>
      <c r="Q59" s="83"/>
      <c r="R59" s="1"/>
      <c r="S59" s="89"/>
      <c r="T59" s="83"/>
      <c r="U59" s="1"/>
      <c r="V59" s="89"/>
      <c r="W59" s="83"/>
      <c r="X59" s="1"/>
      <c r="Y59" s="89"/>
      <c r="Z59" s="83"/>
      <c r="AA59" s="1"/>
      <c r="AB59" s="89"/>
      <c r="AC59" s="83"/>
      <c r="AD59" s="1"/>
      <c r="AE59" s="89"/>
      <c r="AF59" s="83"/>
      <c r="AG59" s="1"/>
      <c r="AH59" s="89"/>
      <c r="AI59" s="83"/>
      <c r="AJ59" s="1"/>
      <c r="AK59" s="89"/>
      <c r="AL59" s="83"/>
      <c r="AM59" s="1"/>
      <c r="AN59" s="89"/>
      <c r="AO59" s="83"/>
      <c r="AP59" s="1"/>
      <c r="AQ59" s="89"/>
      <c r="AR59" s="83"/>
      <c r="AS59" s="1"/>
      <c r="AT59" s="89"/>
      <c r="AU59" s="83"/>
      <c r="AV59" s="1"/>
      <c r="AW59" s="89"/>
      <c r="AX59" s="83"/>
      <c r="AY59" s="1"/>
      <c r="AZ59" s="89"/>
    </row>
    <row r="60" spans="1:103" x14ac:dyDescent="0.3">
      <c r="A60" s="41">
        <v>2019</v>
      </c>
      <c r="B60" s="83"/>
      <c r="C60" s="1"/>
      <c r="D60" s="89"/>
      <c r="E60" s="83"/>
      <c r="F60" s="1"/>
      <c r="G60" s="89"/>
      <c r="H60" s="83">
        <v>50.4</v>
      </c>
      <c r="I60" s="1">
        <v>63</v>
      </c>
      <c r="J60" s="89">
        <v>75.599999999999994</v>
      </c>
      <c r="K60" s="83">
        <v>44.1</v>
      </c>
      <c r="L60" s="1">
        <v>56.7</v>
      </c>
      <c r="M60" s="89">
        <v>69.3</v>
      </c>
      <c r="N60" s="83"/>
      <c r="O60" s="1"/>
      <c r="P60" s="89"/>
      <c r="Q60" s="83"/>
      <c r="R60" s="1"/>
      <c r="S60" s="89"/>
      <c r="T60" s="83"/>
      <c r="U60" s="1"/>
      <c r="V60" s="89"/>
      <c r="W60" s="83"/>
      <c r="X60" s="1"/>
      <c r="Y60" s="89"/>
      <c r="Z60" s="83"/>
      <c r="AA60" s="1"/>
      <c r="AB60" s="89"/>
      <c r="AC60" s="83"/>
      <c r="AD60" s="1"/>
      <c r="AE60" s="89"/>
      <c r="AF60" s="83"/>
      <c r="AG60" s="1"/>
      <c r="AH60" s="89"/>
      <c r="AI60" s="83"/>
      <c r="AJ60" s="1"/>
      <c r="AK60" s="89"/>
      <c r="AL60" s="83"/>
      <c r="AM60" s="1"/>
      <c r="AN60" s="89"/>
      <c r="AO60" s="83"/>
      <c r="AP60" s="1"/>
      <c r="AQ60" s="89"/>
      <c r="AR60" s="83"/>
      <c r="AS60" s="1"/>
      <c r="AT60" s="89"/>
      <c r="AU60" s="83"/>
      <c r="AV60" s="1"/>
      <c r="AW60" s="89"/>
      <c r="AX60" s="83"/>
      <c r="AY60" s="1"/>
      <c r="AZ60" s="89"/>
    </row>
    <row r="61" spans="1:103" x14ac:dyDescent="0.3">
      <c r="A61" s="41">
        <v>2020</v>
      </c>
      <c r="B61" s="83"/>
      <c r="C61" s="1"/>
      <c r="D61" s="89"/>
      <c r="E61" s="83"/>
      <c r="F61" s="1"/>
      <c r="G61" s="89"/>
      <c r="H61" s="83"/>
      <c r="I61" s="1"/>
      <c r="J61" s="89"/>
      <c r="K61" s="83"/>
      <c r="L61" s="1"/>
      <c r="M61" s="89"/>
      <c r="N61" s="83">
        <v>48.8</v>
      </c>
      <c r="O61" s="1">
        <v>61</v>
      </c>
      <c r="P61" s="89">
        <v>73.2</v>
      </c>
      <c r="Q61" s="83">
        <v>42.699999999999996</v>
      </c>
      <c r="R61" s="1">
        <v>54.899999999999991</v>
      </c>
      <c r="S61" s="89">
        <v>67.099999999999994</v>
      </c>
      <c r="T61" s="83">
        <v>42.699999999999996</v>
      </c>
      <c r="U61" s="1">
        <v>54.899999999999991</v>
      </c>
      <c r="V61" s="89">
        <v>67.099999999999994</v>
      </c>
      <c r="W61" s="83">
        <v>42.699999999999996</v>
      </c>
      <c r="X61" s="1">
        <v>54.899999999999991</v>
      </c>
      <c r="Y61" s="89">
        <v>67.099999999999994</v>
      </c>
      <c r="Z61" s="83"/>
      <c r="AA61" s="1"/>
      <c r="AB61" s="89"/>
      <c r="AC61" s="83"/>
      <c r="AD61" s="1"/>
      <c r="AE61" s="89"/>
      <c r="AF61" s="83"/>
      <c r="AG61" s="1"/>
      <c r="AH61" s="89"/>
      <c r="AI61" s="83"/>
      <c r="AJ61" s="1"/>
      <c r="AK61" s="89"/>
      <c r="AL61" s="83"/>
      <c r="AM61" s="1"/>
      <c r="AN61" s="89"/>
      <c r="AO61" s="83"/>
      <c r="AP61" s="1"/>
      <c r="AQ61" s="89"/>
      <c r="AR61" s="83"/>
      <c r="AS61" s="1"/>
      <c r="AT61" s="89"/>
      <c r="AU61" s="83"/>
      <c r="AV61" s="1"/>
      <c r="AW61" s="89"/>
      <c r="AX61" s="83"/>
      <c r="AY61" s="1"/>
      <c r="AZ61" s="89"/>
    </row>
    <row r="62" spans="1:103" x14ac:dyDescent="0.3">
      <c r="A62" s="41">
        <v>2021</v>
      </c>
      <c r="B62" s="83"/>
      <c r="C62" s="1"/>
      <c r="D62" s="89"/>
      <c r="E62" s="83"/>
      <c r="F62" s="1"/>
      <c r="G62" s="89"/>
      <c r="H62" s="83"/>
      <c r="I62" s="1"/>
      <c r="J62" s="89"/>
      <c r="K62" s="83"/>
      <c r="L62" s="1"/>
      <c r="M62" s="89"/>
      <c r="N62" s="83"/>
      <c r="O62" s="1"/>
      <c r="P62" s="89"/>
      <c r="Q62" s="83"/>
      <c r="R62" s="1"/>
      <c r="S62" s="89"/>
      <c r="T62" s="83"/>
      <c r="U62" s="1"/>
      <c r="V62" s="89"/>
      <c r="W62" s="83"/>
      <c r="X62" s="1"/>
      <c r="Y62" s="89"/>
      <c r="Z62" s="83">
        <v>48.8</v>
      </c>
      <c r="AA62" s="1">
        <v>61</v>
      </c>
      <c r="AB62" s="89">
        <v>73.2</v>
      </c>
      <c r="AC62" s="83">
        <v>42.699999999999996</v>
      </c>
      <c r="AD62" s="1">
        <v>51.849999999999994</v>
      </c>
      <c r="AE62" s="89">
        <v>61</v>
      </c>
      <c r="AF62" s="83">
        <v>42.699999999999996</v>
      </c>
      <c r="AG62" s="1">
        <v>51.849999999999994</v>
      </c>
      <c r="AH62" s="89">
        <v>61</v>
      </c>
      <c r="AI62" s="83"/>
      <c r="AJ62" s="1"/>
      <c r="AK62" s="89"/>
      <c r="AL62" s="83"/>
      <c r="AM62" s="1"/>
      <c r="AN62" s="89"/>
      <c r="AO62" s="83"/>
      <c r="AP62" s="1"/>
      <c r="AQ62" s="89"/>
      <c r="AR62" s="83"/>
      <c r="AS62" s="1"/>
      <c r="AT62" s="89"/>
      <c r="AU62" s="83"/>
      <c r="AV62" s="1"/>
      <c r="AW62" s="89"/>
      <c r="AX62" s="83"/>
      <c r="AY62" s="1"/>
      <c r="AZ62" s="89"/>
    </row>
    <row r="63" spans="1:103" x14ac:dyDescent="0.3">
      <c r="A63" s="41">
        <v>2022</v>
      </c>
      <c r="B63" s="83"/>
      <c r="C63" s="1"/>
      <c r="D63" s="89"/>
      <c r="E63" s="83"/>
      <c r="F63" s="1"/>
      <c r="G63" s="89"/>
      <c r="H63" s="83"/>
      <c r="I63" s="1"/>
      <c r="J63" s="89"/>
      <c r="K63" s="83"/>
      <c r="L63" s="1"/>
      <c r="M63" s="89"/>
      <c r="N63" s="83"/>
      <c r="O63" s="1"/>
      <c r="P63" s="89"/>
      <c r="Q63" s="83"/>
      <c r="R63" s="1"/>
      <c r="S63" s="89"/>
      <c r="T63" s="83"/>
      <c r="U63" s="1"/>
      <c r="V63" s="89"/>
      <c r="W63" s="83"/>
      <c r="X63" s="1"/>
      <c r="Y63" s="89"/>
      <c r="Z63" s="83"/>
      <c r="AA63" s="1"/>
      <c r="AB63" s="89"/>
      <c r="AC63" s="83"/>
      <c r="AD63" s="1"/>
      <c r="AE63" s="89"/>
      <c r="AF63" s="83"/>
      <c r="AG63" s="1"/>
      <c r="AH63" s="89"/>
      <c r="AI63" s="83">
        <v>54.9</v>
      </c>
      <c r="AJ63" s="1">
        <v>76.25</v>
      </c>
      <c r="AK63" s="89">
        <v>97.6</v>
      </c>
      <c r="AL63" s="83">
        <v>48.8</v>
      </c>
      <c r="AM63" s="1">
        <v>64.05</v>
      </c>
      <c r="AN63" s="89">
        <v>79.3</v>
      </c>
      <c r="AO63" s="83">
        <v>48.8</v>
      </c>
      <c r="AP63" s="1">
        <v>64.05</v>
      </c>
      <c r="AQ63" s="89">
        <v>79.3</v>
      </c>
      <c r="AR63" s="83"/>
      <c r="AS63" s="1"/>
      <c r="AT63" s="89"/>
      <c r="AU63" s="83"/>
      <c r="AV63" s="1"/>
      <c r="AW63" s="89"/>
      <c r="AX63" s="83"/>
      <c r="AY63" s="1"/>
      <c r="AZ63" s="89"/>
    </row>
    <row r="64" spans="1:103" x14ac:dyDescent="0.3">
      <c r="A64" s="41">
        <v>2023</v>
      </c>
      <c r="B64" s="83"/>
      <c r="C64" s="1"/>
      <c r="D64" s="89"/>
      <c r="E64" s="83"/>
      <c r="F64" s="1"/>
      <c r="G64" s="89"/>
      <c r="H64" s="83"/>
      <c r="I64" s="1"/>
      <c r="J64" s="89"/>
      <c r="K64" s="83"/>
      <c r="L64" s="1"/>
      <c r="M64" s="89"/>
      <c r="N64" s="83"/>
      <c r="O64" s="1"/>
      <c r="P64" s="89"/>
      <c r="Q64" s="83"/>
      <c r="R64" s="1"/>
      <c r="S64" s="89"/>
      <c r="T64" s="83"/>
      <c r="U64" s="1"/>
      <c r="V64" s="89"/>
      <c r="W64" s="83"/>
      <c r="X64" s="1"/>
      <c r="Y64" s="89"/>
      <c r="Z64" s="83"/>
      <c r="AA64" s="1"/>
      <c r="AB64" s="89"/>
      <c r="AC64" s="83"/>
      <c r="AD64" s="1"/>
      <c r="AE64" s="89"/>
      <c r="AF64" s="83"/>
      <c r="AG64" s="1"/>
      <c r="AH64" s="89"/>
      <c r="AI64" s="83"/>
      <c r="AJ64" s="1"/>
      <c r="AK64" s="89"/>
      <c r="AL64" s="83"/>
      <c r="AM64" s="1"/>
      <c r="AN64" s="89"/>
      <c r="AO64" s="83"/>
      <c r="AP64" s="1"/>
      <c r="AQ64" s="89"/>
      <c r="AR64" s="83">
        <v>61</v>
      </c>
      <c r="AS64" s="1">
        <v>73.199999999999989</v>
      </c>
      <c r="AT64" s="89">
        <v>85.399999999999991</v>
      </c>
      <c r="AU64" s="83">
        <v>54.9</v>
      </c>
      <c r="AV64" s="1">
        <v>61</v>
      </c>
      <c r="AW64" s="89">
        <v>67.099999999999994</v>
      </c>
      <c r="AX64" s="83">
        <v>54.9</v>
      </c>
      <c r="AY64" s="1">
        <v>61</v>
      </c>
      <c r="AZ64" s="89">
        <v>67.099999999999994</v>
      </c>
    </row>
    <row r="65" spans="1:52" x14ac:dyDescent="0.3">
      <c r="A65" s="41">
        <v>2024</v>
      </c>
      <c r="B65" s="83"/>
      <c r="C65" s="1"/>
      <c r="D65" s="89"/>
      <c r="E65" s="83"/>
      <c r="F65" s="1"/>
      <c r="G65" s="89"/>
      <c r="H65" s="83"/>
      <c r="I65" s="1"/>
      <c r="J65" s="89"/>
      <c r="K65" s="83"/>
      <c r="L65" s="1"/>
      <c r="M65" s="89"/>
      <c r="N65" s="83"/>
      <c r="O65" s="1"/>
      <c r="P65" s="89"/>
      <c r="Q65" s="83"/>
      <c r="R65" s="1"/>
      <c r="S65" s="89"/>
      <c r="T65" s="83"/>
      <c r="U65" s="1"/>
      <c r="V65" s="89"/>
      <c r="W65" s="83"/>
      <c r="X65" s="1"/>
      <c r="Y65" s="89"/>
      <c r="Z65" s="83"/>
      <c r="AA65" s="1"/>
      <c r="AB65" s="89"/>
      <c r="AC65" s="83"/>
      <c r="AD65" s="1"/>
      <c r="AE65" s="89"/>
      <c r="AF65" s="83"/>
      <c r="AG65" s="1"/>
      <c r="AH65" s="89"/>
      <c r="AI65" s="83"/>
      <c r="AJ65" s="1"/>
      <c r="AK65" s="89"/>
      <c r="AL65" s="83"/>
      <c r="AM65" s="1"/>
      <c r="AN65" s="89"/>
      <c r="AO65" s="83"/>
      <c r="AP65" s="1"/>
      <c r="AQ65" s="89"/>
      <c r="AR65" s="83"/>
      <c r="AS65" s="1"/>
      <c r="AT65" s="89"/>
      <c r="AU65" s="83"/>
      <c r="AV65" s="1"/>
      <c r="AW65" s="89"/>
      <c r="AX65" s="83"/>
      <c r="AY65" s="1"/>
      <c r="AZ65" s="89"/>
    </row>
    <row r="66" spans="1:52" x14ac:dyDescent="0.3">
      <c r="A66" s="41">
        <v>2025</v>
      </c>
      <c r="B66" s="83"/>
      <c r="C66" s="1"/>
      <c r="D66" s="89"/>
      <c r="E66" s="83"/>
      <c r="F66" s="1"/>
      <c r="G66" s="89"/>
      <c r="H66" s="83"/>
      <c r="I66" s="1"/>
      <c r="J66" s="89"/>
      <c r="K66" s="83"/>
      <c r="L66" s="1"/>
      <c r="M66" s="89"/>
      <c r="N66" s="83"/>
      <c r="O66" s="1"/>
      <c r="P66" s="89"/>
      <c r="Q66" s="83"/>
      <c r="R66" s="1"/>
      <c r="S66" s="89"/>
      <c r="T66" s="83"/>
      <c r="U66" s="1"/>
      <c r="V66" s="89"/>
      <c r="W66" s="83"/>
      <c r="X66" s="1"/>
      <c r="Y66" s="89"/>
      <c r="Z66" s="83"/>
      <c r="AA66" s="1"/>
      <c r="AB66" s="89"/>
      <c r="AC66" s="83"/>
      <c r="AD66" s="1"/>
      <c r="AE66" s="89"/>
      <c r="AF66" s="83"/>
      <c r="AG66" s="1"/>
      <c r="AH66" s="89"/>
      <c r="AI66" s="83"/>
      <c r="AJ66" s="1"/>
      <c r="AK66" s="89"/>
      <c r="AL66" s="83"/>
      <c r="AM66" s="1"/>
      <c r="AN66" s="89"/>
      <c r="AO66" s="83"/>
      <c r="AP66" s="1"/>
      <c r="AQ66" s="89"/>
      <c r="AR66" s="83"/>
      <c r="AS66" s="1"/>
      <c r="AT66" s="89"/>
      <c r="AU66" s="83"/>
      <c r="AV66" s="1"/>
      <c r="AW66" s="89"/>
      <c r="AX66" s="83"/>
      <c r="AY66" s="1"/>
      <c r="AZ66" s="89"/>
    </row>
    <row r="67" spans="1:52" x14ac:dyDescent="0.3">
      <c r="A67" s="41">
        <v>2026</v>
      </c>
      <c r="B67" s="83"/>
      <c r="C67" s="1"/>
      <c r="D67" s="89"/>
      <c r="E67" s="83"/>
      <c r="F67" s="1"/>
      <c r="G67" s="89"/>
      <c r="H67" s="83"/>
      <c r="I67" s="1"/>
      <c r="J67" s="89"/>
      <c r="K67" s="83"/>
      <c r="L67" s="1"/>
      <c r="M67" s="89"/>
      <c r="N67" s="83"/>
      <c r="O67" s="1"/>
      <c r="P67" s="89"/>
      <c r="Q67" s="83"/>
      <c r="R67" s="1"/>
      <c r="S67" s="89"/>
      <c r="T67" s="83"/>
      <c r="U67" s="1"/>
      <c r="V67" s="89"/>
      <c r="W67" s="83"/>
      <c r="X67" s="1"/>
      <c r="Y67" s="89"/>
      <c r="Z67" s="83"/>
      <c r="AA67" s="1"/>
      <c r="AB67" s="89"/>
      <c r="AC67" s="83"/>
      <c r="AD67" s="1"/>
      <c r="AE67" s="89"/>
      <c r="AF67" s="83"/>
      <c r="AG67" s="1"/>
      <c r="AH67" s="89"/>
      <c r="AI67" s="83"/>
      <c r="AJ67" s="1"/>
      <c r="AK67" s="89"/>
      <c r="AL67" s="83"/>
      <c r="AM67" s="1"/>
      <c r="AN67" s="89"/>
      <c r="AO67" s="83"/>
      <c r="AP67" s="1"/>
      <c r="AQ67" s="89"/>
      <c r="AR67" s="83"/>
      <c r="AS67" s="1"/>
      <c r="AT67" s="89"/>
      <c r="AU67" s="83"/>
      <c r="AV67" s="1"/>
      <c r="AW67" s="89"/>
      <c r="AX67" s="83"/>
      <c r="AY67" s="1"/>
      <c r="AZ67" s="89"/>
    </row>
    <row r="68" spans="1:52" x14ac:dyDescent="0.3">
      <c r="A68" s="41">
        <v>2027</v>
      </c>
      <c r="B68" s="83"/>
      <c r="C68" s="1"/>
      <c r="D68" s="89"/>
      <c r="E68" s="83"/>
      <c r="F68" s="1"/>
      <c r="G68" s="89"/>
      <c r="H68" s="83"/>
      <c r="I68" s="1"/>
      <c r="J68" s="89"/>
      <c r="K68" s="83"/>
      <c r="L68" s="1"/>
      <c r="M68" s="89"/>
      <c r="N68" s="83"/>
      <c r="O68" s="1"/>
      <c r="P68" s="89"/>
      <c r="Q68" s="83"/>
      <c r="R68" s="1"/>
      <c r="S68" s="89"/>
      <c r="T68" s="83"/>
      <c r="U68" s="1"/>
      <c r="V68" s="89"/>
      <c r="W68" s="83"/>
      <c r="X68" s="1"/>
      <c r="Y68" s="89"/>
      <c r="Z68" s="83"/>
      <c r="AA68" s="1"/>
      <c r="AB68" s="89"/>
      <c r="AC68" s="83"/>
      <c r="AD68" s="1"/>
      <c r="AE68" s="89"/>
      <c r="AF68" s="83"/>
      <c r="AG68" s="1"/>
      <c r="AH68" s="89"/>
      <c r="AI68" s="83"/>
      <c r="AJ68" s="1"/>
      <c r="AK68" s="89"/>
      <c r="AL68" s="83"/>
      <c r="AM68" s="1"/>
      <c r="AN68" s="89"/>
      <c r="AO68" s="83"/>
      <c r="AP68" s="1"/>
      <c r="AQ68" s="89"/>
      <c r="AR68" s="83"/>
      <c r="AS68" s="1"/>
      <c r="AT68" s="89"/>
      <c r="AU68" s="83"/>
      <c r="AV68" s="1"/>
      <c r="AW68" s="89"/>
      <c r="AX68" s="83"/>
      <c r="AY68" s="1"/>
      <c r="AZ68" s="89"/>
    </row>
    <row r="69" spans="1:52" x14ac:dyDescent="0.3">
      <c r="A69" s="41">
        <v>2028</v>
      </c>
      <c r="B69" s="83"/>
      <c r="C69" s="1"/>
      <c r="D69" s="89"/>
      <c r="E69" s="83"/>
      <c r="F69" s="1"/>
      <c r="G69" s="89"/>
      <c r="H69" s="83"/>
      <c r="I69" s="1"/>
      <c r="J69" s="89"/>
      <c r="K69" s="83"/>
      <c r="L69" s="1"/>
      <c r="M69" s="89"/>
      <c r="N69" s="83"/>
      <c r="O69" s="1"/>
      <c r="P69" s="89"/>
      <c r="Q69" s="83"/>
      <c r="R69" s="1"/>
      <c r="S69" s="89"/>
      <c r="T69" s="83"/>
      <c r="U69" s="1"/>
      <c r="V69" s="89"/>
      <c r="W69" s="83"/>
      <c r="X69" s="1"/>
      <c r="Y69" s="89"/>
      <c r="Z69" s="83"/>
      <c r="AA69" s="1"/>
      <c r="AB69" s="89"/>
      <c r="AC69" s="83"/>
      <c r="AD69" s="1"/>
      <c r="AE69" s="89"/>
      <c r="AF69" s="83"/>
      <c r="AG69" s="1"/>
      <c r="AH69" s="89"/>
      <c r="AI69" s="83"/>
      <c r="AJ69" s="1"/>
      <c r="AK69" s="89"/>
      <c r="AL69" s="83"/>
      <c r="AM69" s="1"/>
      <c r="AN69" s="89"/>
      <c r="AO69" s="83"/>
      <c r="AP69" s="1"/>
      <c r="AQ69" s="89"/>
      <c r="AR69" s="83"/>
      <c r="AS69" s="1"/>
      <c r="AT69" s="89"/>
      <c r="AU69" s="83"/>
      <c r="AV69" s="1"/>
      <c r="AW69" s="89"/>
      <c r="AX69" s="83"/>
      <c r="AY69" s="1"/>
      <c r="AZ69" s="89"/>
    </row>
    <row r="70" spans="1:52" x14ac:dyDescent="0.3">
      <c r="A70" s="41">
        <v>2029</v>
      </c>
      <c r="B70" s="83"/>
      <c r="C70" s="1"/>
      <c r="D70" s="89"/>
      <c r="E70" s="83"/>
      <c r="F70" s="1"/>
      <c r="G70" s="89"/>
      <c r="H70" s="83"/>
      <c r="I70" s="1"/>
      <c r="J70" s="89"/>
      <c r="K70" s="83"/>
      <c r="L70" s="1"/>
      <c r="M70" s="89"/>
      <c r="N70" s="83"/>
      <c r="O70" s="1"/>
      <c r="P70" s="89"/>
      <c r="Q70" s="83"/>
      <c r="R70" s="1"/>
      <c r="S70" s="89"/>
      <c r="T70" s="83"/>
      <c r="U70" s="1"/>
      <c r="V70" s="89"/>
      <c r="W70" s="83"/>
      <c r="X70" s="1"/>
      <c r="Y70" s="89"/>
      <c r="Z70" s="83"/>
      <c r="AA70" s="1"/>
      <c r="AB70" s="89"/>
      <c r="AC70" s="83"/>
      <c r="AD70" s="1"/>
      <c r="AE70" s="89"/>
      <c r="AF70" s="83"/>
      <c r="AG70" s="1"/>
      <c r="AH70" s="89"/>
      <c r="AI70" s="83"/>
      <c r="AJ70" s="1"/>
      <c r="AK70" s="89"/>
      <c r="AL70" s="83"/>
      <c r="AM70" s="1"/>
      <c r="AN70" s="89"/>
      <c r="AO70" s="83"/>
      <c r="AP70" s="1"/>
      <c r="AQ70" s="89"/>
      <c r="AR70" s="83"/>
      <c r="AS70" s="1"/>
      <c r="AT70" s="89"/>
      <c r="AU70" s="83"/>
      <c r="AV70" s="1"/>
      <c r="AW70" s="89"/>
      <c r="AX70" s="83"/>
      <c r="AY70" s="1"/>
      <c r="AZ70" s="89"/>
    </row>
    <row r="71" spans="1:52" x14ac:dyDescent="0.3">
      <c r="A71" s="41">
        <v>2030</v>
      </c>
      <c r="B71" s="83"/>
      <c r="C71" s="1"/>
      <c r="D71" s="89"/>
      <c r="E71" s="83"/>
      <c r="F71" s="1"/>
      <c r="G71" s="89"/>
      <c r="H71" s="83"/>
      <c r="I71" s="1"/>
      <c r="J71" s="89"/>
      <c r="K71" s="83"/>
      <c r="L71" s="1"/>
      <c r="M71" s="89"/>
      <c r="N71" s="83">
        <v>42.699999999999996</v>
      </c>
      <c r="O71" s="1">
        <v>64.05</v>
      </c>
      <c r="P71" s="89">
        <v>85.399999999999991</v>
      </c>
      <c r="Q71" s="83">
        <v>24.4</v>
      </c>
      <c r="R71" s="1">
        <v>33.549999999999997</v>
      </c>
      <c r="S71" s="89">
        <v>42.699999999999996</v>
      </c>
      <c r="T71" s="83">
        <v>24.4</v>
      </c>
      <c r="U71" s="1">
        <v>33.549999999999997</v>
      </c>
      <c r="V71" s="89">
        <v>42.699999999999996</v>
      </c>
      <c r="W71" s="83">
        <v>24.4</v>
      </c>
      <c r="X71" s="1">
        <v>33.549999999999997</v>
      </c>
      <c r="Y71" s="89">
        <v>42.699999999999996</v>
      </c>
      <c r="Z71" s="83">
        <v>42.699999999999996</v>
      </c>
      <c r="AA71" s="1">
        <v>70.149999999999991</v>
      </c>
      <c r="AB71" s="89">
        <v>97.6</v>
      </c>
      <c r="AC71" s="83">
        <v>24.4</v>
      </c>
      <c r="AD71" s="1">
        <v>33.549999999999997</v>
      </c>
      <c r="AE71" s="89">
        <v>42.699999999999996</v>
      </c>
      <c r="AF71" s="83">
        <v>24.4</v>
      </c>
      <c r="AG71" s="1">
        <v>33.549999999999997</v>
      </c>
      <c r="AH71" s="89">
        <v>42.699999999999996</v>
      </c>
      <c r="AI71" s="83">
        <v>48.8</v>
      </c>
      <c r="AJ71" s="1">
        <v>76.25</v>
      </c>
      <c r="AK71" s="89">
        <v>103.7</v>
      </c>
      <c r="AL71" s="83">
        <v>30.5</v>
      </c>
      <c r="AM71" s="1">
        <v>39.65</v>
      </c>
      <c r="AN71" s="89">
        <v>48.8</v>
      </c>
      <c r="AO71" s="83">
        <v>24.4</v>
      </c>
      <c r="AP71" s="1">
        <v>36.599999999999994</v>
      </c>
      <c r="AQ71" s="89">
        <v>48.8</v>
      </c>
      <c r="AR71" s="83">
        <v>42.699999999999996</v>
      </c>
      <c r="AS71" s="1">
        <v>64.05</v>
      </c>
      <c r="AT71" s="89">
        <v>85.399999999999991</v>
      </c>
      <c r="AU71" s="83">
        <v>30.5</v>
      </c>
      <c r="AV71" s="1">
        <v>36.599999999999994</v>
      </c>
      <c r="AW71" s="89">
        <v>42.699999999999996</v>
      </c>
      <c r="AX71" s="83">
        <v>30.5</v>
      </c>
      <c r="AY71" s="1">
        <v>36.599999999999994</v>
      </c>
      <c r="AZ71" s="89">
        <v>42.699999999999996</v>
      </c>
    </row>
    <row r="72" spans="1:52" x14ac:dyDescent="0.3">
      <c r="A72" s="41">
        <v>2031</v>
      </c>
      <c r="B72" s="83"/>
      <c r="C72" s="1"/>
      <c r="D72" s="89"/>
      <c r="E72" s="83"/>
      <c r="F72" s="1"/>
      <c r="G72" s="89"/>
      <c r="H72" s="83"/>
      <c r="I72" s="1"/>
      <c r="J72" s="89"/>
      <c r="K72" s="83"/>
      <c r="L72" s="1"/>
      <c r="M72" s="89"/>
      <c r="N72" s="83"/>
      <c r="O72" s="1"/>
      <c r="P72" s="89"/>
      <c r="Q72" s="83"/>
      <c r="R72" s="1"/>
      <c r="S72" s="89"/>
      <c r="T72" s="83"/>
      <c r="U72" s="1"/>
      <c r="V72" s="89"/>
      <c r="W72" s="83"/>
      <c r="X72" s="1"/>
      <c r="Y72" s="89"/>
      <c r="Z72" s="83"/>
      <c r="AA72" s="1"/>
      <c r="AB72" s="89"/>
      <c r="AC72" s="83"/>
      <c r="AD72" s="1"/>
      <c r="AE72" s="89"/>
      <c r="AF72" s="83"/>
      <c r="AG72" s="1"/>
      <c r="AH72" s="89"/>
      <c r="AI72" s="83"/>
      <c r="AJ72" s="1"/>
      <c r="AK72" s="89"/>
      <c r="AL72" s="83"/>
      <c r="AM72" s="1"/>
      <c r="AN72" s="89"/>
      <c r="AO72" s="83"/>
      <c r="AP72" s="1"/>
      <c r="AQ72" s="89"/>
      <c r="AR72" s="83"/>
      <c r="AS72" s="1"/>
      <c r="AT72" s="89"/>
      <c r="AU72" s="83"/>
      <c r="AV72" s="1"/>
      <c r="AW72" s="89"/>
      <c r="AX72" s="83"/>
      <c r="AY72" s="1"/>
      <c r="AZ72" s="89"/>
    </row>
    <row r="73" spans="1:52" x14ac:dyDescent="0.3">
      <c r="A73" s="41">
        <v>2032</v>
      </c>
      <c r="B73" s="83"/>
      <c r="C73" s="1"/>
      <c r="D73" s="89"/>
      <c r="E73" s="83"/>
      <c r="F73" s="1"/>
      <c r="G73" s="89"/>
      <c r="H73" s="83"/>
      <c r="I73" s="1"/>
      <c r="J73" s="89"/>
      <c r="K73" s="83"/>
      <c r="L73" s="1"/>
      <c r="M73" s="89"/>
      <c r="N73" s="83"/>
      <c r="O73" s="1"/>
      <c r="P73" s="89"/>
      <c r="Q73" s="83"/>
      <c r="R73" s="1"/>
      <c r="S73" s="89"/>
      <c r="T73" s="83"/>
      <c r="U73" s="1"/>
      <c r="V73" s="89"/>
      <c r="W73" s="83"/>
      <c r="X73" s="1"/>
      <c r="Y73" s="89"/>
      <c r="Z73" s="83"/>
      <c r="AA73" s="1"/>
      <c r="AB73" s="89"/>
      <c r="AC73" s="83"/>
      <c r="AD73" s="1"/>
      <c r="AE73" s="89"/>
      <c r="AF73" s="83"/>
      <c r="AG73" s="1"/>
      <c r="AH73" s="89"/>
      <c r="AI73" s="83"/>
      <c r="AJ73" s="1"/>
      <c r="AK73" s="89"/>
      <c r="AL73" s="83"/>
      <c r="AM73" s="1"/>
      <c r="AN73" s="89"/>
      <c r="AO73" s="83"/>
      <c r="AP73" s="1"/>
      <c r="AQ73" s="89"/>
      <c r="AR73" s="83"/>
      <c r="AS73" s="1"/>
      <c r="AT73" s="89"/>
      <c r="AU73" s="83"/>
      <c r="AV73" s="1"/>
      <c r="AW73" s="89"/>
      <c r="AX73" s="83"/>
      <c r="AY73" s="1"/>
      <c r="AZ73" s="89"/>
    </row>
    <row r="74" spans="1:52" x14ac:dyDescent="0.3">
      <c r="A74" s="41">
        <v>2033</v>
      </c>
      <c r="B74" s="83"/>
      <c r="C74" s="1"/>
      <c r="D74" s="89"/>
      <c r="E74" s="83"/>
      <c r="F74" s="1"/>
      <c r="G74" s="89"/>
      <c r="H74" s="83"/>
      <c r="I74" s="1"/>
      <c r="J74" s="89"/>
      <c r="K74" s="83"/>
      <c r="L74" s="1"/>
      <c r="M74" s="89"/>
      <c r="N74" s="83"/>
      <c r="O74" s="1"/>
      <c r="P74" s="89"/>
      <c r="Q74" s="83"/>
      <c r="R74" s="1"/>
      <c r="S74" s="89"/>
      <c r="T74" s="83"/>
      <c r="U74" s="1"/>
      <c r="V74" s="89"/>
      <c r="W74" s="83"/>
      <c r="X74" s="1"/>
      <c r="Y74" s="89"/>
      <c r="Z74" s="83"/>
      <c r="AA74" s="1"/>
      <c r="AB74" s="89"/>
      <c r="AC74" s="83"/>
      <c r="AD74" s="1"/>
      <c r="AE74" s="89"/>
      <c r="AF74" s="83"/>
      <c r="AG74" s="1"/>
      <c r="AH74" s="89"/>
      <c r="AI74" s="83"/>
      <c r="AJ74" s="1"/>
      <c r="AK74" s="89"/>
      <c r="AL74" s="83"/>
      <c r="AM74" s="1"/>
      <c r="AN74" s="89"/>
      <c r="AO74" s="83"/>
      <c r="AP74" s="1"/>
      <c r="AQ74" s="89"/>
      <c r="AR74" s="83"/>
      <c r="AS74" s="1"/>
      <c r="AT74" s="89"/>
      <c r="AU74" s="83"/>
      <c r="AV74" s="1"/>
      <c r="AW74" s="89"/>
      <c r="AX74" s="83"/>
      <c r="AY74" s="1"/>
      <c r="AZ74" s="89"/>
    </row>
    <row r="75" spans="1:52" x14ac:dyDescent="0.3">
      <c r="A75" s="41">
        <v>2034</v>
      </c>
      <c r="B75" s="83"/>
      <c r="C75" s="1"/>
      <c r="D75" s="89"/>
      <c r="E75" s="83"/>
      <c r="F75" s="1"/>
      <c r="G75" s="89"/>
      <c r="H75" s="83"/>
      <c r="I75" s="1"/>
      <c r="J75" s="89"/>
      <c r="K75" s="83"/>
      <c r="L75" s="1"/>
      <c r="M75" s="89"/>
      <c r="N75" s="83"/>
      <c r="O75" s="1"/>
      <c r="P75" s="89"/>
      <c r="Q75" s="83"/>
      <c r="R75" s="1"/>
      <c r="S75" s="89"/>
      <c r="T75" s="83"/>
      <c r="U75" s="1"/>
      <c r="V75" s="89"/>
      <c r="W75" s="83"/>
      <c r="X75" s="1"/>
      <c r="Y75" s="89"/>
      <c r="Z75" s="83"/>
      <c r="AA75" s="1"/>
      <c r="AB75" s="89"/>
      <c r="AC75" s="83"/>
      <c r="AD75" s="1"/>
      <c r="AE75" s="89"/>
      <c r="AF75" s="83"/>
      <c r="AG75" s="1"/>
      <c r="AH75" s="89"/>
      <c r="AI75" s="83"/>
      <c r="AJ75" s="1"/>
      <c r="AK75" s="89"/>
      <c r="AL75" s="83"/>
      <c r="AM75" s="1"/>
      <c r="AN75" s="89"/>
      <c r="AO75" s="83"/>
      <c r="AP75" s="1"/>
      <c r="AQ75" s="89"/>
      <c r="AR75" s="83"/>
      <c r="AS75" s="1"/>
      <c r="AT75" s="89"/>
      <c r="AU75" s="83"/>
      <c r="AV75" s="1"/>
      <c r="AW75" s="89"/>
      <c r="AX75" s="83"/>
      <c r="AY75" s="1"/>
      <c r="AZ75" s="89"/>
    </row>
    <row r="76" spans="1:52" x14ac:dyDescent="0.3">
      <c r="A76" s="41">
        <v>2035</v>
      </c>
      <c r="B76" s="83"/>
      <c r="C76" s="1"/>
      <c r="D76" s="89"/>
      <c r="E76" s="83"/>
      <c r="F76" s="1"/>
      <c r="G76" s="89"/>
      <c r="H76" s="83"/>
      <c r="I76" s="1"/>
      <c r="J76" s="89"/>
      <c r="K76" s="83"/>
      <c r="L76" s="1"/>
      <c r="M76" s="89"/>
      <c r="N76" s="83"/>
      <c r="O76" s="1"/>
      <c r="P76" s="89"/>
      <c r="Q76" s="83"/>
      <c r="R76" s="1"/>
      <c r="S76" s="89"/>
      <c r="T76" s="83"/>
      <c r="U76" s="1"/>
      <c r="V76" s="89"/>
      <c r="W76" s="83"/>
      <c r="X76" s="1"/>
      <c r="Y76" s="89"/>
      <c r="Z76" s="83"/>
      <c r="AA76" s="1"/>
      <c r="AB76" s="89"/>
      <c r="AC76" s="83"/>
      <c r="AD76" s="1"/>
      <c r="AE76" s="89"/>
      <c r="AF76" s="83"/>
      <c r="AG76" s="1"/>
      <c r="AH76" s="89"/>
      <c r="AI76" s="83"/>
      <c r="AJ76" s="1"/>
      <c r="AK76" s="89"/>
      <c r="AL76" s="83"/>
      <c r="AM76" s="1"/>
      <c r="AN76" s="89"/>
      <c r="AO76" s="83"/>
      <c r="AP76" s="1"/>
      <c r="AQ76" s="89"/>
      <c r="AR76" s="83"/>
      <c r="AS76" s="1"/>
      <c r="AT76" s="89"/>
      <c r="AU76" s="83"/>
      <c r="AV76" s="1"/>
      <c r="AW76" s="89"/>
      <c r="AX76" s="83"/>
      <c r="AY76" s="1"/>
      <c r="AZ76" s="89"/>
    </row>
    <row r="77" spans="1:52" x14ac:dyDescent="0.3">
      <c r="A77" s="41">
        <v>2036</v>
      </c>
      <c r="B77" s="83"/>
      <c r="C77" s="1"/>
      <c r="D77" s="89"/>
      <c r="E77" s="83"/>
      <c r="F77" s="1"/>
      <c r="G77" s="89"/>
      <c r="H77" s="83"/>
      <c r="I77" s="1"/>
      <c r="J77" s="89"/>
      <c r="K77" s="83"/>
      <c r="L77" s="1"/>
      <c r="M77" s="89"/>
      <c r="N77" s="83"/>
      <c r="O77" s="1"/>
      <c r="P77" s="89"/>
      <c r="Q77" s="83"/>
      <c r="R77" s="1"/>
      <c r="S77" s="89"/>
      <c r="T77" s="83"/>
      <c r="U77" s="1"/>
      <c r="V77" s="89"/>
      <c r="W77" s="83"/>
      <c r="X77" s="1"/>
      <c r="Y77" s="89"/>
      <c r="Z77" s="83"/>
      <c r="AA77" s="1"/>
      <c r="AB77" s="89"/>
      <c r="AC77" s="83"/>
      <c r="AD77" s="1"/>
      <c r="AE77" s="89"/>
      <c r="AF77" s="83"/>
      <c r="AG77" s="1"/>
      <c r="AH77" s="89"/>
      <c r="AI77" s="83"/>
      <c r="AJ77" s="1"/>
      <c r="AK77" s="89"/>
      <c r="AL77" s="83"/>
      <c r="AM77" s="1"/>
      <c r="AN77" s="89"/>
      <c r="AO77" s="83"/>
      <c r="AP77" s="1"/>
      <c r="AQ77" s="89"/>
      <c r="AR77" s="83"/>
      <c r="AS77" s="1"/>
      <c r="AT77" s="89"/>
      <c r="AU77" s="83"/>
      <c r="AV77" s="1"/>
      <c r="AW77" s="89"/>
      <c r="AX77" s="83"/>
      <c r="AY77" s="1"/>
      <c r="AZ77" s="89"/>
    </row>
    <row r="78" spans="1:52" x14ac:dyDescent="0.3">
      <c r="A78" s="41">
        <v>2037</v>
      </c>
      <c r="B78" s="83"/>
      <c r="C78" s="1"/>
      <c r="D78" s="89"/>
      <c r="E78" s="83"/>
      <c r="F78" s="1"/>
      <c r="G78" s="89"/>
      <c r="H78" s="83"/>
      <c r="I78" s="1"/>
      <c r="J78" s="89"/>
      <c r="K78" s="83"/>
      <c r="L78" s="1"/>
      <c r="M78" s="89"/>
      <c r="N78" s="83"/>
      <c r="O78" s="1"/>
      <c r="P78" s="89"/>
      <c r="Q78" s="83"/>
      <c r="R78" s="1"/>
      <c r="S78" s="89"/>
      <c r="T78" s="83"/>
      <c r="U78" s="1"/>
      <c r="V78" s="89"/>
      <c r="W78" s="83"/>
      <c r="X78" s="1"/>
      <c r="Y78" s="89"/>
      <c r="Z78" s="83"/>
      <c r="AA78" s="1"/>
      <c r="AB78" s="89"/>
      <c r="AC78" s="83"/>
      <c r="AD78" s="1"/>
      <c r="AE78" s="89"/>
      <c r="AF78" s="83"/>
      <c r="AG78" s="1"/>
      <c r="AH78" s="89"/>
      <c r="AI78" s="83"/>
      <c r="AJ78" s="1"/>
      <c r="AK78" s="89"/>
      <c r="AL78" s="83"/>
      <c r="AM78" s="1"/>
      <c r="AN78" s="89"/>
      <c r="AO78" s="83"/>
      <c r="AP78" s="1"/>
      <c r="AQ78" s="89"/>
      <c r="AR78" s="83"/>
      <c r="AS78" s="1"/>
      <c r="AT78" s="89"/>
      <c r="AU78" s="83"/>
      <c r="AV78" s="1"/>
      <c r="AW78" s="89"/>
      <c r="AX78" s="83"/>
      <c r="AY78" s="1"/>
      <c r="AZ78" s="89"/>
    </row>
    <row r="79" spans="1:52" x14ac:dyDescent="0.3">
      <c r="A79" s="41">
        <v>2038</v>
      </c>
      <c r="B79" s="83"/>
      <c r="C79" s="1"/>
      <c r="D79" s="89"/>
      <c r="E79" s="83"/>
      <c r="F79" s="1"/>
      <c r="G79" s="89"/>
      <c r="H79" s="83"/>
      <c r="I79" s="1"/>
      <c r="J79" s="89"/>
      <c r="K79" s="83"/>
      <c r="L79" s="1"/>
      <c r="M79" s="89"/>
      <c r="N79" s="83"/>
      <c r="O79" s="1"/>
      <c r="P79" s="89"/>
      <c r="Q79" s="83"/>
      <c r="R79" s="1"/>
      <c r="S79" s="89"/>
      <c r="T79" s="83"/>
      <c r="U79" s="1"/>
      <c r="V79" s="89"/>
      <c r="W79" s="83"/>
      <c r="X79" s="1"/>
      <c r="Y79" s="89"/>
      <c r="Z79" s="83"/>
      <c r="AA79" s="1"/>
      <c r="AB79" s="89"/>
      <c r="AC79" s="83"/>
      <c r="AD79" s="1"/>
      <c r="AE79" s="89"/>
      <c r="AF79" s="83"/>
      <c r="AG79" s="1"/>
      <c r="AH79" s="89"/>
      <c r="AI79" s="83"/>
      <c r="AJ79" s="1"/>
      <c r="AK79" s="89"/>
      <c r="AL79" s="83"/>
      <c r="AM79" s="1"/>
      <c r="AN79" s="89"/>
      <c r="AO79" s="83"/>
      <c r="AP79" s="1"/>
      <c r="AQ79" s="89"/>
      <c r="AR79" s="83"/>
      <c r="AS79" s="1"/>
      <c r="AT79" s="89"/>
      <c r="AU79" s="83"/>
      <c r="AV79" s="1"/>
      <c r="AW79" s="89"/>
      <c r="AX79" s="83"/>
      <c r="AY79" s="1"/>
      <c r="AZ79" s="89"/>
    </row>
    <row r="80" spans="1:52" x14ac:dyDescent="0.3">
      <c r="A80" s="41">
        <v>2039</v>
      </c>
      <c r="B80" s="83"/>
      <c r="C80" s="1"/>
      <c r="D80" s="89"/>
      <c r="E80" s="83"/>
      <c r="F80" s="1"/>
      <c r="G80" s="89"/>
      <c r="H80" s="83"/>
      <c r="I80" s="1"/>
      <c r="J80" s="89"/>
      <c r="K80" s="83"/>
      <c r="L80" s="1"/>
      <c r="M80" s="89"/>
      <c r="N80" s="83"/>
      <c r="O80" s="1"/>
      <c r="P80" s="89"/>
      <c r="Q80" s="83"/>
      <c r="R80" s="1"/>
      <c r="S80" s="89"/>
      <c r="T80" s="83"/>
      <c r="U80" s="1"/>
      <c r="V80" s="89"/>
      <c r="W80" s="83"/>
      <c r="X80" s="1"/>
      <c r="Y80" s="89"/>
      <c r="Z80" s="83"/>
      <c r="AA80" s="1"/>
      <c r="AB80" s="89"/>
      <c r="AC80" s="83"/>
      <c r="AD80" s="1"/>
      <c r="AE80" s="89"/>
      <c r="AF80" s="83"/>
      <c r="AG80" s="1"/>
      <c r="AH80" s="89"/>
      <c r="AI80" s="83"/>
      <c r="AJ80" s="1"/>
      <c r="AK80" s="89"/>
      <c r="AL80" s="83"/>
      <c r="AM80" s="1"/>
      <c r="AN80" s="89"/>
      <c r="AO80" s="83"/>
      <c r="AP80" s="1"/>
      <c r="AQ80" s="89"/>
      <c r="AR80" s="83"/>
      <c r="AS80" s="1"/>
      <c r="AT80" s="89"/>
      <c r="AU80" s="83"/>
      <c r="AV80" s="1"/>
      <c r="AW80" s="89"/>
      <c r="AX80" s="83"/>
      <c r="AY80" s="1"/>
      <c r="AZ80" s="89"/>
    </row>
    <row r="81" spans="1:103" x14ac:dyDescent="0.3">
      <c r="A81" s="41">
        <v>2040</v>
      </c>
      <c r="B81" s="83">
        <v>70.95</v>
      </c>
      <c r="C81" s="1">
        <v>103.20000000000002</v>
      </c>
      <c r="D81" s="89">
        <v>135.45000000000002</v>
      </c>
      <c r="E81" s="83">
        <v>63</v>
      </c>
      <c r="F81" s="1">
        <v>88.2</v>
      </c>
      <c r="G81" s="89">
        <v>113.4</v>
      </c>
      <c r="H81" s="83">
        <v>50.4</v>
      </c>
      <c r="I81" s="1">
        <v>66.150000000000006</v>
      </c>
      <c r="J81" s="89">
        <v>81.900000000000006</v>
      </c>
      <c r="K81" s="83">
        <v>18.899999999999999</v>
      </c>
      <c r="L81" s="1">
        <v>28.349999999999998</v>
      </c>
      <c r="M81" s="89">
        <v>37.799999999999997</v>
      </c>
      <c r="N81" s="83"/>
      <c r="O81" s="1"/>
      <c r="P81" s="89"/>
      <c r="Q81" s="83"/>
      <c r="R81" s="1"/>
      <c r="S81" s="89"/>
      <c r="T81" s="83"/>
      <c r="U81" s="1"/>
      <c r="V81" s="89"/>
      <c r="W81" s="83"/>
      <c r="X81" s="1"/>
      <c r="Y81" s="89"/>
      <c r="Z81" s="83"/>
      <c r="AA81" s="1"/>
      <c r="AB81" s="89"/>
      <c r="AC81" s="83"/>
      <c r="AD81" s="1"/>
      <c r="AE81" s="89"/>
      <c r="AF81" s="83"/>
      <c r="AG81" s="1"/>
      <c r="AH81" s="89"/>
      <c r="AI81" s="83"/>
      <c r="AJ81" s="1"/>
      <c r="AK81" s="89"/>
      <c r="AL81" s="83"/>
      <c r="AM81" s="1"/>
      <c r="AN81" s="89"/>
      <c r="AO81" s="83"/>
      <c r="AP81" s="1"/>
      <c r="AQ81" s="89"/>
      <c r="AR81" s="83"/>
      <c r="AS81" s="1"/>
      <c r="AT81" s="89"/>
      <c r="AU81" s="83"/>
      <c r="AV81" s="1"/>
      <c r="AW81" s="89"/>
      <c r="AX81" s="83"/>
      <c r="AY81" s="1"/>
      <c r="AZ81" s="89"/>
    </row>
    <row r="82" spans="1:103" x14ac:dyDescent="0.3">
      <c r="A82" s="41">
        <v>2041</v>
      </c>
      <c r="B82" s="83"/>
      <c r="C82" s="1"/>
      <c r="D82" s="89"/>
      <c r="E82" s="83"/>
      <c r="F82" s="1"/>
      <c r="G82" s="89"/>
      <c r="H82" s="83"/>
      <c r="I82" s="1"/>
      <c r="J82" s="89"/>
      <c r="K82" s="83"/>
      <c r="L82" s="1"/>
      <c r="M82" s="89"/>
      <c r="N82" s="83"/>
      <c r="O82" s="1"/>
      <c r="P82" s="89"/>
      <c r="Q82" s="83"/>
      <c r="R82" s="1"/>
      <c r="S82" s="89"/>
      <c r="T82" s="83"/>
      <c r="U82" s="1"/>
      <c r="V82" s="89"/>
      <c r="W82" s="83"/>
      <c r="X82" s="1"/>
      <c r="Y82" s="89"/>
      <c r="Z82" s="83"/>
      <c r="AA82" s="1"/>
      <c r="AB82" s="89"/>
      <c r="AC82" s="83"/>
      <c r="AD82" s="1"/>
      <c r="AE82" s="89"/>
      <c r="AF82" s="83"/>
      <c r="AG82" s="1"/>
      <c r="AH82" s="89"/>
      <c r="AI82" s="83"/>
      <c r="AJ82" s="1"/>
      <c r="AK82" s="89"/>
      <c r="AL82" s="83"/>
      <c r="AM82" s="1"/>
      <c r="AN82" s="89"/>
      <c r="AO82" s="83"/>
      <c r="AP82" s="1"/>
      <c r="AQ82" s="89"/>
      <c r="AR82" s="83"/>
      <c r="AS82" s="1"/>
      <c r="AT82" s="89"/>
      <c r="AU82" s="83"/>
      <c r="AV82" s="1"/>
      <c r="AW82" s="89"/>
      <c r="AX82" s="83"/>
      <c r="AY82" s="1"/>
      <c r="AZ82" s="89"/>
    </row>
    <row r="83" spans="1:103" x14ac:dyDescent="0.3">
      <c r="A83" s="41">
        <v>2042</v>
      </c>
      <c r="B83" s="83"/>
      <c r="C83" s="1"/>
      <c r="D83" s="89"/>
      <c r="E83" s="83"/>
      <c r="F83" s="1"/>
      <c r="G83" s="89"/>
      <c r="H83" s="83"/>
      <c r="I83" s="1"/>
      <c r="J83" s="89"/>
      <c r="K83" s="83"/>
      <c r="L83" s="1"/>
      <c r="M83" s="89"/>
      <c r="N83" s="83"/>
      <c r="O83" s="1"/>
      <c r="P83" s="89"/>
      <c r="Q83" s="83"/>
      <c r="R83" s="1"/>
      <c r="S83" s="89"/>
      <c r="T83" s="83"/>
      <c r="U83" s="1"/>
      <c r="V83" s="89"/>
      <c r="W83" s="83"/>
      <c r="X83" s="1"/>
      <c r="Y83" s="89"/>
      <c r="Z83" s="83"/>
      <c r="AA83" s="1"/>
      <c r="AB83" s="89"/>
      <c r="AC83" s="83"/>
      <c r="AD83" s="1"/>
      <c r="AE83" s="89"/>
      <c r="AF83" s="83"/>
      <c r="AG83" s="1"/>
      <c r="AH83" s="89"/>
      <c r="AI83" s="83"/>
      <c r="AJ83" s="1"/>
      <c r="AK83" s="89"/>
      <c r="AL83" s="83"/>
      <c r="AM83" s="1"/>
      <c r="AN83" s="89"/>
      <c r="AO83" s="83"/>
      <c r="AP83" s="1"/>
      <c r="AQ83" s="89"/>
      <c r="AR83" s="83"/>
      <c r="AS83" s="1"/>
      <c r="AT83" s="89"/>
      <c r="AU83" s="83"/>
      <c r="AV83" s="1"/>
      <c r="AW83" s="89"/>
      <c r="AX83" s="83"/>
      <c r="AY83" s="1"/>
      <c r="AZ83" s="89"/>
    </row>
    <row r="84" spans="1:103" x14ac:dyDescent="0.3">
      <c r="A84" s="41">
        <v>2043</v>
      </c>
      <c r="B84" s="83"/>
      <c r="C84" s="1"/>
      <c r="D84" s="89"/>
      <c r="E84" s="83"/>
      <c r="F84" s="1"/>
      <c r="G84" s="89"/>
      <c r="H84" s="83"/>
      <c r="I84" s="1"/>
      <c r="J84" s="89"/>
      <c r="K84" s="83"/>
      <c r="L84" s="1"/>
      <c r="M84" s="89"/>
      <c r="N84" s="83"/>
      <c r="O84" s="1"/>
      <c r="P84" s="89"/>
      <c r="Q84" s="83"/>
      <c r="R84" s="1"/>
      <c r="S84" s="89"/>
      <c r="T84" s="83"/>
      <c r="U84" s="1"/>
      <c r="V84" s="89"/>
      <c r="W84" s="83"/>
      <c r="X84" s="1"/>
      <c r="Y84" s="89"/>
      <c r="Z84" s="83"/>
      <c r="AA84" s="1"/>
      <c r="AB84" s="89"/>
      <c r="AC84" s="83"/>
      <c r="AD84" s="1"/>
      <c r="AE84" s="89"/>
      <c r="AF84" s="83"/>
      <c r="AG84" s="1"/>
      <c r="AH84" s="89"/>
      <c r="AI84" s="83"/>
      <c r="AJ84" s="1"/>
      <c r="AK84" s="89"/>
      <c r="AL84" s="83"/>
      <c r="AM84" s="1"/>
      <c r="AN84" s="89"/>
      <c r="AO84" s="83"/>
      <c r="AP84" s="1"/>
      <c r="AQ84" s="89"/>
      <c r="AR84" s="83"/>
      <c r="AS84" s="1"/>
      <c r="AT84" s="89"/>
      <c r="AU84" s="83"/>
      <c r="AV84" s="1"/>
      <c r="AW84" s="89"/>
      <c r="AX84" s="83"/>
      <c r="AY84" s="1"/>
      <c r="AZ84" s="89"/>
    </row>
    <row r="85" spans="1:103" x14ac:dyDescent="0.3">
      <c r="A85" s="41">
        <v>2044</v>
      </c>
      <c r="B85" s="83"/>
      <c r="C85" s="1"/>
      <c r="D85" s="89"/>
      <c r="E85" s="83"/>
      <c r="F85" s="1"/>
      <c r="G85" s="89"/>
      <c r="H85" s="83"/>
      <c r="I85" s="1"/>
      <c r="J85" s="89"/>
      <c r="K85" s="83"/>
      <c r="L85" s="1"/>
      <c r="M85" s="89"/>
      <c r="N85" s="83"/>
      <c r="O85" s="1"/>
      <c r="P85" s="89"/>
      <c r="Q85" s="83"/>
      <c r="R85" s="1"/>
      <c r="S85" s="89"/>
      <c r="T85" s="83"/>
      <c r="U85" s="1"/>
      <c r="V85" s="89"/>
      <c r="W85" s="83"/>
      <c r="X85" s="1"/>
      <c r="Y85" s="89"/>
      <c r="Z85" s="83"/>
      <c r="AA85" s="1"/>
      <c r="AB85" s="89"/>
      <c r="AC85" s="83"/>
      <c r="AD85" s="1"/>
      <c r="AE85" s="89"/>
      <c r="AF85" s="83"/>
      <c r="AG85" s="1"/>
      <c r="AH85" s="89"/>
      <c r="AI85" s="83"/>
      <c r="AJ85" s="1"/>
      <c r="AK85" s="89"/>
      <c r="AL85" s="83"/>
      <c r="AM85" s="1"/>
      <c r="AN85" s="89"/>
      <c r="AO85" s="83"/>
      <c r="AP85" s="1"/>
      <c r="AQ85" s="89"/>
      <c r="AR85" s="83"/>
      <c r="AS85" s="1"/>
      <c r="AT85" s="89"/>
      <c r="AU85" s="83"/>
      <c r="AV85" s="1"/>
      <c r="AW85" s="89"/>
      <c r="AX85" s="83"/>
      <c r="AY85" s="1"/>
      <c r="AZ85" s="89"/>
    </row>
    <row r="86" spans="1:103" x14ac:dyDescent="0.3">
      <c r="A86" s="41">
        <v>2045</v>
      </c>
      <c r="B86" s="83"/>
      <c r="C86" s="1"/>
      <c r="D86" s="89"/>
      <c r="E86" s="83"/>
      <c r="F86" s="1"/>
      <c r="G86" s="89"/>
      <c r="H86" s="83"/>
      <c r="I86" s="1"/>
      <c r="J86" s="89"/>
      <c r="K86" s="83"/>
      <c r="L86" s="1"/>
      <c r="M86" s="89"/>
      <c r="N86" s="83"/>
      <c r="O86" s="1"/>
      <c r="P86" s="89"/>
      <c r="Q86" s="83"/>
      <c r="R86" s="1"/>
      <c r="S86" s="89"/>
      <c r="T86" s="83"/>
      <c r="U86" s="1"/>
      <c r="V86" s="89"/>
      <c r="W86" s="83"/>
      <c r="X86" s="1"/>
      <c r="Y86" s="89"/>
      <c r="Z86" s="83"/>
      <c r="AA86" s="1"/>
      <c r="AB86" s="89"/>
      <c r="AC86" s="83"/>
      <c r="AD86" s="1"/>
      <c r="AE86" s="89"/>
      <c r="AF86" s="83"/>
      <c r="AG86" s="1"/>
      <c r="AH86" s="89"/>
      <c r="AI86" s="83"/>
      <c r="AJ86" s="1"/>
      <c r="AK86" s="89"/>
      <c r="AL86" s="83"/>
      <c r="AM86" s="1"/>
      <c r="AN86" s="89"/>
      <c r="AO86" s="83"/>
      <c r="AP86" s="1"/>
      <c r="AQ86" s="89"/>
      <c r="AR86" s="83"/>
      <c r="AS86" s="1"/>
      <c r="AT86" s="89"/>
      <c r="AU86" s="83"/>
      <c r="AV86" s="1"/>
      <c r="AW86" s="89"/>
      <c r="AX86" s="83"/>
      <c r="AY86" s="1"/>
      <c r="AZ86" s="89"/>
    </row>
    <row r="87" spans="1:103" x14ac:dyDescent="0.3">
      <c r="A87" s="41">
        <v>2046</v>
      </c>
      <c r="B87" s="83"/>
      <c r="C87" s="1"/>
      <c r="D87" s="89"/>
      <c r="E87" s="83"/>
      <c r="F87" s="1"/>
      <c r="G87" s="89"/>
      <c r="H87" s="83"/>
      <c r="I87" s="1"/>
      <c r="J87" s="89"/>
      <c r="K87" s="83"/>
      <c r="L87" s="1"/>
      <c r="M87" s="89"/>
      <c r="N87" s="83"/>
      <c r="O87" s="1"/>
      <c r="P87" s="89"/>
      <c r="Q87" s="83"/>
      <c r="R87" s="1"/>
      <c r="S87" s="89"/>
      <c r="T87" s="83"/>
      <c r="U87" s="1"/>
      <c r="V87" s="89"/>
      <c r="W87" s="83"/>
      <c r="X87" s="1"/>
      <c r="Y87" s="89"/>
      <c r="Z87" s="83"/>
      <c r="AA87" s="1"/>
      <c r="AB87" s="89"/>
      <c r="AC87" s="83"/>
      <c r="AD87" s="1"/>
      <c r="AE87" s="89"/>
      <c r="AF87" s="83"/>
      <c r="AG87" s="1"/>
      <c r="AH87" s="89"/>
      <c r="AI87" s="83"/>
      <c r="AJ87" s="1"/>
      <c r="AK87" s="89"/>
      <c r="AL87" s="83"/>
      <c r="AM87" s="1"/>
      <c r="AN87" s="89"/>
      <c r="AO87" s="83"/>
      <c r="AP87" s="1"/>
      <c r="AQ87" s="89"/>
      <c r="AR87" s="83"/>
      <c r="AS87" s="1"/>
      <c r="AT87" s="89"/>
      <c r="AU87" s="83"/>
      <c r="AV87" s="1"/>
      <c r="AW87" s="89"/>
      <c r="AX87" s="83"/>
      <c r="AY87" s="1"/>
      <c r="AZ87" s="89"/>
    </row>
    <row r="88" spans="1:103" x14ac:dyDescent="0.3">
      <c r="A88" s="41">
        <v>2047</v>
      </c>
      <c r="B88" s="83"/>
      <c r="C88" s="1"/>
      <c r="D88" s="89"/>
      <c r="E88" s="83"/>
      <c r="F88" s="1"/>
      <c r="G88" s="89"/>
      <c r="H88" s="83"/>
      <c r="I88" s="1"/>
      <c r="J88" s="89"/>
      <c r="K88" s="83"/>
      <c r="L88" s="1"/>
      <c r="M88" s="89"/>
      <c r="N88" s="83"/>
      <c r="O88" s="1"/>
      <c r="P88" s="89"/>
      <c r="Q88" s="83"/>
      <c r="R88" s="1"/>
      <c r="S88" s="89"/>
      <c r="T88" s="83"/>
      <c r="U88" s="1"/>
      <c r="V88" s="89"/>
      <c r="W88" s="83"/>
      <c r="X88" s="1"/>
      <c r="Y88" s="89"/>
      <c r="Z88" s="83"/>
      <c r="AA88" s="1"/>
      <c r="AB88" s="89"/>
      <c r="AC88" s="83"/>
      <c r="AD88" s="1"/>
      <c r="AE88" s="89"/>
      <c r="AF88" s="83"/>
      <c r="AG88" s="1"/>
      <c r="AH88" s="89"/>
      <c r="AI88" s="83"/>
      <c r="AJ88" s="1"/>
      <c r="AK88" s="89"/>
      <c r="AL88" s="83"/>
      <c r="AM88" s="1"/>
      <c r="AN88" s="89"/>
      <c r="AO88" s="83"/>
      <c r="AP88" s="1"/>
      <c r="AQ88" s="89"/>
      <c r="AR88" s="83"/>
      <c r="AS88" s="1"/>
      <c r="AT88" s="89"/>
      <c r="AU88" s="83"/>
      <c r="AV88" s="1"/>
      <c r="AW88" s="89"/>
      <c r="AX88" s="83"/>
      <c r="AY88" s="1"/>
      <c r="AZ88" s="89"/>
    </row>
    <row r="89" spans="1:103" x14ac:dyDescent="0.3">
      <c r="A89" s="41">
        <v>2048</v>
      </c>
      <c r="B89" s="83"/>
      <c r="C89" s="1"/>
      <c r="D89" s="89"/>
      <c r="E89" s="83"/>
      <c r="F89" s="1"/>
      <c r="G89" s="89"/>
      <c r="H89" s="83"/>
      <c r="I89" s="1"/>
      <c r="J89" s="89"/>
      <c r="K89" s="83"/>
      <c r="L89" s="1"/>
      <c r="M89" s="89"/>
      <c r="N89" s="83"/>
      <c r="O89" s="1"/>
      <c r="P89" s="89"/>
      <c r="Q89" s="83"/>
      <c r="R89" s="1"/>
      <c r="S89" s="89"/>
      <c r="T89" s="83"/>
      <c r="U89" s="1"/>
      <c r="V89" s="89"/>
      <c r="W89" s="83"/>
      <c r="X89" s="1"/>
      <c r="Y89" s="89"/>
      <c r="Z89" s="83"/>
      <c r="AA89" s="1"/>
      <c r="AB89" s="89"/>
      <c r="AC89" s="83"/>
      <c r="AD89" s="1"/>
      <c r="AE89" s="89"/>
      <c r="AF89" s="83"/>
      <c r="AG89" s="1"/>
      <c r="AH89" s="89"/>
      <c r="AI89" s="83"/>
      <c r="AJ89" s="1"/>
      <c r="AK89" s="89"/>
      <c r="AL89" s="83"/>
      <c r="AM89" s="1"/>
      <c r="AN89" s="89"/>
      <c r="AO89" s="83"/>
      <c r="AP89" s="1"/>
      <c r="AQ89" s="89"/>
      <c r="AR89" s="83"/>
      <c r="AS89" s="1"/>
      <c r="AT89" s="89"/>
      <c r="AU89" s="83"/>
      <c r="AV89" s="1"/>
      <c r="AW89" s="89"/>
      <c r="AX89" s="83"/>
      <c r="AY89" s="1"/>
      <c r="AZ89" s="89"/>
    </row>
    <row r="90" spans="1:103" x14ac:dyDescent="0.3">
      <c r="A90" s="41">
        <v>2049</v>
      </c>
      <c r="B90" s="83"/>
      <c r="C90" s="1"/>
      <c r="D90" s="89"/>
      <c r="E90" s="83"/>
      <c r="F90" s="1"/>
      <c r="G90" s="89"/>
      <c r="H90" s="83"/>
      <c r="I90" s="1"/>
      <c r="J90" s="89"/>
      <c r="K90" s="83"/>
      <c r="L90" s="1"/>
      <c r="M90" s="89"/>
      <c r="N90" s="83"/>
      <c r="O90" s="1"/>
      <c r="P90" s="89"/>
      <c r="Q90" s="83"/>
      <c r="R90" s="1"/>
      <c r="S90" s="89"/>
      <c r="T90" s="83"/>
      <c r="U90" s="1"/>
      <c r="V90" s="89"/>
      <c r="W90" s="83"/>
      <c r="X90" s="1"/>
      <c r="Y90" s="89"/>
      <c r="Z90" s="83"/>
      <c r="AA90" s="1"/>
      <c r="AB90" s="89"/>
      <c r="AC90" s="83"/>
      <c r="AD90" s="1"/>
      <c r="AE90" s="89"/>
      <c r="AF90" s="83"/>
      <c r="AG90" s="1"/>
      <c r="AH90" s="89"/>
      <c r="AI90" s="83"/>
      <c r="AJ90" s="1"/>
      <c r="AK90" s="89"/>
      <c r="AL90" s="83"/>
      <c r="AM90" s="1"/>
      <c r="AN90" s="89"/>
      <c r="AO90" s="83"/>
      <c r="AP90" s="1"/>
      <c r="AQ90" s="89"/>
      <c r="AR90" s="83"/>
      <c r="AS90" s="1"/>
      <c r="AT90" s="89"/>
      <c r="AU90" s="83"/>
      <c r="AV90" s="1"/>
      <c r="AW90" s="89"/>
      <c r="AX90" s="83"/>
      <c r="AY90" s="1"/>
      <c r="AZ90" s="89"/>
    </row>
    <row r="91" spans="1:103" ht="15" thickBot="1" x14ac:dyDescent="0.35">
      <c r="A91" s="42">
        <v>2050</v>
      </c>
      <c r="B91" s="90"/>
      <c r="C91" s="91"/>
      <c r="D91" s="92"/>
      <c r="E91" s="90"/>
      <c r="F91" s="91"/>
      <c r="G91" s="92"/>
      <c r="H91" s="90"/>
      <c r="I91" s="91"/>
      <c r="J91" s="92"/>
      <c r="K91" s="90"/>
      <c r="L91" s="91"/>
      <c r="M91" s="92"/>
      <c r="N91" s="90">
        <v>54.9</v>
      </c>
      <c r="O91" s="91">
        <v>70.149999999999991</v>
      </c>
      <c r="P91" s="92">
        <v>85.399999999999991</v>
      </c>
      <c r="Q91" s="90">
        <v>18.3</v>
      </c>
      <c r="R91" s="91">
        <v>27.450000000000003</v>
      </c>
      <c r="S91" s="92">
        <v>36.6</v>
      </c>
      <c r="T91" s="90">
        <v>18.3</v>
      </c>
      <c r="U91" s="91">
        <v>27.450000000000003</v>
      </c>
      <c r="V91" s="92">
        <v>36.6</v>
      </c>
      <c r="W91" s="90">
        <v>18.3</v>
      </c>
      <c r="X91" s="91">
        <v>24.4</v>
      </c>
      <c r="Y91" s="92">
        <v>30.5</v>
      </c>
      <c r="Z91" s="90">
        <v>67.099999999999994</v>
      </c>
      <c r="AA91" s="91">
        <v>82.35</v>
      </c>
      <c r="AB91" s="92">
        <v>97.6</v>
      </c>
      <c r="AC91" s="90">
        <v>18.3</v>
      </c>
      <c r="AD91" s="91">
        <v>24.4</v>
      </c>
      <c r="AE91" s="92">
        <v>30.5</v>
      </c>
      <c r="AF91" s="90">
        <v>18.3</v>
      </c>
      <c r="AG91" s="91">
        <v>24.4</v>
      </c>
      <c r="AH91" s="92">
        <v>30.5</v>
      </c>
      <c r="AI91" s="90">
        <v>67.099999999999994</v>
      </c>
      <c r="AJ91" s="91">
        <v>88.449999999999989</v>
      </c>
      <c r="AK91" s="92">
        <v>109.8</v>
      </c>
      <c r="AL91" s="90">
        <v>18.3</v>
      </c>
      <c r="AM91" s="91">
        <v>27.450000000000003</v>
      </c>
      <c r="AN91" s="92">
        <v>36.6</v>
      </c>
      <c r="AO91" s="90">
        <v>18.3</v>
      </c>
      <c r="AP91" s="91">
        <v>27.450000000000003</v>
      </c>
      <c r="AQ91" s="92">
        <v>36.6</v>
      </c>
      <c r="AR91" s="90">
        <v>48.8</v>
      </c>
      <c r="AS91" s="91">
        <v>67.099999999999994</v>
      </c>
      <c r="AT91" s="92">
        <v>85.399999999999991</v>
      </c>
      <c r="AU91" s="90">
        <v>24.4</v>
      </c>
      <c r="AV91" s="91">
        <v>27.45</v>
      </c>
      <c r="AW91" s="92">
        <v>30.5</v>
      </c>
      <c r="AX91" s="90">
        <v>24.4</v>
      </c>
      <c r="AY91" s="91">
        <v>27.45</v>
      </c>
      <c r="AZ91" s="92">
        <v>30.5</v>
      </c>
    </row>
    <row r="92" spans="1:103" ht="15" thickBot="1" x14ac:dyDescent="0.35">
      <c r="A92" s="36"/>
    </row>
    <row r="93" spans="1:103" ht="18.600000000000001" thickBot="1" x14ac:dyDescent="0.4">
      <c r="A93" s="289" t="s">
        <v>0</v>
      </c>
      <c r="B93" s="372" t="s">
        <v>110</v>
      </c>
      <c r="C93" s="373"/>
      <c r="D93" s="373"/>
      <c r="E93" s="373"/>
      <c r="F93" s="373"/>
      <c r="G93" s="373"/>
      <c r="H93" s="373"/>
      <c r="I93" s="373"/>
      <c r="J93" s="373"/>
      <c r="K93" s="373"/>
      <c r="L93" s="373"/>
      <c r="M93" s="373"/>
      <c r="N93" s="373"/>
      <c r="O93" s="373"/>
      <c r="P93" s="373"/>
      <c r="Q93" s="373"/>
      <c r="R93" s="373"/>
      <c r="S93" s="373"/>
      <c r="T93" s="373"/>
      <c r="U93" s="373"/>
      <c r="V93" s="373"/>
      <c r="W93" s="373"/>
      <c r="X93" s="373"/>
      <c r="Y93" s="373"/>
      <c r="Z93" s="373"/>
      <c r="AA93" s="373"/>
      <c r="AB93" s="373"/>
      <c r="AC93" s="373"/>
      <c r="AD93" s="373"/>
      <c r="AE93" s="373"/>
      <c r="AF93" s="373"/>
      <c r="AG93" s="373"/>
      <c r="AH93" s="373"/>
      <c r="AI93" s="373"/>
      <c r="AJ93" s="373"/>
      <c r="AK93" s="373"/>
      <c r="AL93" s="373"/>
      <c r="AM93" s="373"/>
      <c r="AN93" s="373"/>
      <c r="AO93" s="373"/>
      <c r="AP93" s="373"/>
      <c r="AQ93" s="373"/>
      <c r="AR93" s="373"/>
      <c r="AS93" s="373"/>
      <c r="AT93" s="373"/>
      <c r="AU93" s="373"/>
      <c r="AV93" s="373"/>
      <c r="AW93" s="373"/>
      <c r="AX93" s="373"/>
      <c r="AY93" s="373"/>
      <c r="AZ93" s="373"/>
      <c r="BA93" s="373"/>
      <c r="BB93" s="373"/>
      <c r="BC93" s="373"/>
      <c r="BD93" s="373"/>
      <c r="BE93" s="373"/>
      <c r="BF93" s="373"/>
      <c r="BG93" s="373"/>
      <c r="BH93" s="373"/>
      <c r="BI93" s="373"/>
      <c r="BJ93" s="373"/>
      <c r="BK93" s="373"/>
      <c r="BL93" s="373"/>
      <c r="BM93" s="373"/>
      <c r="BN93" s="373"/>
      <c r="BO93" s="373"/>
      <c r="BP93" s="373"/>
      <c r="BQ93" s="373"/>
      <c r="BR93" s="373"/>
      <c r="BS93" s="373"/>
      <c r="BT93" s="373"/>
      <c r="BU93" s="373"/>
      <c r="BV93" s="373"/>
      <c r="BW93" s="373"/>
      <c r="BX93" s="373"/>
      <c r="BY93" s="373"/>
      <c r="BZ93" s="373"/>
      <c r="CA93" s="373"/>
      <c r="CB93" s="373"/>
      <c r="CC93" s="373"/>
      <c r="CD93" s="373"/>
      <c r="CE93" s="373"/>
      <c r="CF93" s="373"/>
      <c r="CG93" s="373"/>
      <c r="CH93" s="373"/>
      <c r="CI93" s="373"/>
      <c r="CJ93" s="373"/>
      <c r="CK93" s="373"/>
      <c r="CL93" s="373"/>
      <c r="CM93" s="373"/>
      <c r="CN93" s="373"/>
      <c r="CO93" s="373"/>
      <c r="CP93" s="373"/>
      <c r="CQ93" s="373"/>
      <c r="CR93" s="373"/>
      <c r="CS93" s="373"/>
      <c r="CT93" s="373"/>
      <c r="CU93" s="373"/>
      <c r="CV93" s="373"/>
      <c r="CW93" s="373"/>
      <c r="CX93" s="373"/>
      <c r="CY93" s="374"/>
    </row>
    <row r="94" spans="1:103" ht="18.600000000000001" thickBot="1" x14ac:dyDescent="0.35">
      <c r="A94" s="344"/>
      <c r="B94" s="365" t="s">
        <v>338</v>
      </c>
      <c r="C94" s="366"/>
      <c r="D94" s="367"/>
      <c r="E94" s="365" t="s">
        <v>339</v>
      </c>
      <c r="F94" s="366"/>
      <c r="G94" s="367"/>
      <c r="H94" s="365" t="s">
        <v>340</v>
      </c>
      <c r="I94" s="366"/>
      <c r="J94" s="367"/>
      <c r="K94" s="365" t="s">
        <v>341</v>
      </c>
      <c r="L94" s="366"/>
      <c r="M94" s="367"/>
      <c r="N94" s="365" t="s">
        <v>342</v>
      </c>
      <c r="O94" s="366"/>
      <c r="P94" s="367"/>
      <c r="Q94" s="365" t="s">
        <v>343</v>
      </c>
      <c r="R94" s="366"/>
      <c r="S94" s="367"/>
      <c r="T94" s="365" t="s">
        <v>344</v>
      </c>
      <c r="U94" s="366"/>
      <c r="V94" s="367"/>
      <c r="W94" s="365" t="s">
        <v>345</v>
      </c>
      <c r="X94" s="366"/>
      <c r="Y94" s="367"/>
      <c r="Z94" s="365" t="s">
        <v>346</v>
      </c>
      <c r="AA94" s="366"/>
      <c r="AB94" s="367"/>
      <c r="AC94" s="365" t="s">
        <v>347</v>
      </c>
      <c r="AD94" s="366"/>
      <c r="AE94" s="367"/>
      <c r="AF94" s="365" t="s">
        <v>348</v>
      </c>
      <c r="AG94" s="366"/>
      <c r="AH94" s="367"/>
      <c r="AI94" s="365" t="s">
        <v>349</v>
      </c>
      <c r="AJ94" s="366"/>
      <c r="AK94" s="367"/>
      <c r="AL94" s="365" t="s">
        <v>350</v>
      </c>
      <c r="AM94" s="366"/>
      <c r="AN94" s="367"/>
      <c r="AO94" s="365" t="s">
        <v>351</v>
      </c>
      <c r="AP94" s="366"/>
      <c r="AQ94" s="367"/>
      <c r="AR94" s="365" t="s">
        <v>352</v>
      </c>
      <c r="AS94" s="366"/>
      <c r="AT94" s="367"/>
      <c r="AU94" s="365" t="s">
        <v>353</v>
      </c>
      <c r="AV94" s="366"/>
      <c r="AW94" s="367"/>
      <c r="AX94" s="365" t="s">
        <v>354</v>
      </c>
      <c r="AY94" s="366"/>
      <c r="AZ94" s="367"/>
      <c r="BA94" s="365" t="s">
        <v>355</v>
      </c>
      <c r="BB94" s="366"/>
      <c r="BC94" s="367"/>
      <c r="BD94" s="365" t="s">
        <v>356</v>
      </c>
      <c r="BE94" s="366"/>
      <c r="BF94" s="367"/>
      <c r="BG94" s="365" t="s">
        <v>357</v>
      </c>
      <c r="BH94" s="366"/>
      <c r="BI94" s="367"/>
      <c r="BJ94" s="365" t="s">
        <v>358</v>
      </c>
      <c r="BK94" s="366"/>
      <c r="BL94" s="367"/>
      <c r="BM94" s="365" t="s">
        <v>359</v>
      </c>
      <c r="BN94" s="366"/>
      <c r="BO94" s="367"/>
      <c r="BP94" s="365" t="s">
        <v>360</v>
      </c>
      <c r="BQ94" s="366"/>
      <c r="BR94" s="367"/>
      <c r="BS94" s="365" t="s">
        <v>361</v>
      </c>
      <c r="BT94" s="366"/>
      <c r="BU94" s="367"/>
      <c r="BV94" s="365" t="s">
        <v>362</v>
      </c>
      <c r="BW94" s="366"/>
      <c r="BX94" s="367"/>
      <c r="BY94" s="365" t="s">
        <v>363</v>
      </c>
      <c r="BZ94" s="366"/>
      <c r="CA94" s="367"/>
      <c r="CB94" s="365" t="s">
        <v>364</v>
      </c>
      <c r="CC94" s="366"/>
      <c r="CD94" s="367"/>
      <c r="CE94" s="365" t="s">
        <v>365</v>
      </c>
      <c r="CF94" s="366"/>
      <c r="CG94" s="367"/>
      <c r="CH94" s="365" t="s">
        <v>366</v>
      </c>
      <c r="CI94" s="366"/>
      <c r="CJ94" s="367"/>
      <c r="CK94" s="365" t="s">
        <v>367</v>
      </c>
      <c r="CL94" s="366"/>
      <c r="CM94" s="367"/>
      <c r="CN94" s="365" t="s">
        <v>368</v>
      </c>
      <c r="CO94" s="366"/>
      <c r="CP94" s="367"/>
      <c r="CQ94" s="365" t="s">
        <v>369</v>
      </c>
      <c r="CR94" s="366"/>
      <c r="CS94" s="367"/>
      <c r="CT94" s="365" t="s">
        <v>370</v>
      </c>
      <c r="CU94" s="366"/>
      <c r="CV94" s="367"/>
      <c r="CW94" s="365" t="s">
        <v>371</v>
      </c>
      <c r="CX94" s="366"/>
      <c r="CY94" s="367"/>
    </row>
    <row r="95" spans="1:103" ht="15" thickBot="1" x14ac:dyDescent="0.35">
      <c r="A95" s="290"/>
      <c r="B95" s="84" t="s">
        <v>18</v>
      </c>
      <c r="C95" s="85" t="s">
        <v>19</v>
      </c>
      <c r="D95" s="86" t="s">
        <v>20</v>
      </c>
      <c r="E95" s="84" t="s">
        <v>18</v>
      </c>
      <c r="F95" s="85" t="s">
        <v>19</v>
      </c>
      <c r="G95" s="86" t="s">
        <v>20</v>
      </c>
      <c r="H95" s="84" t="s">
        <v>18</v>
      </c>
      <c r="I95" s="85" t="s">
        <v>19</v>
      </c>
      <c r="J95" s="86" t="s">
        <v>20</v>
      </c>
      <c r="K95" s="84" t="s">
        <v>18</v>
      </c>
      <c r="L95" s="85" t="s">
        <v>19</v>
      </c>
      <c r="M95" s="86" t="s">
        <v>20</v>
      </c>
      <c r="N95" s="84" t="s">
        <v>18</v>
      </c>
      <c r="O95" s="85" t="s">
        <v>19</v>
      </c>
      <c r="P95" s="86" t="s">
        <v>20</v>
      </c>
      <c r="Q95" s="84" t="s">
        <v>18</v>
      </c>
      <c r="R95" s="85" t="s">
        <v>19</v>
      </c>
      <c r="S95" s="86" t="s">
        <v>20</v>
      </c>
      <c r="T95" s="84" t="s">
        <v>18</v>
      </c>
      <c r="U95" s="85" t="s">
        <v>19</v>
      </c>
      <c r="V95" s="86" t="s">
        <v>20</v>
      </c>
      <c r="W95" s="84" t="s">
        <v>18</v>
      </c>
      <c r="X95" s="85" t="s">
        <v>19</v>
      </c>
      <c r="Y95" s="86" t="s">
        <v>20</v>
      </c>
      <c r="Z95" s="84" t="s">
        <v>18</v>
      </c>
      <c r="AA95" s="85" t="s">
        <v>19</v>
      </c>
      <c r="AB95" s="86" t="s">
        <v>20</v>
      </c>
      <c r="AC95" s="84" t="s">
        <v>18</v>
      </c>
      <c r="AD95" s="85" t="s">
        <v>19</v>
      </c>
      <c r="AE95" s="86" t="s">
        <v>20</v>
      </c>
      <c r="AF95" s="84" t="s">
        <v>18</v>
      </c>
      <c r="AG95" s="85" t="s">
        <v>19</v>
      </c>
      <c r="AH95" s="86" t="s">
        <v>20</v>
      </c>
      <c r="AI95" s="84" t="s">
        <v>18</v>
      </c>
      <c r="AJ95" s="85" t="s">
        <v>19</v>
      </c>
      <c r="AK95" s="86" t="s">
        <v>20</v>
      </c>
      <c r="AL95" s="84" t="s">
        <v>18</v>
      </c>
      <c r="AM95" s="85" t="s">
        <v>19</v>
      </c>
      <c r="AN95" s="86" t="s">
        <v>20</v>
      </c>
      <c r="AO95" s="84" t="s">
        <v>18</v>
      </c>
      <c r="AP95" s="85" t="s">
        <v>19</v>
      </c>
      <c r="AQ95" s="86" t="s">
        <v>20</v>
      </c>
      <c r="AR95" s="84" t="s">
        <v>18</v>
      </c>
      <c r="AS95" s="85" t="s">
        <v>19</v>
      </c>
      <c r="AT95" s="86" t="s">
        <v>20</v>
      </c>
      <c r="AU95" s="84" t="s">
        <v>18</v>
      </c>
      <c r="AV95" s="85" t="s">
        <v>19</v>
      </c>
      <c r="AW95" s="86" t="s">
        <v>20</v>
      </c>
      <c r="AX95" s="84" t="s">
        <v>18</v>
      </c>
      <c r="AY95" s="85" t="s">
        <v>19</v>
      </c>
      <c r="AZ95" s="86" t="s">
        <v>20</v>
      </c>
      <c r="BA95" s="84" t="s">
        <v>18</v>
      </c>
      <c r="BB95" s="85" t="s">
        <v>19</v>
      </c>
      <c r="BC95" s="86" t="s">
        <v>20</v>
      </c>
      <c r="BD95" s="84" t="s">
        <v>18</v>
      </c>
      <c r="BE95" s="85" t="s">
        <v>19</v>
      </c>
      <c r="BF95" s="86" t="s">
        <v>20</v>
      </c>
      <c r="BG95" s="84" t="s">
        <v>18</v>
      </c>
      <c r="BH95" s="85" t="s">
        <v>19</v>
      </c>
      <c r="BI95" s="86" t="s">
        <v>20</v>
      </c>
      <c r="BJ95" s="84" t="s">
        <v>18</v>
      </c>
      <c r="BK95" s="85" t="s">
        <v>19</v>
      </c>
      <c r="BL95" s="86" t="s">
        <v>20</v>
      </c>
      <c r="BM95" s="84" t="s">
        <v>18</v>
      </c>
      <c r="BN95" s="85" t="s">
        <v>19</v>
      </c>
      <c r="BO95" s="86" t="s">
        <v>20</v>
      </c>
      <c r="BP95" s="84" t="s">
        <v>18</v>
      </c>
      <c r="BQ95" s="85" t="s">
        <v>19</v>
      </c>
      <c r="BR95" s="86" t="s">
        <v>20</v>
      </c>
      <c r="BS95" s="84" t="s">
        <v>18</v>
      </c>
      <c r="BT95" s="85" t="s">
        <v>19</v>
      </c>
      <c r="BU95" s="86" t="s">
        <v>20</v>
      </c>
      <c r="BV95" s="84" t="s">
        <v>18</v>
      </c>
      <c r="BW95" s="85" t="s">
        <v>19</v>
      </c>
      <c r="BX95" s="86" t="s">
        <v>20</v>
      </c>
      <c r="BY95" s="84" t="s">
        <v>18</v>
      </c>
      <c r="BZ95" s="85" t="s">
        <v>19</v>
      </c>
      <c r="CA95" s="86" t="s">
        <v>20</v>
      </c>
      <c r="CB95" s="84" t="s">
        <v>18</v>
      </c>
      <c r="CC95" s="85" t="s">
        <v>19</v>
      </c>
      <c r="CD95" s="86" t="s">
        <v>20</v>
      </c>
      <c r="CE95" s="84" t="s">
        <v>18</v>
      </c>
      <c r="CF95" s="85" t="s">
        <v>19</v>
      </c>
      <c r="CG95" s="86" t="s">
        <v>20</v>
      </c>
      <c r="CH95" s="84" t="s">
        <v>18</v>
      </c>
      <c r="CI95" s="85" t="s">
        <v>19</v>
      </c>
      <c r="CJ95" s="86" t="s">
        <v>20</v>
      </c>
      <c r="CK95" s="84" t="s">
        <v>18</v>
      </c>
      <c r="CL95" s="85" t="s">
        <v>19</v>
      </c>
      <c r="CM95" s="86" t="s">
        <v>20</v>
      </c>
      <c r="CN95" s="84" t="s">
        <v>18</v>
      </c>
      <c r="CO95" s="85" t="s">
        <v>19</v>
      </c>
      <c r="CP95" s="86" t="s">
        <v>20</v>
      </c>
      <c r="CQ95" s="84" t="s">
        <v>18</v>
      </c>
      <c r="CR95" s="85" t="s">
        <v>19</v>
      </c>
      <c r="CS95" s="86" t="s">
        <v>20</v>
      </c>
      <c r="CT95" s="84" t="s">
        <v>18</v>
      </c>
      <c r="CU95" s="85" t="s">
        <v>19</v>
      </c>
      <c r="CV95" s="86" t="s">
        <v>20</v>
      </c>
      <c r="CW95" s="84" t="s">
        <v>18</v>
      </c>
      <c r="CX95" s="85" t="s">
        <v>19</v>
      </c>
      <c r="CY95" s="86" t="s">
        <v>20</v>
      </c>
    </row>
    <row r="96" spans="1:103" x14ac:dyDescent="0.3">
      <c r="A96" s="41">
        <v>2001</v>
      </c>
      <c r="B96" s="81">
        <v>1603.6200000000001</v>
      </c>
      <c r="C96" s="82">
        <v>2511.63</v>
      </c>
      <c r="D96" s="88">
        <v>3419.64</v>
      </c>
      <c r="E96" s="82"/>
      <c r="F96" s="82"/>
      <c r="G96" s="88"/>
      <c r="H96" s="81"/>
      <c r="I96" s="82"/>
      <c r="J96" s="88"/>
      <c r="K96" s="81"/>
      <c r="L96" s="82"/>
      <c r="M96" s="88"/>
      <c r="N96" s="81"/>
      <c r="O96" s="82"/>
      <c r="P96" s="88"/>
      <c r="Q96" s="81"/>
      <c r="R96" s="82"/>
      <c r="S96" s="88"/>
      <c r="T96" s="81"/>
      <c r="U96" s="82"/>
      <c r="V96" s="88"/>
      <c r="W96" s="81"/>
      <c r="X96" s="82"/>
      <c r="Y96" s="88"/>
      <c r="Z96" s="81"/>
      <c r="AA96" s="82"/>
      <c r="AB96" s="88"/>
      <c r="AC96" s="81"/>
      <c r="AD96" s="82"/>
      <c r="AE96" s="88"/>
      <c r="AF96" s="81"/>
      <c r="AG96" s="82"/>
      <c r="AH96" s="88"/>
      <c r="AI96" s="81"/>
      <c r="AJ96" s="82"/>
      <c r="AK96" s="88"/>
      <c r="AL96" s="81"/>
      <c r="AM96" s="82"/>
      <c r="AN96" s="88"/>
      <c r="AO96" s="81"/>
      <c r="AP96" s="82"/>
      <c r="AQ96" s="88"/>
      <c r="AR96" s="81"/>
      <c r="AS96" s="82"/>
      <c r="AT96" s="88"/>
      <c r="AU96" s="81"/>
      <c r="AV96" s="82"/>
      <c r="AW96" s="88"/>
      <c r="AX96" s="81"/>
      <c r="AY96" s="82"/>
      <c r="AZ96" s="88"/>
      <c r="BA96" s="81"/>
      <c r="BB96" s="82"/>
      <c r="BC96" s="88"/>
      <c r="BD96" s="81"/>
      <c r="BE96" s="82"/>
      <c r="BF96" s="88"/>
      <c r="BG96" s="81"/>
      <c r="BH96" s="82"/>
      <c r="BI96" s="88"/>
      <c r="BJ96" s="81"/>
      <c r="BK96" s="82"/>
      <c r="BL96" s="88"/>
      <c r="BM96" s="81"/>
      <c r="BN96" s="82"/>
      <c r="BO96" s="88"/>
      <c r="BP96" s="81"/>
      <c r="BQ96" s="82"/>
      <c r="BR96" s="88"/>
      <c r="BS96" s="81"/>
      <c r="BT96" s="82"/>
      <c r="BU96" s="88"/>
      <c r="BV96" s="81"/>
      <c r="BW96" s="82"/>
      <c r="BX96" s="88"/>
      <c r="BY96" s="81"/>
      <c r="BZ96" s="82"/>
      <c r="CA96" s="88"/>
      <c r="CB96" s="81"/>
      <c r="CC96" s="82"/>
      <c r="CD96" s="88"/>
      <c r="CE96" s="81"/>
      <c r="CF96" s="82"/>
      <c r="CG96" s="88"/>
      <c r="CH96" s="81"/>
      <c r="CI96" s="82"/>
      <c r="CJ96" s="88"/>
      <c r="CK96" s="81"/>
      <c r="CL96" s="82"/>
      <c r="CM96" s="88"/>
      <c r="CN96" s="81"/>
      <c r="CO96" s="82"/>
      <c r="CP96" s="88"/>
      <c r="CQ96" s="81"/>
      <c r="CR96" s="82"/>
      <c r="CS96" s="88"/>
      <c r="CT96" s="81"/>
      <c r="CU96" s="82"/>
      <c r="CV96" s="88"/>
      <c r="CW96" s="81"/>
      <c r="CX96" s="82"/>
      <c r="CY96" s="88"/>
    </row>
    <row r="97" spans="1:103" x14ac:dyDescent="0.3">
      <c r="A97" s="41">
        <v>2002</v>
      </c>
      <c r="B97" s="83"/>
      <c r="C97" s="1"/>
      <c r="D97" s="89"/>
      <c r="E97" s="1">
        <v>1603.6200000000001</v>
      </c>
      <c r="F97" s="1">
        <v>2511.63</v>
      </c>
      <c r="G97" s="89">
        <v>3419.64</v>
      </c>
      <c r="H97" s="83"/>
      <c r="I97" s="1"/>
      <c r="J97" s="89"/>
      <c r="K97" s="83"/>
      <c r="L97" s="1"/>
      <c r="M97" s="89"/>
      <c r="N97" s="83"/>
      <c r="O97" s="1"/>
      <c r="P97" s="89"/>
      <c r="Q97" s="83"/>
      <c r="R97" s="1"/>
      <c r="S97" s="89"/>
      <c r="T97" s="83"/>
      <c r="U97" s="1"/>
      <c r="V97" s="89"/>
      <c r="W97" s="83"/>
      <c r="X97" s="1"/>
      <c r="Y97" s="89"/>
      <c r="Z97" s="83"/>
      <c r="AA97" s="1"/>
      <c r="AB97" s="89"/>
      <c r="AC97" s="83"/>
      <c r="AD97" s="1"/>
      <c r="AE97" s="89"/>
      <c r="AF97" s="83"/>
      <c r="AG97" s="1"/>
      <c r="AH97" s="89"/>
      <c r="AI97" s="83"/>
      <c r="AJ97" s="1"/>
      <c r="AK97" s="89"/>
      <c r="AL97" s="83"/>
      <c r="AM97" s="1"/>
      <c r="AN97" s="89"/>
      <c r="AO97" s="83"/>
      <c r="AP97" s="1"/>
      <c r="AQ97" s="89"/>
      <c r="AR97" s="83"/>
      <c r="AS97" s="1"/>
      <c r="AT97" s="89"/>
      <c r="AU97" s="83"/>
      <c r="AV97" s="1"/>
      <c r="AW97" s="89"/>
      <c r="AX97" s="83"/>
      <c r="AY97" s="1"/>
      <c r="AZ97" s="89"/>
      <c r="BA97" s="83"/>
      <c r="BB97" s="1"/>
      <c r="BC97" s="89"/>
      <c r="BD97" s="83"/>
      <c r="BE97" s="1"/>
      <c r="BF97" s="89"/>
      <c r="BG97" s="83"/>
      <c r="BH97" s="1"/>
      <c r="BI97" s="89"/>
      <c r="BJ97" s="83"/>
      <c r="BK97" s="1"/>
      <c r="BL97" s="89"/>
      <c r="BM97" s="83"/>
      <c r="BN97" s="1"/>
      <c r="BO97" s="89"/>
      <c r="BP97" s="83"/>
      <c r="BQ97" s="1"/>
      <c r="BR97" s="89"/>
      <c r="BS97" s="83"/>
      <c r="BT97" s="1"/>
      <c r="BU97" s="89"/>
      <c r="BV97" s="83"/>
      <c r="BW97" s="1"/>
      <c r="BX97" s="89"/>
      <c r="BY97" s="83"/>
      <c r="BZ97" s="1"/>
      <c r="CA97" s="89"/>
      <c r="CB97" s="83"/>
      <c r="CC97" s="1"/>
      <c r="CD97" s="89"/>
      <c r="CE97" s="83"/>
      <c r="CF97" s="1"/>
      <c r="CG97" s="89"/>
      <c r="CH97" s="83"/>
      <c r="CI97" s="1"/>
      <c r="CJ97" s="89"/>
      <c r="CK97" s="83"/>
      <c r="CL97" s="1"/>
      <c r="CM97" s="89"/>
      <c r="CN97" s="83"/>
      <c r="CO97" s="1"/>
      <c r="CP97" s="89"/>
      <c r="CQ97" s="83"/>
      <c r="CR97" s="1"/>
      <c r="CS97" s="89"/>
      <c r="CT97" s="83"/>
      <c r="CU97" s="1"/>
      <c r="CV97" s="89"/>
      <c r="CW97" s="83"/>
      <c r="CX97" s="1"/>
      <c r="CY97" s="89"/>
    </row>
    <row r="98" spans="1:103" x14ac:dyDescent="0.3">
      <c r="A98" s="41">
        <v>2003</v>
      </c>
      <c r="B98" s="83"/>
      <c r="C98" s="1"/>
      <c r="D98" s="89"/>
      <c r="E98" s="1"/>
      <c r="F98" s="1"/>
      <c r="G98" s="89"/>
      <c r="H98" s="83"/>
      <c r="I98" s="1">
        <v>1705.3039999999999</v>
      </c>
      <c r="J98" s="89"/>
      <c r="K98" s="83"/>
      <c r="L98" s="1"/>
      <c r="M98" s="89"/>
      <c r="N98" s="83"/>
      <c r="O98" s="1"/>
      <c r="P98" s="89"/>
      <c r="Q98" s="83"/>
      <c r="R98" s="1"/>
      <c r="S98" s="89"/>
      <c r="T98" s="83"/>
      <c r="U98" s="1"/>
      <c r="V98" s="89"/>
      <c r="W98" s="83"/>
      <c r="X98" s="1"/>
      <c r="Y98" s="89"/>
      <c r="Z98" s="83"/>
      <c r="AA98" s="1"/>
      <c r="AB98" s="89"/>
      <c r="AC98" s="83"/>
      <c r="AD98" s="1"/>
      <c r="AE98" s="89"/>
      <c r="AF98" s="83"/>
      <c r="AG98" s="1"/>
      <c r="AH98" s="89"/>
      <c r="AI98" s="83"/>
      <c r="AJ98" s="1"/>
      <c r="AK98" s="89"/>
      <c r="AL98" s="83"/>
      <c r="AM98" s="1"/>
      <c r="AN98" s="89"/>
      <c r="AO98" s="83"/>
      <c r="AP98" s="1"/>
      <c r="AQ98" s="89"/>
      <c r="AR98" s="83"/>
      <c r="AS98" s="1"/>
      <c r="AT98" s="89"/>
      <c r="AU98" s="83"/>
      <c r="AV98" s="1"/>
      <c r="AW98" s="89"/>
      <c r="AX98" s="83"/>
      <c r="AY98" s="1"/>
      <c r="AZ98" s="89"/>
      <c r="BA98" s="83"/>
      <c r="BB98" s="1"/>
      <c r="BC98" s="89"/>
      <c r="BD98" s="83"/>
      <c r="BE98" s="1"/>
      <c r="BF98" s="89"/>
      <c r="BG98" s="83"/>
      <c r="BH98" s="1"/>
      <c r="BI98" s="89"/>
      <c r="BJ98" s="83"/>
      <c r="BK98" s="1"/>
      <c r="BL98" s="89"/>
      <c r="BM98" s="83"/>
      <c r="BN98" s="1"/>
      <c r="BO98" s="89"/>
      <c r="BP98" s="83"/>
      <c r="BQ98" s="1"/>
      <c r="BR98" s="89"/>
      <c r="BS98" s="83"/>
      <c r="BT98" s="1"/>
      <c r="BU98" s="89"/>
      <c r="BV98" s="83"/>
      <c r="BW98" s="1"/>
      <c r="BX98" s="89"/>
      <c r="BY98" s="83"/>
      <c r="BZ98" s="1"/>
      <c r="CA98" s="89"/>
      <c r="CB98" s="83"/>
      <c r="CC98" s="1"/>
      <c r="CD98" s="89"/>
      <c r="CE98" s="83"/>
      <c r="CF98" s="1"/>
      <c r="CG98" s="89"/>
      <c r="CH98" s="83"/>
      <c r="CI98" s="1"/>
      <c r="CJ98" s="89"/>
      <c r="CK98" s="83"/>
      <c r="CL98" s="1"/>
      <c r="CM98" s="89"/>
      <c r="CN98" s="83"/>
      <c r="CO98" s="1"/>
      <c r="CP98" s="89"/>
      <c r="CQ98" s="83"/>
      <c r="CR98" s="1"/>
      <c r="CS98" s="89"/>
      <c r="CT98" s="83"/>
      <c r="CU98" s="1"/>
      <c r="CV98" s="89"/>
      <c r="CW98" s="83"/>
      <c r="CX98" s="1"/>
      <c r="CY98" s="89"/>
    </row>
    <row r="99" spans="1:103" x14ac:dyDescent="0.3">
      <c r="A99" s="41">
        <v>2004</v>
      </c>
      <c r="B99" s="83"/>
      <c r="C99" s="1"/>
      <c r="D99" s="89"/>
      <c r="E99" s="1"/>
      <c r="F99" s="1"/>
      <c r="G99" s="89"/>
      <c r="H99" s="83"/>
      <c r="I99" s="1"/>
      <c r="J99" s="89"/>
      <c r="K99" s="83"/>
      <c r="L99">
        <v>1490.9221600000001</v>
      </c>
      <c r="M99" s="89"/>
      <c r="N99" s="83"/>
      <c r="O99" s="1"/>
      <c r="P99" s="89"/>
      <c r="Q99" s="83"/>
      <c r="R99" s="1"/>
      <c r="S99" s="89"/>
      <c r="T99" s="83"/>
      <c r="U99" s="1"/>
      <c r="V99" s="89"/>
      <c r="W99" s="83"/>
      <c r="X99" s="1"/>
      <c r="Y99" s="89"/>
      <c r="Z99" s="83"/>
      <c r="AA99" s="1"/>
      <c r="AB99" s="89"/>
      <c r="AC99" s="83"/>
      <c r="AD99" s="1"/>
      <c r="AE99" s="89"/>
      <c r="AF99" s="83"/>
      <c r="AG99" s="1"/>
      <c r="AH99" s="89"/>
      <c r="AI99" s="83"/>
      <c r="AJ99" s="1"/>
      <c r="AK99" s="89"/>
      <c r="AL99" s="83"/>
      <c r="AM99" s="1"/>
      <c r="AN99" s="89"/>
      <c r="AO99" s="83"/>
      <c r="AP99" s="1"/>
      <c r="AQ99" s="89"/>
      <c r="AR99" s="83"/>
      <c r="AS99" s="1"/>
      <c r="AT99" s="89"/>
      <c r="AU99" s="83"/>
      <c r="AV99" s="1"/>
      <c r="AW99" s="89"/>
      <c r="AX99" s="83"/>
      <c r="AY99" s="1"/>
      <c r="AZ99" s="89"/>
      <c r="BA99" s="83"/>
      <c r="BB99" s="1"/>
      <c r="BC99" s="89"/>
      <c r="BD99" s="83"/>
      <c r="BE99" s="1"/>
      <c r="BF99" s="89"/>
      <c r="BG99" s="83"/>
      <c r="BH99" s="1"/>
      <c r="BI99" s="89"/>
      <c r="BJ99" s="83"/>
      <c r="BK99" s="1"/>
      <c r="BL99" s="89"/>
      <c r="BM99" s="83"/>
      <c r="BN99" s="1"/>
      <c r="BO99" s="89"/>
      <c r="BP99" s="83"/>
      <c r="BQ99" s="1"/>
      <c r="BR99" s="89"/>
      <c r="BS99" s="83"/>
      <c r="BT99" s="1"/>
      <c r="BU99" s="89"/>
      <c r="BV99" s="83"/>
      <c r="BW99" s="1"/>
      <c r="BX99" s="89"/>
      <c r="BY99" s="83"/>
      <c r="BZ99" s="1"/>
      <c r="CA99" s="89"/>
      <c r="CB99" s="83"/>
      <c r="CC99" s="1"/>
      <c r="CD99" s="89"/>
      <c r="CE99" s="83"/>
      <c r="CF99" s="1"/>
      <c r="CG99" s="89"/>
      <c r="CH99" s="83"/>
      <c r="CI99" s="1"/>
      <c r="CJ99" s="89"/>
      <c r="CK99" s="83"/>
      <c r="CL99" s="1"/>
      <c r="CM99" s="89"/>
      <c r="CN99" s="83"/>
      <c r="CO99" s="1"/>
      <c r="CP99" s="89"/>
      <c r="CQ99" s="83"/>
      <c r="CR99" s="1"/>
      <c r="CS99" s="89"/>
      <c r="CT99" s="83"/>
      <c r="CU99" s="1"/>
      <c r="CV99" s="89"/>
      <c r="CW99" s="83"/>
      <c r="CX99" s="1"/>
      <c r="CY99" s="89"/>
    </row>
    <row r="100" spans="1:103" x14ac:dyDescent="0.3">
      <c r="A100" s="41">
        <v>2005</v>
      </c>
      <c r="B100" s="83"/>
      <c r="C100" s="1"/>
      <c r="D100" s="89"/>
      <c r="E100" s="1"/>
      <c r="F100" s="1"/>
      <c r="G100" s="89"/>
      <c r="H100" s="83"/>
      <c r="I100" s="1"/>
      <c r="J100" s="89"/>
      <c r="K100" s="83"/>
      <c r="L100" s="1"/>
      <c r="M100" s="89"/>
      <c r="N100" s="83"/>
      <c r="O100" s="1"/>
      <c r="P100" s="89"/>
      <c r="Q100" s="83"/>
      <c r="R100">
        <v>1289.8289600000001</v>
      </c>
      <c r="S100" s="89"/>
      <c r="T100" s="83"/>
      <c r="U100" s="1"/>
      <c r="V100" s="89"/>
      <c r="W100" s="83"/>
      <c r="X100" s="1"/>
      <c r="Y100" s="89"/>
      <c r="Z100" s="83"/>
      <c r="AA100" s="1"/>
      <c r="AB100" s="89"/>
      <c r="AC100" s="83"/>
      <c r="AD100" s="1"/>
      <c r="AE100" s="89"/>
      <c r="AF100" s="83"/>
      <c r="AG100" s="1"/>
      <c r="AH100" s="89"/>
      <c r="AI100" s="83"/>
      <c r="AJ100" s="1"/>
      <c r="AK100" s="89"/>
      <c r="AL100" s="83"/>
      <c r="AM100" s="1"/>
      <c r="AN100" s="89"/>
      <c r="AO100" s="83"/>
      <c r="AP100" s="1"/>
      <c r="AQ100" s="89"/>
      <c r="AR100" s="83"/>
      <c r="AS100" s="1"/>
      <c r="AT100" s="89"/>
      <c r="AU100" s="83"/>
      <c r="AV100" s="1"/>
      <c r="AW100" s="89"/>
      <c r="AX100" s="83"/>
      <c r="AY100" s="1"/>
      <c r="AZ100" s="89"/>
      <c r="BA100" s="83"/>
      <c r="BB100" s="1"/>
      <c r="BC100" s="89"/>
      <c r="BD100" s="83"/>
      <c r="BE100" s="1"/>
      <c r="BF100" s="89"/>
      <c r="BG100" s="83"/>
      <c r="BH100" s="1"/>
      <c r="BI100" s="89"/>
      <c r="BJ100" s="83"/>
      <c r="BK100" s="1"/>
      <c r="BL100" s="89"/>
      <c r="BM100" s="83"/>
      <c r="BN100" s="1"/>
      <c r="BO100" s="89"/>
      <c r="BP100" s="83"/>
      <c r="BQ100" s="1"/>
      <c r="BR100" s="89"/>
      <c r="BS100" s="83"/>
      <c r="BT100" s="1"/>
      <c r="BU100" s="89"/>
      <c r="BV100" s="83"/>
      <c r="BW100" s="1"/>
      <c r="BX100" s="89"/>
      <c r="BY100" s="83"/>
      <c r="BZ100" s="1"/>
      <c r="CA100" s="89"/>
      <c r="CB100" s="83"/>
      <c r="CC100" s="1"/>
      <c r="CD100" s="89"/>
      <c r="CE100" s="83"/>
      <c r="CF100" s="1"/>
      <c r="CG100" s="89"/>
      <c r="CH100" s="83"/>
      <c r="CI100" s="1"/>
      <c r="CJ100" s="89"/>
      <c r="CK100" s="83"/>
      <c r="CL100" s="1"/>
      <c r="CM100" s="89"/>
      <c r="CN100" s="83"/>
      <c r="CO100" s="1"/>
      <c r="CP100" s="89"/>
      <c r="CQ100" s="83"/>
      <c r="CR100" s="1"/>
      <c r="CS100" s="89"/>
      <c r="CT100" s="83"/>
      <c r="CU100" s="1"/>
      <c r="CV100" s="89"/>
      <c r="CW100" s="83"/>
      <c r="CX100" s="1"/>
      <c r="CY100" s="89"/>
    </row>
    <row r="101" spans="1:103" x14ac:dyDescent="0.3">
      <c r="A101" s="41">
        <v>2006</v>
      </c>
      <c r="B101" s="83"/>
      <c r="C101" s="1"/>
      <c r="D101" s="89"/>
      <c r="E101" s="1"/>
      <c r="F101" s="1"/>
      <c r="G101" s="89"/>
      <c r="H101" s="83"/>
      <c r="I101" s="1"/>
      <c r="J101" s="89"/>
      <c r="K101" s="83"/>
      <c r="L101" s="1"/>
      <c r="M101" s="89"/>
      <c r="N101" s="83"/>
      <c r="O101" s="1"/>
      <c r="P101" s="89"/>
      <c r="Q101" s="83"/>
      <c r="S101" s="89"/>
      <c r="T101" s="83"/>
      <c r="U101" s="1"/>
      <c r="V101" s="89"/>
      <c r="W101" s="83">
        <v>2679.6309000000001</v>
      </c>
      <c r="X101" s="1">
        <v>2852.91095</v>
      </c>
      <c r="Y101" s="89">
        <v>3026.1909999999998</v>
      </c>
      <c r="Z101" s="83"/>
      <c r="AA101" s="1"/>
      <c r="AB101" s="89"/>
      <c r="AC101" s="83"/>
      <c r="AD101" s="1"/>
      <c r="AE101" s="89"/>
      <c r="AF101" s="83"/>
      <c r="AG101" s="1"/>
      <c r="AH101" s="89"/>
      <c r="AI101" s="83"/>
      <c r="AJ101" s="1"/>
      <c r="AK101" s="89"/>
      <c r="AL101" s="83"/>
      <c r="AM101" s="1"/>
      <c r="AN101" s="89"/>
      <c r="AO101" s="83"/>
      <c r="AP101" s="1"/>
      <c r="AQ101" s="89"/>
      <c r="AR101" s="83"/>
      <c r="AS101" s="1"/>
      <c r="AT101" s="89"/>
      <c r="AU101" s="83"/>
      <c r="AV101" s="1"/>
      <c r="AW101" s="89"/>
      <c r="AX101" s="83"/>
      <c r="AY101" s="1"/>
      <c r="AZ101" s="89"/>
      <c r="BA101" s="83"/>
      <c r="BB101" s="1"/>
      <c r="BC101" s="89"/>
      <c r="BD101" s="83"/>
      <c r="BE101" s="1"/>
      <c r="BF101" s="89"/>
      <c r="BG101" s="83"/>
      <c r="BH101" s="1"/>
      <c r="BI101" s="89"/>
      <c r="BJ101" s="83"/>
      <c r="BK101" s="1"/>
      <c r="BL101" s="89"/>
      <c r="BM101" s="83"/>
      <c r="BN101" s="1"/>
      <c r="BO101" s="89"/>
      <c r="BP101" s="83"/>
      <c r="BQ101" s="1"/>
      <c r="BR101" s="89"/>
      <c r="BS101" s="83"/>
      <c r="BT101" s="1"/>
      <c r="BU101" s="89"/>
      <c r="BV101" s="83"/>
      <c r="BW101" s="1"/>
      <c r="BX101" s="89"/>
      <c r="BY101" s="83"/>
      <c r="BZ101" s="1"/>
      <c r="CA101" s="89"/>
      <c r="CB101" s="83"/>
      <c r="CC101" s="1"/>
      <c r="CD101" s="89"/>
      <c r="CE101" s="83"/>
      <c r="CF101" s="1"/>
      <c r="CG101" s="89"/>
      <c r="CH101" s="83"/>
      <c r="CI101" s="1"/>
      <c r="CJ101" s="89"/>
      <c r="CK101" s="83"/>
      <c r="CL101" s="1"/>
      <c r="CM101" s="89"/>
      <c r="CN101" s="83"/>
      <c r="CO101" s="1"/>
      <c r="CP101" s="89"/>
      <c r="CQ101" s="83"/>
      <c r="CR101" s="1"/>
      <c r="CS101" s="89"/>
      <c r="CT101" s="83"/>
      <c r="CU101" s="1"/>
      <c r="CV101" s="89"/>
      <c r="CW101" s="83"/>
      <c r="CX101" s="1"/>
      <c r="CY101" s="89"/>
    </row>
    <row r="102" spans="1:103" x14ac:dyDescent="0.3">
      <c r="A102" s="41">
        <v>2007</v>
      </c>
      <c r="B102" s="83"/>
      <c r="C102" s="1"/>
      <c r="D102" s="89"/>
      <c r="E102" s="1"/>
      <c r="F102" s="1"/>
      <c r="G102" s="89"/>
      <c r="H102" s="83"/>
      <c r="I102" s="1"/>
      <c r="J102" s="89"/>
      <c r="K102" s="83"/>
      <c r="L102" s="1"/>
      <c r="M102" s="89"/>
      <c r="N102" s="83"/>
      <c r="O102" s="1"/>
      <c r="P102" s="89"/>
      <c r="Q102" s="83"/>
      <c r="R102" s="1"/>
      <c r="S102" s="89"/>
      <c r="T102" s="83"/>
      <c r="U102" s="1"/>
      <c r="V102" s="89"/>
      <c r="W102" s="83"/>
      <c r="X102" s="1"/>
      <c r="Y102" s="89"/>
      <c r="Z102" s="83"/>
      <c r="AA102" s="1"/>
      <c r="AB102" s="89"/>
      <c r="AC102" s="83"/>
      <c r="AD102" s="1"/>
      <c r="AE102" s="89"/>
      <c r="AF102" s="83"/>
      <c r="AG102" s="1"/>
      <c r="AH102" s="89"/>
      <c r="AI102" s="83"/>
      <c r="AJ102" s="1"/>
      <c r="AK102" s="89"/>
      <c r="AL102" s="83"/>
      <c r="AM102" s="1"/>
      <c r="AN102" s="89"/>
      <c r="AO102" s="83"/>
      <c r="AP102" s="1"/>
      <c r="AQ102" s="89"/>
      <c r="AR102" s="83"/>
      <c r="AS102" s="1"/>
      <c r="AT102" s="89"/>
      <c r="AU102" s="83"/>
      <c r="AV102" s="1"/>
      <c r="AW102" s="89"/>
      <c r="AX102" s="83"/>
      <c r="AY102" s="1"/>
      <c r="AZ102" s="89"/>
      <c r="BA102" s="83"/>
      <c r="BB102" s="1"/>
      <c r="BC102" s="89"/>
      <c r="BD102" s="83"/>
      <c r="BE102" s="1"/>
      <c r="BF102" s="89"/>
      <c r="BG102" s="83"/>
      <c r="BH102" s="1"/>
      <c r="BI102" s="89"/>
      <c r="BJ102" s="83"/>
      <c r="BK102" s="1"/>
      <c r="BL102" s="89"/>
      <c r="BM102" s="83"/>
      <c r="BN102" s="1"/>
      <c r="BO102" s="89"/>
      <c r="BP102" s="83"/>
      <c r="BQ102" s="1"/>
      <c r="BR102" s="89"/>
      <c r="BS102" s="83"/>
      <c r="BT102" s="1"/>
      <c r="BU102" s="89"/>
      <c r="BV102" s="83"/>
      <c r="BW102" s="1"/>
      <c r="BX102" s="89"/>
      <c r="BY102" s="83"/>
      <c r="BZ102" s="1"/>
      <c r="CA102" s="89"/>
      <c r="CB102" s="83"/>
      <c r="CC102" s="1"/>
      <c r="CD102" s="89"/>
      <c r="CE102" s="83"/>
      <c r="CF102" s="1"/>
      <c r="CG102" s="89"/>
      <c r="CH102" s="83"/>
      <c r="CI102" s="1"/>
      <c r="CJ102" s="89"/>
      <c r="CK102" s="83"/>
      <c r="CL102" s="1"/>
      <c r="CM102" s="89"/>
      <c r="CN102" s="83"/>
      <c r="CO102" s="1"/>
      <c r="CP102" s="89"/>
      <c r="CQ102" s="83"/>
      <c r="CR102" s="1"/>
      <c r="CS102" s="89"/>
      <c r="CT102" s="83"/>
      <c r="CU102" s="1"/>
      <c r="CV102" s="89"/>
      <c r="CW102" s="83"/>
      <c r="CX102" s="1"/>
      <c r="CY102" s="89"/>
    </row>
    <row r="103" spans="1:103" x14ac:dyDescent="0.3">
      <c r="A103" s="41">
        <v>2008</v>
      </c>
      <c r="B103" s="83"/>
      <c r="C103" s="1"/>
      <c r="D103" s="89"/>
      <c r="E103" s="1"/>
      <c r="F103" s="1"/>
      <c r="G103" s="89"/>
      <c r="H103" s="83"/>
      <c r="I103" s="1"/>
      <c r="J103" s="89"/>
      <c r="K103" s="83"/>
      <c r="L103" s="1"/>
      <c r="M103" s="89"/>
      <c r="N103" s="83"/>
      <c r="O103" s="1"/>
      <c r="P103" s="89"/>
      <c r="Q103" s="83"/>
      <c r="R103" s="1"/>
      <c r="S103" s="89"/>
      <c r="T103" s="83"/>
      <c r="U103" s="1"/>
      <c r="V103" s="89"/>
      <c r="W103" s="83"/>
      <c r="X103" s="1"/>
      <c r="Y103" s="89"/>
      <c r="Z103" s="83">
        <v>2584.1999999999998</v>
      </c>
      <c r="AA103" s="1">
        <v>2722.8999999999996</v>
      </c>
      <c r="AB103" s="89">
        <v>2861.6</v>
      </c>
      <c r="AC103" s="83"/>
      <c r="AD103" s="1"/>
      <c r="AE103" s="89"/>
      <c r="AF103" s="83"/>
      <c r="AG103" s="1"/>
      <c r="AH103" s="89"/>
      <c r="AI103" s="83"/>
      <c r="AJ103" s="1"/>
      <c r="AK103" s="89"/>
      <c r="AL103" s="83"/>
      <c r="AM103" s="1"/>
      <c r="AN103" s="89"/>
      <c r="AO103" s="83"/>
      <c r="AP103" s="1"/>
      <c r="AQ103" s="89"/>
      <c r="AR103" s="83"/>
      <c r="AS103" s="1"/>
      <c r="AT103" s="89"/>
      <c r="AU103" s="83"/>
      <c r="AV103" s="1"/>
      <c r="AW103" s="89"/>
      <c r="AX103" s="83"/>
      <c r="AY103" s="1"/>
      <c r="AZ103" s="89"/>
      <c r="BA103" s="83"/>
      <c r="BB103" s="1"/>
      <c r="BC103" s="89"/>
      <c r="BD103" s="83"/>
      <c r="BE103" s="1"/>
      <c r="BF103" s="89"/>
      <c r="BG103" s="83"/>
      <c r="BH103" s="1"/>
      <c r="BI103" s="89"/>
      <c r="BJ103" s="83"/>
      <c r="BK103" s="1"/>
      <c r="BL103" s="89"/>
      <c r="BM103" s="83"/>
      <c r="BN103" s="1"/>
      <c r="BO103" s="89"/>
      <c r="BP103" s="83"/>
      <c r="BQ103" s="1"/>
      <c r="BR103" s="89"/>
      <c r="BS103" s="83"/>
      <c r="BT103" s="1"/>
      <c r="BU103" s="89"/>
      <c r="BV103" s="83"/>
      <c r="BW103" s="1"/>
      <c r="BX103" s="89"/>
      <c r="BY103" s="83"/>
      <c r="BZ103" s="1"/>
      <c r="CA103" s="89"/>
      <c r="CB103" s="83"/>
      <c r="CC103" s="1"/>
      <c r="CD103" s="89"/>
      <c r="CE103" s="83"/>
      <c r="CF103" s="1"/>
      <c r="CG103" s="89"/>
      <c r="CH103" s="83"/>
      <c r="CI103" s="1"/>
      <c r="CJ103" s="89"/>
      <c r="CK103" s="83"/>
      <c r="CL103" s="1"/>
      <c r="CM103" s="89"/>
      <c r="CN103" s="83"/>
      <c r="CO103" s="1"/>
      <c r="CP103" s="89"/>
      <c r="CQ103" s="83"/>
      <c r="CR103" s="1"/>
      <c r="CS103" s="89"/>
      <c r="CT103" s="83"/>
      <c r="CU103" s="1"/>
      <c r="CV103" s="89"/>
      <c r="CW103" s="83"/>
      <c r="CX103" s="1"/>
      <c r="CY103" s="89"/>
    </row>
    <row r="104" spans="1:103" x14ac:dyDescent="0.3">
      <c r="A104" s="41">
        <v>2009</v>
      </c>
      <c r="B104" s="83"/>
      <c r="C104" s="1"/>
      <c r="D104" s="89"/>
      <c r="E104" s="1"/>
      <c r="F104" s="1"/>
      <c r="G104" s="89"/>
      <c r="H104" s="83"/>
      <c r="I104" s="1"/>
      <c r="J104" s="89"/>
      <c r="K104" s="83"/>
      <c r="L104" s="1"/>
      <c r="M104" s="89"/>
      <c r="N104" s="83"/>
      <c r="O104" s="1"/>
      <c r="P104" s="89"/>
      <c r="Q104" s="83"/>
      <c r="R104" s="1"/>
      <c r="S104" s="89"/>
      <c r="T104" s="83"/>
      <c r="U104" s="1"/>
      <c r="V104" s="89"/>
      <c r="W104" s="83"/>
      <c r="X104" s="1"/>
      <c r="Y104" s="89"/>
      <c r="Z104" s="83"/>
      <c r="AA104" s="1"/>
      <c r="AB104" s="89"/>
      <c r="AC104" s="83"/>
      <c r="AD104" s="1"/>
      <c r="AE104" s="89"/>
      <c r="AF104" s="83"/>
      <c r="AG104" s="1"/>
      <c r="AH104" s="89"/>
      <c r="AI104" s="83"/>
      <c r="AJ104" s="1"/>
      <c r="AK104" s="89"/>
      <c r="AL104" s="83"/>
      <c r="AM104" s="1"/>
      <c r="AN104" s="89"/>
      <c r="AO104" s="83"/>
      <c r="AP104" s="1"/>
      <c r="AQ104" s="89"/>
      <c r="AR104" s="83"/>
      <c r="AS104" s="1"/>
      <c r="AT104" s="89"/>
      <c r="AU104" s="83"/>
      <c r="AV104" s="1"/>
      <c r="AW104" s="89"/>
      <c r="AX104" s="83"/>
      <c r="AY104" s="1"/>
      <c r="AZ104" s="89"/>
      <c r="BA104" s="83"/>
      <c r="BB104" s="1"/>
      <c r="BC104" s="89"/>
      <c r="BD104" s="83"/>
      <c r="BE104" s="1"/>
      <c r="BF104" s="89"/>
      <c r="BG104" s="83"/>
      <c r="BH104" s="1"/>
      <c r="BI104" s="89"/>
      <c r="BJ104" s="83"/>
      <c r="BK104" s="1"/>
      <c r="BL104" s="89"/>
      <c r="BM104" s="83"/>
      <c r="BN104" s="1"/>
      <c r="BO104" s="89"/>
      <c r="BP104" s="83"/>
      <c r="BQ104" s="1"/>
      <c r="BR104" s="89"/>
      <c r="BS104" s="83"/>
      <c r="BT104" s="1"/>
      <c r="BU104" s="89"/>
      <c r="BV104" s="83"/>
      <c r="BW104" s="1"/>
      <c r="BX104" s="89"/>
      <c r="BY104" s="83"/>
      <c r="BZ104" s="1"/>
      <c r="CA104" s="89"/>
      <c r="CB104" s="83"/>
      <c r="CC104" s="1"/>
      <c r="CD104" s="89"/>
      <c r="CE104" s="83"/>
      <c r="CF104" s="1"/>
      <c r="CG104" s="89"/>
      <c r="CH104" s="83"/>
      <c r="CI104" s="1"/>
      <c r="CJ104" s="89"/>
      <c r="CK104" s="83"/>
      <c r="CL104" s="1"/>
      <c r="CM104" s="89"/>
      <c r="CN104" s="83"/>
      <c r="CO104" s="1"/>
      <c r="CP104" s="89"/>
      <c r="CQ104" s="83"/>
      <c r="CR104" s="1"/>
      <c r="CS104" s="89"/>
      <c r="CT104" s="83"/>
      <c r="CU104" s="1"/>
      <c r="CV104" s="89"/>
      <c r="CW104" s="83"/>
      <c r="CX104" s="1"/>
      <c r="CY104" s="89"/>
    </row>
    <row r="105" spans="1:103" x14ac:dyDescent="0.3">
      <c r="A105" s="41">
        <v>2010</v>
      </c>
      <c r="B105" s="83"/>
      <c r="C105" s="1"/>
      <c r="D105" s="89"/>
      <c r="E105" s="1"/>
      <c r="F105" s="1"/>
      <c r="G105" s="89"/>
      <c r="H105" s="83"/>
      <c r="I105" s="1"/>
      <c r="J105" s="89"/>
      <c r="K105" s="83"/>
      <c r="L105" s="1"/>
      <c r="M105" s="89"/>
      <c r="N105" s="83"/>
      <c r="O105" s="1"/>
      <c r="P105" s="89"/>
      <c r="Q105" s="83"/>
      <c r="R105" s="1"/>
      <c r="S105" s="89"/>
      <c r="T105" s="83"/>
      <c r="U105" s="1"/>
      <c r="V105" s="89"/>
      <c r="W105" s="83"/>
      <c r="X105" s="1"/>
      <c r="Y105" s="89"/>
      <c r="Z105" s="83"/>
      <c r="AA105" s="1"/>
      <c r="AB105" s="89"/>
      <c r="AC105" s="83"/>
      <c r="AD105" s="1"/>
      <c r="AE105" s="89"/>
      <c r="AF105" s="83"/>
      <c r="AG105" s="1"/>
      <c r="AH105" s="89"/>
      <c r="AI105" s="83"/>
      <c r="AJ105" s="1"/>
      <c r="AK105" s="89"/>
      <c r="AL105" s="83"/>
      <c r="AM105" s="1"/>
      <c r="AN105" s="89"/>
      <c r="AO105" s="83"/>
      <c r="AP105" s="1"/>
      <c r="AQ105" s="89"/>
      <c r="AR105" s="83"/>
      <c r="AS105" s="1"/>
      <c r="AT105" s="89"/>
      <c r="AU105" s="83"/>
      <c r="AV105" s="1"/>
      <c r="AW105" s="89"/>
      <c r="AX105" s="83"/>
      <c r="AY105" s="1"/>
      <c r="AZ105" s="89"/>
      <c r="BA105" s="83"/>
      <c r="BB105" s="1"/>
      <c r="BC105" s="89"/>
      <c r="BD105" s="83"/>
      <c r="BE105" s="1"/>
      <c r="BF105" s="89"/>
      <c r="BG105" s="83"/>
      <c r="BH105" s="1"/>
      <c r="BI105" s="89"/>
      <c r="BJ105" s="83"/>
      <c r="BK105" s="1"/>
      <c r="BL105" s="89"/>
      <c r="BM105" s="83"/>
      <c r="BN105" s="1"/>
      <c r="BO105" s="89"/>
      <c r="BP105" s="83"/>
      <c r="BQ105" s="1"/>
      <c r="BR105" s="89"/>
      <c r="BS105" s="83"/>
      <c r="BT105" s="1"/>
      <c r="BU105" s="89"/>
      <c r="BV105" s="83"/>
      <c r="BW105" s="1"/>
      <c r="BX105" s="89"/>
      <c r="BY105" s="83"/>
      <c r="BZ105" s="1"/>
      <c r="CA105" s="89"/>
      <c r="CB105" s="83"/>
      <c r="CC105" s="1"/>
      <c r="CD105" s="89"/>
      <c r="CE105" s="83"/>
      <c r="CF105" s="1"/>
      <c r="CG105" s="89"/>
      <c r="CH105" s="83"/>
      <c r="CI105" s="1"/>
      <c r="CJ105" s="89"/>
      <c r="CK105" s="83"/>
      <c r="CL105" s="1"/>
      <c r="CM105" s="89"/>
      <c r="CN105" s="83"/>
      <c r="CO105" s="1"/>
      <c r="CP105" s="89"/>
      <c r="CQ105" s="83"/>
      <c r="CR105" s="1"/>
      <c r="CS105" s="89"/>
      <c r="CT105" s="83"/>
      <c r="CU105" s="1"/>
      <c r="CV105" s="89"/>
      <c r="CW105" s="83"/>
      <c r="CX105" s="1"/>
      <c r="CY105" s="89"/>
    </row>
    <row r="106" spans="1:103" x14ac:dyDescent="0.3">
      <c r="A106" s="41">
        <v>2011</v>
      </c>
      <c r="B106" s="83"/>
      <c r="C106" s="1"/>
      <c r="D106" s="89"/>
      <c r="E106" s="1"/>
      <c r="F106" s="1"/>
      <c r="G106" s="89"/>
      <c r="H106" s="83"/>
      <c r="I106" s="1"/>
      <c r="J106" s="89"/>
      <c r="K106" s="83"/>
      <c r="L106" s="1"/>
      <c r="M106" s="89"/>
      <c r="N106" s="83"/>
      <c r="O106" s="1"/>
      <c r="P106" s="89"/>
      <c r="Q106" s="83"/>
      <c r="R106" s="1"/>
      <c r="S106" s="89"/>
      <c r="T106" s="83"/>
      <c r="U106" s="1"/>
      <c r="V106" s="89"/>
      <c r="W106" s="83"/>
      <c r="X106" s="1"/>
      <c r="Y106" s="89"/>
      <c r="Z106" s="83"/>
      <c r="AA106" s="1"/>
      <c r="AB106" s="89"/>
      <c r="AC106" s="83"/>
      <c r="AD106" s="1"/>
      <c r="AE106" s="89"/>
      <c r="AF106" s="83"/>
      <c r="AG106" s="1"/>
      <c r="AH106" s="89"/>
      <c r="AI106" s="83"/>
      <c r="AJ106" s="1"/>
      <c r="AK106" s="89"/>
      <c r="AL106" s="83"/>
      <c r="AM106" s="1"/>
      <c r="AN106" s="89"/>
      <c r="AO106" s="83"/>
      <c r="AP106" s="1"/>
      <c r="AQ106" s="89"/>
      <c r="AR106" s="83"/>
      <c r="AS106" s="1"/>
      <c r="AT106" s="89"/>
      <c r="AU106" s="83"/>
      <c r="AV106" s="1"/>
      <c r="AW106" s="89"/>
      <c r="AX106" s="83"/>
      <c r="AY106" s="1"/>
      <c r="AZ106" s="89"/>
      <c r="BA106" s="83"/>
      <c r="BB106" s="1"/>
      <c r="BC106" s="89"/>
      <c r="BD106" s="83"/>
      <c r="BE106" s="1"/>
      <c r="BF106" s="89"/>
      <c r="BG106" s="83"/>
      <c r="BH106" s="1"/>
      <c r="BI106" s="89"/>
      <c r="BJ106" s="83"/>
      <c r="BK106" s="1"/>
      <c r="BL106" s="89"/>
      <c r="BM106" s="83"/>
      <c r="BN106" s="1"/>
      <c r="BO106" s="89"/>
      <c r="BP106" s="83"/>
      <c r="BQ106" s="1"/>
      <c r="BR106" s="89"/>
      <c r="BS106" s="83"/>
      <c r="BT106" s="1"/>
      <c r="BU106" s="89"/>
      <c r="BV106" s="83"/>
      <c r="BW106" s="1"/>
      <c r="BX106" s="89"/>
      <c r="BY106" s="83"/>
      <c r="BZ106" s="1"/>
      <c r="CA106" s="89"/>
      <c r="CB106" s="83"/>
      <c r="CC106" s="1"/>
      <c r="CD106" s="89"/>
      <c r="CE106" s="83"/>
      <c r="CF106" s="1"/>
      <c r="CG106" s="89"/>
      <c r="CH106" s="83"/>
      <c r="CI106" s="1"/>
      <c r="CJ106" s="89"/>
      <c r="CK106" s="83"/>
      <c r="CL106" s="1"/>
      <c r="CM106" s="89"/>
      <c r="CN106" s="83"/>
      <c r="CO106" s="1"/>
      <c r="CP106" s="89"/>
      <c r="CQ106" s="83"/>
      <c r="CR106" s="1"/>
      <c r="CS106" s="89"/>
      <c r="CT106" s="83"/>
      <c r="CU106" s="1"/>
      <c r="CV106" s="89"/>
      <c r="CW106" s="83"/>
      <c r="CX106" s="1"/>
      <c r="CY106" s="89"/>
    </row>
    <row r="107" spans="1:103" x14ac:dyDescent="0.3">
      <c r="A107" s="41">
        <v>2012</v>
      </c>
      <c r="B107" s="83"/>
      <c r="C107" s="1"/>
      <c r="D107" s="89"/>
      <c r="E107" s="1"/>
      <c r="F107" s="1"/>
      <c r="G107" s="89"/>
      <c r="H107" s="83"/>
      <c r="I107" s="1"/>
      <c r="J107" s="89"/>
      <c r="K107" s="83"/>
      <c r="L107" s="1"/>
      <c r="M107" s="89"/>
      <c r="N107" s="83"/>
      <c r="O107" s="1"/>
      <c r="P107" s="89"/>
      <c r="Q107" s="83"/>
      <c r="R107" s="1"/>
      <c r="S107" s="89"/>
      <c r="T107" s="83"/>
      <c r="U107" s="1"/>
      <c r="V107" s="89"/>
      <c r="W107" s="83"/>
      <c r="X107" s="1"/>
      <c r="Y107" s="89"/>
      <c r="Z107" s="83"/>
      <c r="AA107" s="1"/>
      <c r="AB107" s="89"/>
      <c r="AC107" s="83"/>
      <c r="AD107" s="1"/>
      <c r="AE107" s="89"/>
      <c r="AF107" s="83"/>
      <c r="AG107" s="1"/>
      <c r="AH107" s="89"/>
      <c r="AI107" s="83"/>
      <c r="AJ107" s="1"/>
      <c r="AK107" s="89"/>
      <c r="AL107" s="83">
        <v>2329</v>
      </c>
      <c r="AM107" s="1">
        <v>2329</v>
      </c>
      <c r="AN107" s="89">
        <v>2329</v>
      </c>
      <c r="AO107" s="83"/>
      <c r="AP107" s="1"/>
      <c r="AQ107" s="89"/>
      <c r="AR107" s="83"/>
      <c r="AS107" s="1"/>
      <c r="AT107" s="89"/>
      <c r="AU107" s="83"/>
      <c r="AV107" s="1"/>
      <c r="AW107" s="89"/>
      <c r="AX107" s="83"/>
      <c r="AY107" s="1"/>
      <c r="AZ107" s="89"/>
      <c r="BA107" s="83"/>
      <c r="BB107" s="1"/>
      <c r="BC107" s="89"/>
      <c r="BD107" s="83"/>
      <c r="BE107" s="1"/>
      <c r="BF107" s="89"/>
      <c r="BG107" s="83"/>
      <c r="BH107" s="1"/>
      <c r="BI107" s="89"/>
      <c r="BJ107" s="83"/>
      <c r="BK107" s="1"/>
      <c r="BL107" s="89"/>
      <c r="BM107" s="83"/>
      <c r="BN107" s="1"/>
      <c r="BO107" s="89"/>
      <c r="BP107" s="83"/>
      <c r="BQ107" s="1"/>
      <c r="BR107" s="89"/>
      <c r="BS107" s="83"/>
      <c r="BT107" s="1"/>
      <c r="BU107" s="89"/>
      <c r="BV107" s="83"/>
      <c r="BW107" s="1"/>
      <c r="BX107" s="89"/>
      <c r="BY107" s="83"/>
      <c r="BZ107" s="1"/>
      <c r="CA107" s="89"/>
      <c r="CB107" s="83"/>
      <c r="CC107" s="1"/>
      <c r="CD107" s="89"/>
      <c r="CE107" s="83"/>
      <c r="CF107" s="1"/>
      <c r="CG107" s="89"/>
      <c r="CH107" s="83"/>
      <c r="CI107" s="1"/>
      <c r="CJ107" s="89"/>
      <c r="CK107" s="83"/>
      <c r="CL107" s="1"/>
      <c r="CM107" s="89"/>
      <c r="CN107" s="83"/>
      <c r="CO107" s="1"/>
      <c r="CP107" s="89"/>
      <c r="CQ107" s="83"/>
      <c r="CR107" s="1"/>
      <c r="CS107" s="89"/>
      <c r="CT107" s="83"/>
      <c r="CU107" s="1"/>
      <c r="CV107" s="89"/>
      <c r="CW107" s="83"/>
      <c r="CX107" s="1"/>
      <c r="CY107" s="89"/>
    </row>
    <row r="108" spans="1:103" x14ac:dyDescent="0.3">
      <c r="A108" s="41">
        <v>2013</v>
      </c>
      <c r="B108" s="83"/>
      <c r="C108" s="1"/>
      <c r="D108" s="89"/>
      <c r="E108" s="1"/>
      <c r="F108" s="1"/>
      <c r="G108" s="89"/>
      <c r="H108" s="83"/>
      <c r="I108" s="1"/>
      <c r="J108" s="89"/>
      <c r="K108" s="83"/>
      <c r="L108" s="1"/>
      <c r="M108" s="89"/>
      <c r="N108" s="83"/>
      <c r="O108" s="1"/>
      <c r="P108" s="89"/>
      <c r="Q108" s="83"/>
      <c r="R108" s="1"/>
      <c r="S108" s="89"/>
      <c r="T108" s="83"/>
      <c r="U108" s="1"/>
      <c r="V108" s="89"/>
      <c r="W108" s="83"/>
      <c r="X108" s="1"/>
      <c r="Y108" s="89"/>
      <c r="Z108" s="83"/>
      <c r="AA108" s="1"/>
      <c r="AB108" s="89"/>
      <c r="AC108" s="83"/>
      <c r="AD108" s="1"/>
      <c r="AE108" s="89"/>
      <c r="AF108" s="83"/>
      <c r="AG108" s="1"/>
      <c r="AH108" s="89"/>
      <c r="AI108" s="83"/>
      <c r="AJ108" s="1"/>
      <c r="AK108" s="89"/>
      <c r="AL108" s="83"/>
      <c r="AM108" s="1"/>
      <c r="AN108" s="89"/>
      <c r="AO108" s="83"/>
      <c r="AP108" s="1"/>
      <c r="AQ108" s="89"/>
      <c r="AR108" s="83"/>
      <c r="AS108" s="1"/>
      <c r="AT108" s="89"/>
      <c r="AU108" s="83"/>
      <c r="AV108" s="1"/>
      <c r="AW108" s="89"/>
      <c r="AX108" s="83"/>
      <c r="AY108" s="1"/>
      <c r="AZ108" s="89"/>
      <c r="BA108" s="83"/>
      <c r="BB108" s="1"/>
      <c r="BC108" s="89"/>
      <c r="BD108" s="83"/>
      <c r="BE108" s="1"/>
      <c r="BF108" s="89"/>
      <c r="BG108" s="83"/>
      <c r="BH108" s="1"/>
      <c r="BI108" s="89"/>
      <c r="BJ108" s="83"/>
      <c r="BK108" s="1"/>
      <c r="BL108" s="89"/>
      <c r="BM108" s="83"/>
      <c r="BN108" s="1"/>
      <c r="BO108" s="89"/>
      <c r="BP108" s="83"/>
      <c r="BQ108" s="1"/>
      <c r="BR108" s="89"/>
      <c r="BS108" s="83"/>
      <c r="BT108" s="1"/>
      <c r="BU108" s="89"/>
      <c r="BV108" s="83"/>
      <c r="BW108" s="1"/>
      <c r="BX108" s="89"/>
      <c r="BY108" s="83"/>
      <c r="BZ108" s="1"/>
      <c r="CA108" s="89"/>
      <c r="CB108" s="83"/>
      <c r="CC108" s="1"/>
      <c r="CD108" s="89"/>
      <c r="CE108" s="83"/>
      <c r="CF108" s="1"/>
      <c r="CG108" s="89"/>
      <c r="CH108" s="83"/>
      <c r="CI108" s="1"/>
      <c r="CJ108" s="89"/>
      <c r="CK108" s="83"/>
      <c r="CL108" s="1"/>
      <c r="CM108" s="89"/>
      <c r="CN108" s="83"/>
      <c r="CO108" s="1"/>
      <c r="CP108" s="89"/>
      <c r="CQ108" s="83"/>
      <c r="CR108" s="1"/>
      <c r="CS108" s="89"/>
      <c r="CT108" s="83"/>
      <c r="CU108" s="1"/>
      <c r="CV108" s="89"/>
      <c r="CW108" s="83"/>
      <c r="CX108" s="1"/>
      <c r="CY108" s="89"/>
    </row>
    <row r="109" spans="1:103" x14ac:dyDescent="0.3">
      <c r="A109" s="41">
        <v>2014</v>
      </c>
      <c r="B109" s="83"/>
      <c r="C109" s="1"/>
      <c r="D109" s="89"/>
      <c r="E109" s="1"/>
      <c r="F109" s="1"/>
      <c r="G109" s="89"/>
      <c r="H109" s="83"/>
      <c r="I109" s="1"/>
      <c r="J109" s="89"/>
      <c r="K109" s="83"/>
      <c r="L109" s="1"/>
      <c r="M109" s="89"/>
      <c r="N109" s="83"/>
      <c r="O109" s="1"/>
      <c r="P109" s="89"/>
      <c r="Q109" s="83"/>
      <c r="R109" s="1"/>
      <c r="S109" s="89"/>
      <c r="T109" s="83"/>
      <c r="U109" s="1"/>
      <c r="V109" s="89"/>
      <c r="W109" s="83"/>
      <c r="X109" s="1"/>
      <c r="Y109" s="89"/>
      <c r="Z109" s="83"/>
      <c r="AA109" s="1"/>
      <c r="AB109" s="89"/>
      <c r="AC109" s="83"/>
      <c r="AD109" s="1"/>
      <c r="AE109" s="89"/>
      <c r="AF109" s="83"/>
      <c r="AG109" s="1"/>
      <c r="AH109" s="89"/>
      <c r="AI109" s="83"/>
      <c r="AJ109" s="1"/>
      <c r="AK109" s="89"/>
      <c r="AL109" s="83"/>
      <c r="AM109" s="1"/>
      <c r="AN109" s="89"/>
      <c r="AO109" s="83"/>
      <c r="AP109" s="1"/>
      <c r="AQ109" s="89"/>
      <c r="AR109" s="83"/>
      <c r="AS109" s="1"/>
      <c r="AT109" s="89"/>
      <c r="AU109" s="83"/>
      <c r="AV109" s="1"/>
      <c r="AW109" s="89"/>
      <c r="AX109" s="83"/>
      <c r="AY109" s="1"/>
      <c r="AZ109" s="89"/>
      <c r="BA109" s="83"/>
      <c r="BB109" s="1"/>
      <c r="BC109" s="89"/>
      <c r="BD109" s="83"/>
      <c r="BE109" s="1"/>
      <c r="BF109" s="89"/>
      <c r="BG109" s="83"/>
      <c r="BH109" s="1"/>
      <c r="BI109" s="89"/>
      <c r="BJ109" s="83"/>
      <c r="BK109" s="1"/>
      <c r="BL109" s="89"/>
      <c r="BM109" s="83"/>
      <c r="BN109" s="1"/>
      <c r="BO109" s="89"/>
      <c r="BP109" s="83"/>
      <c r="BQ109" s="1"/>
      <c r="BR109" s="89"/>
      <c r="BS109" s="83"/>
      <c r="BT109" s="1"/>
      <c r="BU109" s="89"/>
      <c r="BV109" s="83"/>
      <c r="BW109" s="1"/>
      <c r="BX109" s="89"/>
      <c r="BY109" s="83"/>
      <c r="BZ109" s="1"/>
      <c r="CA109" s="89"/>
      <c r="CB109" s="83"/>
      <c r="CC109" s="1"/>
      <c r="CD109" s="89"/>
      <c r="CE109" s="83"/>
      <c r="CF109" s="1"/>
      <c r="CG109" s="89"/>
      <c r="CH109" s="83"/>
      <c r="CI109" s="1"/>
      <c r="CJ109" s="89"/>
      <c r="CK109" s="83"/>
      <c r="CL109" s="1"/>
      <c r="CM109" s="89"/>
      <c r="CN109" s="83"/>
      <c r="CO109" s="1"/>
      <c r="CP109" s="89"/>
      <c r="CQ109" s="83"/>
      <c r="CR109" s="1"/>
      <c r="CS109" s="89"/>
      <c r="CT109" s="83"/>
      <c r="CU109" s="1"/>
      <c r="CV109" s="89"/>
      <c r="CW109" s="83"/>
      <c r="CX109" s="1"/>
      <c r="CY109" s="89"/>
    </row>
    <row r="110" spans="1:103" x14ac:dyDescent="0.3">
      <c r="A110" s="41">
        <v>2015</v>
      </c>
      <c r="B110" s="83"/>
      <c r="C110" s="1"/>
      <c r="D110" s="89"/>
      <c r="E110" s="1"/>
      <c r="F110" s="1"/>
      <c r="G110" s="89"/>
      <c r="H110" s="83"/>
      <c r="I110" s="1"/>
      <c r="J110" s="89"/>
      <c r="K110" s="83"/>
      <c r="L110" s="1"/>
      <c r="M110" s="89"/>
      <c r="N110" s="83"/>
      <c r="O110" s="1"/>
      <c r="P110" s="89"/>
      <c r="Q110" s="83"/>
      <c r="R110" s="1"/>
      <c r="S110" s="89"/>
      <c r="T110" s="83"/>
      <c r="U110" s="1"/>
      <c r="V110" s="89"/>
      <c r="W110" s="83">
        <v>2506.3584000000001</v>
      </c>
      <c r="X110" s="1">
        <v>2636.31655</v>
      </c>
      <c r="Y110" s="89">
        <v>2766.2746999999999</v>
      </c>
      <c r="Z110" s="83"/>
      <c r="AA110" s="1"/>
      <c r="AB110" s="89"/>
      <c r="AC110" s="83"/>
      <c r="AD110" s="1"/>
      <c r="AE110" s="89"/>
      <c r="AF110" s="83"/>
      <c r="AG110" s="1"/>
      <c r="AH110" s="89"/>
      <c r="AI110" s="83"/>
      <c r="AJ110" s="1"/>
      <c r="AK110" s="89"/>
      <c r="AL110" s="83"/>
      <c r="AM110" s="1"/>
      <c r="AN110" s="89"/>
      <c r="AO110" s="83"/>
      <c r="AP110" s="1"/>
      <c r="AQ110" s="89"/>
      <c r="AR110" s="83"/>
      <c r="AS110" s="1"/>
      <c r="AT110" s="89"/>
      <c r="AU110" s="83">
        <v>1980</v>
      </c>
      <c r="AV110" s="1">
        <v>1980</v>
      </c>
      <c r="AW110" s="89">
        <v>1980</v>
      </c>
      <c r="AX110" s="83"/>
      <c r="AY110" s="1"/>
      <c r="AZ110" s="89"/>
      <c r="BA110" s="83"/>
      <c r="BB110" s="1"/>
      <c r="BC110" s="89"/>
      <c r="BD110" s="83"/>
      <c r="BE110" s="1"/>
      <c r="BF110" s="89"/>
      <c r="BG110" s="83"/>
      <c r="BH110" s="1"/>
      <c r="BI110" s="89"/>
      <c r="BJ110" s="83"/>
      <c r="BK110" s="1"/>
      <c r="BL110" s="89"/>
      <c r="BM110" s="83"/>
      <c r="BN110" s="1"/>
      <c r="BO110" s="89"/>
      <c r="BP110" s="83"/>
      <c r="BQ110" s="1"/>
      <c r="BR110" s="89"/>
      <c r="BS110" s="83"/>
      <c r="BT110" s="1"/>
      <c r="BU110" s="89"/>
      <c r="BV110" s="83"/>
      <c r="BW110" s="1"/>
      <c r="BX110" s="89"/>
      <c r="BY110" s="83"/>
      <c r="BZ110" s="1"/>
      <c r="CA110" s="89"/>
      <c r="CB110" s="83"/>
      <c r="CC110" s="1"/>
      <c r="CD110" s="89"/>
      <c r="CE110" s="83"/>
      <c r="CF110" s="1"/>
      <c r="CG110" s="89"/>
      <c r="CH110" s="83"/>
      <c r="CI110" s="1"/>
      <c r="CJ110" s="89"/>
      <c r="CK110" s="83"/>
      <c r="CL110" s="1"/>
      <c r="CM110" s="89"/>
      <c r="CN110" s="83"/>
      <c r="CO110" s="1"/>
      <c r="CP110" s="89"/>
      <c r="CQ110" s="83"/>
      <c r="CR110" s="1"/>
      <c r="CS110" s="89"/>
      <c r="CT110" s="83"/>
      <c r="CU110" s="1"/>
      <c r="CV110" s="89"/>
      <c r="CW110" s="83"/>
      <c r="CX110" s="1"/>
      <c r="CY110" s="89"/>
    </row>
    <row r="111" spans="1:103" x14ac:dyDescent="0.3">
      <c r="A111" s="41">
        <v>2016</v>
      </c>
      <c r="B111" s="83"/>
      <c r="C111" s="1"/>
      <c r="D111" s="89"/>
      <c r="E111" s="1"/>
      <c r="F111" s="1"/>
      <c r="G111" s="89"/>
      <c r="H111" s="83"/>
      <c r="I111" s="1"/>
      <c r="J111" s="89"/>
      <c r="K111" s="83"/>
      <c r="L111" s="1"/>
      <c r="M111" s="89"/>
      <c r="N111" s="83"/>
      <c r="O111" s="1"/>
      <c r="P111" s="89"/>
      <c r="Q111" s="83"/>
      <c r="R111" s="1"/>
      <c r="S111" s="89"/>
      <c r="T111" s="83"/>
      <c r="U111" s="1"/>
      <c r="V111" s="89"/>
      <c r="W111" s="83"/>
      <c r="X111" s="1"/>
      <c r="Y111" s="89"/>
      <c r="Z111" s="83"/>
      <c r="AA111" s="1"/>
      <c r="AB111" s="89"/>
      <c r="AC111" s="83"/>
      <c r="AD111" s="1"/>
      <c r="AE111" s="89"/>
      <c r="AF111" s="83"/>
      <c r="AG111" s="1"/>
      <c r="AH111" s="89"/>
      <c r="AI111" s="83"/>
      <c r="AJ111" s="1"/>
      <c r="AK111" s="89"/>
      <c r="AL111" s="83"/>
      <c r="AM111" s="1"/>
      <c r="AN111" s="89"/>
      <c r="AO111" s="83"/>
      <c r="AP111" s="1"/>
      <c r="AQ111" s="89"/>
      <c r="AR111" s="83"/>
      <c r="AS111" s="1"/>
      <c r="AT111" s="89"/>
      <c r="AU111" s="83"/>
      <c r="AV111" s="1"/>
      <c r="AW111" s="89"/>
      <c r="AX111" s="83"/>
      <c r="AY111" s="1">
        <v>2934.7447368421044</v>
      </c>
      <c r="AZ111" s="89"/>
      <c r="BA111" s="83"/>
      <c r="BB111" s="1"/>
      <c r="BC111" s="89"/>
      <c r="BD111" s="83"/>
      <c r="BE111" s="1"/>
      <c r="BF111" s="89"/>
      <c r="BG111" s="83"/>
      <c r="BH111" s="1"/>
      <c r="BI111" s="89"/>
      <c r="BJ111" s="83"/>
      <c r="BK111" s="1"/>
      <c r="BL111" s="89"/>
      <c r="BM111" s="83"/>
      <c r="BN111" s="1"/>
      <c r="BO111" s="89"/>
      <c r="BP111" s="83"/>
      <c r="BQ111" s="1"/>
      <c r="BR111" s="89"/>
      <c r="BS111" s="83"/>
      <c r="BT111" s="1"/>
      <c r="BU111" s="89"/>
      <c r="BV111" s="83"/>
      <c r="BW111" s="1"/>
      <c r="BX111" s="89"/>
      <c r="BY111" s="83"/>
      <c r="BZ111" s="1"/>
      <c r="CA111" s="89"/>
      <c r="CB111" s="83"/>
      <c r="CC111" s="1"/>
      <c r="CD111" s="89"/>
      <c r="CE111" s="83"/>
      <c r="CF111" s="1"/>
      <c r="CG111" s="89"/>
      <c r="CH111" s="83"/>
      <c r="CI111" s="1"/>
      <c r="CJ111" s="89"/>
      <c r="CK111" s="83"/>
      <c r="CL111" s="1"/>
      <c r="CM111" s="89"/>
      <c r="CN111" s="83"/>
      <c r="CO111" s="1"/>
      <c r="CP111" s="89"/>
      <c r="CQ111" s="83"/>
      <c r="CR111" s="1"/>
      <c r="CS111" s="89"/>
      <c r="CT111" s="83"/>
      <c r="CU111" s="1"/>
      <c r="CV111" s="89"/>
      <c r="CW111" s="83"/>
      <c r="CX111" s="1"/>
      <c r="CY111" s="89"/>
    </row>
    <row r="112" spans="1:103" x14ac:dyDescent="0.3">
      <c r="A112" s="41">
        <v>2017</v>
      </c>
      <c r="B112" s="83"/>
      <c r="C112" s="1"/>
      <c r="D112" s="89"/>
      <c r="E112" s="1"/>
      <c r="F112" s="1"/>
      <c r="G112" s="89"/>
      <c r="H112" s="83"/>
      <c r="I112" s="1"/>
      <c r="J112" s="89"/>
      <c r="K112" s="83"/>
      <c r="L112" s="1"/>
      <c r="M112" s="89"/>
      <c r="N112" s="83"/>
      <c r="O112" s="1"/>
      <c r="P112" s="89"/>
      <c r="Q112" s="83"/>
      <c r="R112" s="1"/>
      <c r="S112" s="89"/>
      <c r="T112" s="83"/>
      <c r="U112" s="1"/>
      <c r="V112" s="89"/>
      <c r="W112" s="83"/>
      <c r="X112" s="1"/>
      <c r="Y112" s="89"/>
      <c r="Z112" s="83"/>
      <c r="AA112" s="1"/>
      <c r="AB112" s="89"/>
      <c r="AC112" s="83"/>
      <c r="AD112" s="1"/>
      <c r="AE112" s="89"/>
      <c r="AF112" s="83"/>
      <c r="AG112" s="1"/>
      <c r="AH112" s="89"/>
      <c r="AI112" s="83"/>
      <c r="AJ112" s="1"/>
      <c r="AK112" s="89"/>
      <c r="AL112" s="83"/>
      <c r="AM112" s="1"/>
      <c r="AN112" s="89"/>
      <c r="AO112" s="83"/>
      <c r="AP112" s="1"/>
      <c r="AQ112" s="89"/>
      <c r="AR112" s="83"/>
      <c r="AS112" s="1"/>
      <c r="AT112" s="89"/>
      <c r="AU112" s="83"/>
      <c r="AV112" s="1"/>
      <c r="AW112" s="89"/>
      <c r="AX112" s="83"/>
      <c r="AZ112" s="89"/>
      <c r="BA112" s="83">
        <v>1393.2</v>
      </c>
      <c r="BB112" s="1">
        <v>1844.7</v>
      </c>
      <c r="BC112" s="89">
        <v>2347.8000000000002</v>
      </c>
      <c r="BD112" s="83"/>
      <c r="BE112" s="1"/>
      <c r="BF112" s="89"/>
      <c r="BG112" s="83"/>
      <c r="BH112" s="1"/>
      <c r="BI112" s="89"/>
      <c r="BJ112" s="83"/>
      <c r="BK112" s="1"/>
      <c r="BL112" s="89"/>
      <c r="BM112" s="83"/>
      <c r="BN112" s="1"/>
      <c r="BO112" s="89"/>
      <c r="BP112" s="83"/>
      <c r="BQ112" s="1"/>
      <c r="BR112" s="89"/>
      <c r="BS112" s="83"/>
      <c r="BT112" s="1"/>
      <c r="BU112" s="89"/>
      <c r="BV112" s="83"/>
      <c r="BW112" s="1"/>
      <c r="BX112" s="89"/>
      <c r="BY112" s="83"/>
      <c r="BZ112" s="1"/>
      <c r="CA112" s="89"/>
      <c r="CB112" s="83"/>
      <c r="CC112" s="1"/>
      <c r="CD112" s="89"/>
      <c r="CE112" s="83"/>
      <c r="CF112" s="1"/>
      <c r="CG112" s="89"/>
      <c r="CH112" s="83"/>
      <c r="CI112" s="1"/>
      <c r="CJ112" s="89"/>
      <c r="CK112" s="83"/>
      <c r="CL112" s="1"/>
      <c r="CM112" s="89"/>
      <c r="CN112" s="83"/>
      <c r="CO112" s="1"/>
      <c r="CP112" s="89"/>
      <c r="CQ112" s="83"/>
      <c r="CR112" s="1"/>
      <c r="CS112" s="89"/>
      <c r="CT112" s="83"/>
      <c r="CU112" s="1"/>
      <c r="CV112" s="89"/>
      <c r="CW112" s="83"/>
      <c r="CX112" s="1"/>
      <c r="CY112" s="89"/>
    </row>
    <row r="113" spans="1:103" x14ac:dyDescent="0.3">
      <c r="A113" s="41">
        <v>2018</v>
      </c>
      <c r="B113" s="83"/>
      <c r="C113" s="1"/>
      <c r="D113" s="89"/>
      <c r="E113" s="1"/>
      <c r="F113" s="1"/>
      <c r="G113" s="89"/>
      <c r="H113" s="83"/>
      <c r="I113" s="1"/>
      <c r="J113" s="89"/>
      <c r="K113" s="83"/>
      <c r="L113" s="1"/>
      <c r="M113" s="89"/>
      <c r="N113" s="83"/>
      <c r="O113" s="1"/>
      <c r="P113" s="89"/>
      <c r="Q113" s="83"/>
      <c r="R113" s="1"/>
      <c r="S113" s="89"/>
      <c r="T113" s="83"/>
      <c r="U113" s="1"/>
      <c r="V113" s="89"/>
      <c r="W113" s="83"/>
      <c r="X113" s="1"/>
      <c r="Y113" s="89"/>
      <c r="Z113" s="83"/>
      <c r="AA113" s="1"/>
      <c r="AB113" s="89"/>
      <c r="AC113" s="83"/>
      <c r="AD113" s="1"/>
      <c r="AE113" s="89"/>
      <c r="AF113" s="83"/>
      <c r="AG113" s="1"/>
      <c r="AH113" s="89"/>
      <c r="AI113" s="83"/>
      <c r="AJ113" s="1"/>
      <c r="AK113" s="89"/>
      <c r="AL113" s="83"/>
      <c r="AM113" s="1"/>
      <c r="AN113" s="89"/>
      <c r="AO113" s="83"/>
      <c r="AP113" s="1"/>
      <c r="AQ113" s="89"/>
      <c r="AR113" s="83"/>
      <c r="AS113" s="1"/>
      <c r="AT113" s="89"/>
      <c r="AU113" s="83"/>
      <c r="AV113" s="1"/>
      <c r="AW113" s="89"/>
      <c r="AX113" s="83"/>
      <c r="AZ113" s="89"/>
      <c r="BA113" s="83"/>
      <c r="BB113" s="1"/>
      <c r="BC113" s="89"/>
      <c r="BD113" s="83">
        <v>1486.8</v>
      </c>
      <c r="BE113" s="1">
        <v>1886.85</v>
      </c>
      <c r="BF113" s="89">
        <v>2457</v>
      </c>
      <c r="BG113" s="83"/>
      <c r="BH113" s="1"/>
      <c r="BI113" s="89"/>
      <c r="BJ113" s="83"/>
      <c r="BK113" s="1"/>
      <c r="BL113" s="89"/>
      <c r="BM113" s="83"/>
      <c r="BN113" s="1"/>
      <c r="BO113" s="89"/>
      <c r="BP113" s="83"/>
      <c r="BQ113" s="1"/>
      <c r="BR113" s="89"/>
      <c r="BS113" s="83"/>
      <c r="BT113" s="1"/>
      <c r="BU113" s="89"/>
      <c r="BV113" s="83"/>
      <c r="BW113" s="1"/>
      <c r="BX113" s="89"/>
      <c r="BY113" s="83"/>
      <c r="BZ113" s="1"/>
      <c r="CA113" s="89"/>
      <c r="CB113" s="83"/>
      <c r="CC113" s="1"/>
      <c r="CD113" s="89"/>
      <c r="CE113" s="83"/>
      <c r="CF113" s="1"/>
      <c r="CG113" s="89"/>
      <c r="CH113" s="83"/>
      <c r="CI113" s="1"/>
      <c r="CJ113" s="89"/>
      <c r="CK113" s="83"/>
      <c r="CL113" s="1"/>
      <c r="CM113" s="89"/>
      <c r="CN113" s="83"/>
      <c r="CO113" s="1"/>
      <c r="CP113" s="89"/>
      <c r="CQ113" s="83"/>
      <c r="CR113" s="1"/>
      <c r="CS113" s="89"/>
      <c r="CT113" s="83"/>
      <c r="CU113" s="1"/>
      <c r="CV113" s="89"/>
      <c r="CW113" s="83"/>
      <c r="CX113" s="1"/>
      <c r="CY113" s="89"/>
    </row>
    <row r="114" spans="1:103" x14ac:dyDescent="0.3">
      <c r="A114" s="41">
        <v>2019</v>
      </c>
      <c r="B114" s="83"/>
      <c r="C114" s="1"/>
      <c r="D114" s="89"/>
      <c r="E114" s="1"/>
      <c r="F114" s="1"/>
      <c r="G114" s="89"/>
      <c r="H114" s="83"/>
      <c r="I114" s="1"/>
      <c r="J114" s="89"/>
      <c r="K114" s="83"/>
      <c r="L114" s="1"/>
      <c r="M114" s="89"/>
      <c r="N114" s="83"/>
      <c r="O114" s="1"/>
      <c r="P114" s="89"/>
      <c r="Q114" s="83"/>
      <c r="R114" s="1"/>
      <c r="S114" s="89"/>
      <c r="T114" s="83"/>
      <c r="U114" s="1"/>
      <c r="V114" s="89"/>
      <c r="W114" s="83"/>
      <c r="X114" s="1"/>
      <c r="Y114" s="89"/>
      <c r="Z114" s="83"/>
      <c r="AA114" s="1"/>
      <c r="AB114" s="89"/>
      <c r="AC114" s="83"/>
      <c r="AD114" s="1"/>
      <c r="AE114" s="89"/>
      <c r="AF114" s="83"/>
      <c r="AG114" s="1"/>
      <c r="AH114" s="89"/>
      <c r="AI114" s="83"/>
      <c r="AJ114" s="1"/>
      <c r="AK114" s="89"/>
      <c r="AL114" s="83"/>
      <c r="AM114" s="1"/>
      <c r="AN114" s="89"/>
      <c r="AO114" s="83"/>
      <c r="AP114" s="1"/>
      <c r="AQ114" s="89"/>
      <c r="AR114" s="83"/>
      <c r="AS114" s="1"/>
      <c r="AT114" s="89"/>
      <c r="AU114" s="83"/>
      <c r="AV114" s="1"/>
      <c r="AW114" s="89"/>
      <c r="AX114" s="83"/>
      <c r="AZ114" s="89"/>
      <c r="BA114" s="83"/>
      <c r="BB114" s="1"/>
      <c r="BC114" s="89"/>
      <c r="BD114" s="83"/>
      <c r="BE114" s="1"/>
      <c r="BF114" s="89"/>
      <c r="BG114" s="83">
        <v>1303.8</v>
      </c>
      <c r="BH114" s="1">
        <v>1611.3</v>
      </c>
      <c r="BI114" s="89">
        <v>1918.8</v>
      </c>
      <c r="BJ114" s="83">
        <v>1303.8</v>
      </c>
      <c r="BK114" s="1">
        <v>1611.3</v>
      </c>
      <c r="BL114" s="89">
        <v>1918.8</v>
      </c>
      <c r="BM114" s="83"/>
      <c r="BN114" s="1"/>
      <c r="BO114" s="89"/>
      <c r="BP114" s="83"/>
      <c r="BQ114" s="1"/>
      <c r="BR114" s="89"/>
      <c r="BS114" s="83"/>
      <c r="BT114" s="1"/>
      <c r="BU114" s="89"/>
      <c r="BV114" s="83"/>
      <c r="BW114" s="1"/>
      <c r="BX114" s="89"/>
      <c r="BY114" s="83"/>
      <c r="BZ114" s="1"/>
      <c r="CA114" s="89"/>
      <c r="CB114" s="83"/>
      <c r="CC114" s="1"/>
      <c r="CD114" s="89"/>
      <c r="CE114" s="83"/>
      <c r="CF114" s="1"/>
      <c r="CG114" s="89"/>
      <c r="CH114" s="83"/>
      <c r="CI114" s="1"/>
      <c r="CJ114" s="89"/>
      <c r="CK114" s="83"/>
      <c r="CL114" s="1"/>
      <c r="CM114" s="89"/>
      <c r="CN114" s="83"/>
      <c r="CO114" s="1"/>
      <c r="CP114" s="89"/>
      <c r="CQ114" s="83"/>
      <c r="CR114" s="1"/>
      <c r="CS114" s="89"/>
      <c r="CT114" s="83"/>
      <c r="CU114" s="1"/>
      <c r="CV114" s="89"/>
      <c r="CW114" s="83"/>
      <c r="CX114" s="1"/>
      <c r="CY114" s="89"/>
    </row>
    <row r="115" spans="1:103" x14ac:dyDescent="0.3">
      <c r="A115" s="41">
        <v>2020</v>
      </c>
      <c r="B115" s="83">
        <v>1202.7150000000001</v>
      </c>
      <c r="C115" s="1">
        <v>2054.7044999999998</v>
      </c>
      <c r="D115" s="89">
        <v>2906.694</v>
      </c>
      <c r="H115" s="83"/>
      <c r="I115" s="1"/>
      <c r="J115" s="89"/>
      <c r="K115" s="83"/>
      <c r="L115" s="1"/>
      <c r="M115" s="89"/>
      <c r="N115" s="83"/>
      <c r="O115" s="1"/>
      <c r="P115" s="89"/>
      <c r="Q115" s="83"/>
      <c r="R115" s="1"/>
      <c r="S115" s="89"/>
      <c r="T115" s="83"/>
      <c r="U115" s="1"/>
      <c r="V115" s="89"/>
      <c r="W115" s="83"/>
      <c r="X115" s="1"/>
      <c r="Y115" s="89"/>
      <c r="Z115" s="83"/>
      <c r="AA115" s="1"/>
      <c r="AB115" s="89"/>
      <c r="AC115" s="83"/>
      <c r="AD115" s="1"/>
      <c r="AE115" s="89"/>
      <c r="AF115" s="83"/>
      <c r="AG115" s="1"/>
      <c r="AH115" s="89"/>
      <c r="AI115" s="83"/>
      <c r="AJ115" s="1"/>
      <c r="AK115" s="89"/>
      <c r="AL115" s="83"/>
      <c r="AM115" s="1"/>
      <c r="AN115" s="89"/>
      <c r="AO115" s="83"/>
      <c r="AP115" s="1"/>
      <c r="AQ115" s="89"/>
      <c r="AR115" s="83"/>
      <c r="AS115" s="1"/>
      <c r="AT115" s="89"/>
      <c r="AU115" s="83"/>
      <c r="AV115" s="1"/>
      <c r="AW115" s="89"/>
      <c r="AX115" s="83"/>
      <c r="AY115">
        <v>2110.8654077253218</v>
      </c>
      <c r="AZ115" s="89"/>
      <c r="BA115" s="83"/>
      <c r="BB115" s="1"/>
      <c r="BC115" s="89"/>
      <c r="BD115" s="83"/>
      <c r="BE115" s="1"/>
      <c r="BF115" s="89"/>
      <c r="BG115" s="83"/>
      <c r="BH115" s="1"/>
      <c r="BI115" s="89"/>
      <c r="BJ115" s="83"/>
      <c r="BK115" s="1"/>
      <c r="BL115" s="89"/>
      <c r="BM115" s="83">
        <v>1268.8</v>
      </c>
      <c r="BN115" s="1">
        <v>1582.95</v>
      </c>
      <c r="BO115" s="89">
        <v>1695.8</v>
      </c>
      <c r="BP115" s="83">
        <v>1268.8</v>
      </c>
      <c r="BQ115" s="1">
        <v>1582.95</v>
      </c>
      <c r="BR115" s="89">
        <v>1695.8</v>
      </c>
      <c r="BS115" s="83">
        <v>1268.8</v>
      </c>
      <c r="BT115" s="1">
        <v>1582.95</v>
      </c>
      <c r="BU115" s="89">
        <v>1695.8</v>
      </c>
      <c r="BV115" s="83">
        <v>1268.8</v>
      </c>
      <c r="BW115" s="1">
        <v>1628.7</v>
      </c>
      <c r="BX115" s="89">
        <v>1878.8</v>
      </c>
      <c r="BY115" s="83"/>
      <c r="BZ115" s="1"/>
      <c r="CA115" s="89"/>
      <c r="CB115" s="83"/>
      <c r="CC115" s="1"/>
      <c r="CD115" s="89"/>
      <c r="CE115" s="83"/>
      <c r="CF115" s="1"/>
      <c r="CG115" s="89"/>
      <c r="CH115" s="83"/>
      <c r="CI115" s="1"/>
      <c r="CJ115" s="89"/>
      <c r="CK115" s="83"/>
      <c r="CL115" s="1"/>
      <c r="CM115" s="89"/>
      <c r="CN115" s="83"/>
      <c r="CO115" s="1"/>
      <c r="CP115" s="89"/>
      <c r="CQ115" s="83"/>
      <c r="CR115" s="1"/>
      <c r="CS115" s="89"/>
      <c r="CT115" s="83"/>
      <c r="CU115" s="1"/>
      <c r="CV115" s="89"/>
      <c r="CW115" s="83"/>
      <c r="CX115" s="1"/>
      <c r="CY115" s="89"/>
    </row>
    <row r="116" spans="1:103" x14ac:dyDescent="0.3">
      <c r="A116" s="41">
        <v>2021</v>
      </c>
      <c r="B116" s="83"/>
      <c r="C116" s="1"/>
      <c r="D116" s="89"/>
      <c r="E116" s="1"/>
      <c r="F116" s="1"/>
      <c r="G116" s="89"/>
      <c r="H116" s="83"/>
      <c r="I116" s="1"/>
      <c r="J116" s="89"/>
      <c r="K116" s="83"/>
      <c r="L116" s="1"/>
      <c r="M116" s="89"/>
      <c r="N116" s="83"/>
      <c r="O116" s="1"/>
      <c r="P116" s="89"/>
      <c r="Q116" s="83"/>
      <c r="R116" s="1"/>
      <c r="S116" s="89"/>
      <c r="T116" s="83"/>
      <c r="U116" s="1"/>
      <c r="V116" s="89"/>
      <c r="W116" s="83"/>
      <c r="X116" s="1"/>
      <c r="Y116" s="89"/>
      <c r="Z116" s="83"/>
      <c r="AA116" s="1"/>
      <c r="AB116" s="89"/>
      <c r="AC116" s="83"/>
      <c r="AD116" s="1"/>
      <c r="AE116" s="89"/>
      <c r="AF116" s="83"/>
      <c r="AG116" s="1"/>
      <c r="AH116" s="89"/>
      <c r="AI116" s="83"/>
      <c r="AJ116" s="1"/>
      <c r="AK116" s="89"/>
      <c r="AL116" s="83"/>
      <c r="AM116" s="1"/>
      <c r="AN116" s="89"/>
      <c r="AO116" s="83"/>
      <c r="AP116" s="1"/>
      <c r="AQ116" s="89"/>
      <c r="AR116" s="83"/>
      <c r="AS116" s="1"/>
      <c r="AT116" s="89"/>
      <c r="AU116" s="83"/>
      <c r="AV116" s="1"/>
      <c r="AW116" s="89"/>
      <c r="AX116" s="83"/>
      <c r="AY116" s="1"/>
      <c r="AZ116" s="89"/>
      <c r="BA116" s="83"/>
      <c r="BB116" s="1"/>
      <c r="BC116" s="89"/>
      <c r="BD116" s="83"/>
      <c r="BE116" s="1"/>
      <c r="BF116" s="89"/>
      <c r="BG116" s="83"/>
      <c r="BH116" s="1"/>
      <c r="BI116" s="89"/>
      <c r="BJ116" s="83"/>
      <c r="BK116" s="1"/>
      <c r="BL116" s="89"/>
      <c r="BM116" s="83"/>
      <c r="BN116" s="1"/>
      <c r="BO116" s="89"/>
      <c r="BP116" s="83"/>
      <c r="BQ116" s="1"/>
      <c r="BR116" s="89"/>
      <c r="BS116" s="83"/>
      <c r="BT116" s="1"/>
      <c r="BU116" s="89"/>
      <c r="BV116" s="83"/>
      <c r="BW116" s="1"/>
      <c r="BX116" s="89"/>
      <c r="BY116" s="83">
        <v>1134.5999999999999</v>
      </c>
      <c r="BZ116" s="1">
        <v>1543.3</v>
      </c>
      <c r="CA116" s="89">
        <v>1683.6</v>
      </c>
      <c r="CB116" s="83">
        <v>1134.5999999999999</v>
      </c>
      <c r="CC116" s="1">
        <v>1543.3</v>
      </c>
      <c r="CD116" s="89">
        <v>1683.6</v>
      </c>
      <c r="CE116" s="83">
        <v>1134.5999999999999</v>
      </c>
      <c r="CF116" s="1">
        <v>1543.3</v>
      </c>
      <c r="CG116" s="89">
        <v>1683.6</v>
      </c>
      <c r="CH116" s="83"/>
      <c r="CI116" s="1"/>
      <c r="CJ116" s="89"/>
      <c r="CK116" s="83"/>
      <c r="CL116" s="1"/>
      <c r="CM116" s="89"/>
      <c r="CN116" s="83"/>
      <c r="CO116" s="1"/>
      <c r="CP116" s="89"/>
      <c r="CQ116" s="83"/>
      <c r="CR116" s="1"/>
      <c r="CS116" s="89"/>
      <c r="CT116" s="83"/>
      <c r="CU116" s="1"/>
      <c r="CV116" s="89"/>
      <c r="CW116" s="83"/>
      <c r="CX116" s="1"/>
      <c r="CY116" s="89"/>
    </row>
    <row r="117" spans="1:103" x14ac:dyDescent="0.3">
      <c r="A117" s="41">
        <v>2022</v>
      </c>
      <c r="B117" s="83"/>
      <c r="C117" s="1"/>
      <c r="D117" s="89"/>
      <c r="E117" s="1"/>
      <c r="F117" s="1"/>
      <c r="G117" s="89"/>
      <c r="H117" s="83"/>
      <c r="I117" s="1"/>
      <c r="J117" s="89"/>
      <c r="K117" s="83"/>
      <c r="L117" s="1"/>
      <c r="M117" s="89"/>
      <c r="N117" s="83"/>
      <c r="O117" s="1"/>
      <c r="P117" s="89"/>
      <c r="Q117" s="83"/>
      <c r="R117" s="1"/>
      <c r="S117" s="89"/>
      <c r="T117" s="83"/>
      <c r="U117" s="1"/>
      <c r="V117" s="89"/>
      <c r="W117" s="83"/>
      <c r="X117" s="1"/>
      <c r="Y117" s="89"/>
      <c r="Z117" s="83"/>
      <c r="AA117" s="1"/>
      <c r="AB117" s="89"/>
      <c r="AC117" s="83"/>
      <c r="AD117" s="1"/>
      <c r="AE117" s="89"/>
      <c r="AF117" s="83"/>
      <c r="AG117" s="1"/>
      <c r="AH117" s="89"/>
      <c r="AI117" s="83"/>
      <c r="AJ117" s="1"/>
      <c r="AK117" s="89"/>
      <c r="AL117" s="83"/>
      <c r="AM117" s="1"/>
      <c r="AN117" s="89"/>
      <c r="AO117" s="83"/>
      <c r="AP117" s="1"/>
      <c r="AQ117" s="89"/>
      <c r="AR117" s="83"/>
      <c r="AS117" s="1"/>
      <c r="AT117" s="89"/>
      <c r="AU117" s="83"/>
      <c r="AV117" s="1"/>
      <c r="AW117" s="89"/>
      <c r="AX117" s="83"/>
      <c r="AY117" s="1"/>
      <c r="AZ117" s="89"/>
      <c r="BA117" s="83"/>
      <c r="BB117" s="1"/>
      <c r="BC117" s="89"/>
      <c r="BD117" s="83"/>
      <c r="BE117" s="1"/>
      <c r="BF117" s="89"/>
      <c r="BG117" s="83"/>
      <c r="BH117" s="1"/>
      <c r="BI117" s="89"/>
      <c r="BJ117" s="83"/>
      <c r="BK117" s="1"/>
      <c r="BL117" s="89"/>
      <c r="BM117" s="83"/>
      <c r="BN117" s="1"/>
      <c r="BO117" s="89"/>
      <c r="BP117" s="83"/>
      <c r="BQ117" s="1"/>
      <c r="BR117" s="89"/>
      <c r="BS117" s="83"/>
      <c r="BT117" s="1"/>
      <c r="BU117" s="89"/>
      <c r="BV117" s="83"/>
      <c r="BW117" s="1"/>
      <c r="BX117" s="89"/>
      <c r="BY117" s="83"/>
      <c r="BZ117" s="1"/>
      <c r="CA117" s="89"/>
      <c r="CB117" s="83"/>
      <c r="CC117" s="1"/>
      <c r="CD117" s="89"/>
      <c r="CE117" s="83"/>
      <c r="CF117" s="1"/>
      <c r="CG117" s="89"/>
      <c r="CH117" s="83">
        <v>1144</v>
      </c>
      <c r="CI117" s="1">
        <v>1349.4</v>
      </c>
      <c r="CJ117" s="89">
        <v>1820</v>
      </c>
      <c r="CK117" s="83">
        <v>1144</v>
      </c>
      <c r="CL117" s="1">
        <v>1349.4</v>
      </c>
      <c r="CM117" s="89">
        <v>1820</v>
      </c>
      <c r="CN117" s="83">
        <v>1144</v>
      </c>
      <c r="CO117" s="1">
        <v>1349.4</v>
      </c>
      <c r="CP117" s="89">
        <v>1820</v>
      </c>
      <c r="CQ117" s="83"/>
      <c r="CR117" s="1"/>
      <c r="CS117" s="89"/>
      <c r="CT117" s="83"/>
      <c r="CU117" s="1"/>
      <c r="CV117" s="89"/>
      <c r="CW117" s="83"/>
      <c r="CX117" s="1"/>
      <c r="CY117" s="89"/>
    </row>
    <row r="118" spans="1:103" x14ac:dyDescent="0.3">
      <c r="A118" s="41">
        <v>2023</v>
      </c>
      <c r="B118" s="83"/>
      <c r="C118" s="1"/>
      <c r="D118" s="89"/>
      <c r="E118" s="1"/>
      <c r="F118" s="1"/>
      <c r="G118" s="89"/>
      <c r="H118" s="83"/>
      <c r="I118" s="1"/>
      <c r="J118" s="89"/>
      <c r="K118" s="83"/>
      <c r="L118" s="1"/>
      <c r="M118" s="89"/>
      <c r="N118" s="83"/>
      <c r="O118" s="1"/>
      <c r="P118" s="89"/>
      <c r="Q118" s="83"/>
      <c r="S118" s="89"/>
      <c r="T118" s="83"/>
      <c r="U118" s="1"/>
      <c r="V118" s="89"/>
      <c r="W118" s="83"/>
      <c r="X118" s="1"/>
      <c r="Y118" s="89"/>
      <c r="Z118" s="83"/>
      <c r="AA118" s="1"/>
      <c r="AB118" s="89"/>
      <c r="AC118" s="83"/>
      <c r="AD118" s="1"/>
      <c r="AE118" s="89"/>
      <c r="AF118" s="83"/>
      <c r="AG118" s="1"/>
      <c r="AH118" s="89"/>
      <c r="AI118" s="83"/>
      <c r="AJ118" s="1"/>
      <c r="AK118" s="89"/>
      <c r="AL118" s="83"/>
      <c r="AM118" s="1"/>
      <c r="AN118" s="89"/>
      <c r="AO118" s="83"/>
      <c r="AP118" s="1"/>
      <c r="AQ118" s="89"/>
      <c r="AR118" s="83"/>
      <c r="AS118" s="1"/>
      <c r="AT118" s="89"/>
      <c r="AU118" s="83"/>
      <c r="AV118" s="1"/>
      <c r="AW118" s="89"/>
      <c r="AX118" s="83"/>
      <c r="AY118" s="1"/>
      <c r="AZ118" s="89"/>
      <c r="BA118" s="83"/>
      <c r="BB118" s="1"/>
      <c r="BC118" s="89"/>
      <c r="BD118" s="83"/>
      <c r="BE118" s="1"/>
      <c r="BF118" s="89"/>
      <c r="BG118" s="83"/>
      <c r="BH118" s="1"/>
      <c r="BI118" s="89"/>
      <c r="BJ118" s="83"/>
      <c r="BK118" s="1"/>
      <c r="BL118" s="89"/>
      <c r="BM118" s="83"/>
      <c r="BN118" s="1"/>
      <c r="BO118" s="89"/>
      <c r="BP118" s="83"/>
      <c r="BQ118" s="1"/>
      <c r="BR118" s="89"/>
      <c r="BS118" s="83"/>
      <c r="BT118" s="1"/>
      <c r="BU118" s="89"/>
      <c r="BV118" s="83"/>
      <c r="BW118" s="1"/>
      <c r="BX118" s="89"/>
      <c r="BY118" s="83"/>
      <c r="BZ118" s="1"/>
      <c r="CA118" s="89"/>
      <c r="CB118" s="83"/>
      <c r="CC118" s="1"/>
      <c r="CD118" s="89"/>
      <c r="CE118" s="83"/>
      <c r="CF118" s="1"/>
      <c r="CG118" s="89"/>
      <c r="CH118" s="83"/>
      <c r="CI118" s="1"/>
      <c r="CJ118" s="89"/>
      <c r="CK118" s="83"/>
      <c r="CL118" s="1"/>
      <c r="CM118" s="89"/>
      <c r="CN118" s="83"/>
      <c r="CO118" s="1"/>
      <c r="CP118" s="89"/>
      <c r="CQ118" s="83">
        <v>990</v>
      </c>
      <c r="CR118" s="1">
        <v>1332.5</v>
      </c>
      <c r="CS118" s="89">
        <v>1630</v>
      </c>
      <c r="CT118" s="83">
        <v>990</v>
      </c>
      <c r="CU118" s="1">
        <v>1332.5</v>
      </c>
      <c r="CV118" s="89">
        <v>1630</v>
      </c>
      <c r="CW118" s="83">
        <v>990</v>
      </c>
      <c r="CX118" s="1">
        <v>1332.5</v>
      </c>
      <c r="CY118" s="89">
        <v>1630</v>
      </c>
    </row>
    <row r="119" spans="1:103" x14ac:dyDescent="0.3">
      <c r="A119" s="41">
        <v>2024</v>
      </c>
      <c r="B119" s="83"/>
      <c r="C119" s="1"/>
      <c r="D119" s="89"/>
      <c r="E119" s="1"/>
      <c r="F119" s="1"/>
      <c r="G119" s="89"/>
      <c r="H119" s="83"/>
      <c r="I119" s="1"/>
      <c r="J119" s="89"/>
      <c r="K119" s="83"/>
      <c r="L119" s="1"/>
      <c r="M119" s="89"/>
      <c r="N119" s="83"/>
      <c r="O119" s="1"/>
      <c r="P119" s="89"/>
      <c r="Q119" s="83"/>
      <c r="S119" s="89"/>
      <c r="T119" s="83"/>
      <c r="U119" s="1"/>
      <c r="V119" s="89"/>
      <c r="W119" s="83"/>
      <c r="X119" s="1"/>
      <c r="Y119" s="89"/>
      <c r="Z119" s="83"/>
      <c r="AA119" s="1"/>
      <c r="AB119" s="89"/>
      <c r="AC119" s="83"/>
      <c r="AD119" s="1"/>
      <c r="AE119" s="89"/>
      <c r="AF119" s="83"/>
      <c r="AG119" s="1"/>
      <c r="AH119" s="89"/>
      <c r="AI119" s="83"/>
      <c r="AJ119" s="1"/>
      <c r="AK119" s="89"/>
      <c r="AL119" s="83"/>
      <c r="AM119" s="1"/>
      <c r="AN119" s="89"/>
      <c r="AO119" s="83"/>
      <c r="AP119" s="1"/>
      <c r="AQ119" s="89"/>
      <c r="AR119" s="83"/>
      <c r="AS119" s="1"/>
      <c r="AT119" s="89"/>
      <c r="AU119" s="83"/>
      <c r="AV119" s="1"/>
      <c r="AW119" s="89"/>
      <c r="AX119" s="83"/>
      <c r="AY119" s="1"/>
      <c r="AZ119" s="89"/>
      <c r="BA119" s="83"/>
      <c r="BB119" s="1"/>
      <c r="BC119" s="89"/>
      <c r="BD119" s="83"/>
      <c r="BE119" s="1"/>
      <c r="BF119" s="89"/>
      <c r="BG119" s="83"/>
      <c r="BH119" s="1"/>
      <c r="BI119" s="89"/>
      <c r="BJ119" s="83"/>
      <c r="BK119" s="1"/>
      <c r="BL119" s="89"/>
      <c r="BM119" s="83"/>
      <c r="BN119" s="1"/>
      <c r="BO119" s="89"/>
      <c r="BP119" s="83"/>
      <c r="BQ119" s="1"/>
      <c r="BR119" s="89"/>
      <c r="BS119" s="83"/>
      <c r="BT119" s="1"/>
      <c r="BU119" s="89"/>
      <c r="BV119" s="83"/>
      <c r="BW119" s="1"/>
      <c r="BX119" s="89"/>
      <c r="BY119" s="83"/>
      <c r="BZ119" s="1"/>
      <c r="CA119" s="89"/>
      <c r="CB119" s="83"/>
      <c r="CC119" s="1"/>
      <c r="CD119" s="89"/>
      <c r="CE119" s="83"/>
      <c r="CF119" s="1"/>
      <c r="CG119" s="89"/>
      <c r="CH119" s="83"/>
      <c r="CI119" s="1"/>
      <c r="CJ119" s="89"/>
      <c r="CK119" s="83"/>
      <c r="CL119" s="1"/>
      <c r="CM119" s="89"/>
      <c r="CN119" s="83"/>
      <c r="CO119" s="1"/>
      <c r="CP119" s="89"/>
      <c r="CQ119" s="83"/>
      <c r="CR119" s="1"/>
      <c r="CS119" s="89"/>
      <c r="CT119" s="83"/>
      <c r="CU119" s="1"/>
      <c r="CV119" s="89"/>
      <c r="CW119" s="83"/>
      <c r="CX119" s="1"/>
      <c r="CY119" s="89"/>
    </row>
    <row r="120" spans="1:103" x14ac:dyDescent="0.3">
      <c r="A120" s="41">
        <v>2025</v>
      </c>
      <c r="B120" s="83"/>
      <c r="C120" s="1"/>
      <c r="D120" s="89"/>
      <c r="E120" s="1"/>
      <c r="F120" s="1"/>
      <c r="G120" s="89"/>
      <c r="H120" s="83"/>
      <c r="I120" s="1"/>
      <c r="J120" s="89"/>
      <c r="K120" s="83"/>
      <c r="L120" s="1"/>
      <c r="M120" s="89"/>
      <c r="N120" s="83"/>
      <c r="O120" s="1"/>
      <c r="P120" s="89"/>
      <c r="Q120" s="83"/>
      <c r="R120" s="1"/>
      <c r="S120" s="89"/>
      <c r="T120" s="83"/>
      <c r="U120" s="1"/>
      <c r="V120" s="89"/>
      <c r="W120" s="83"/>
      <c r="X120" s="1"/>
      <c r="Y120" s="89"/>
      <c r="Z120" s="83"/>
      <c r="AA120" s="1"/>
      <c r="AB120" s="89"/>
      <c r="AC120" s="83"/>
      <c r="AD120" s="1"/>
      <c r="AE120" s="89"/>
      <c r="AF120" s="83"/>
      <c r="AG120" s="1"/>
      <c r="AH120" s="89"/>
      <c r="AI120" s="83"/>
      <c r="AJ120" s="1"/>
      <c r="AK120" s="89"/>
      <c r="AL120" s="83"/>
      <c r="AM120" s="1"/>
      <c r="AN120" s="89"/>
      <c r="AO120" s="83">
        <v>1860.8108108108111</v>
      </c>
      <c r="AP120" s="1">
        <v>2461.1332007952287</v>
      </c>
      <c r="AQ120" s="89">
        <v>3664.2857142857147</v>
      </c>
      <c r="AR120" s="83">
        <v>528</v>
      </c>
      <c r="AS120" s="1">
        <v>736.20915032679738</v>
      </c>
      <c r="AT120" s="89">
        <v>950.40000000000009</v>
      </c>
      <c r="AU120" s="83"/>
      <c r="AV120" s="1"/>
      <c r="AW120" s="89"/>
      <c r="AX120" s="83"/>
      <c r="AZ120" s="89"/>
      <c r="BA120" s="83"/>
      <c r="BB120" s="1"/>
      <c r="BC120" s="89"/>
      <c r="BD120" s="83"/>
      <c r="BE120" s="1"/>
      <c r="BF120" s="89"/>
      <c r="BG120" s="83"/>
      <c r="BH120" s="1"/>
      <c r="BI120" s="89"/>
      <c r="BJ120" s="83"/>
      <c r="BK120" s="1"/>
      <c r="BL120" s="89"/>
      <c r="BM120" s="83"/>
      <c r="BN120" s="1"/>
      <c r="BO120" s="89"/>
      <c r="BP120" s="83"/>
      <c r="BQ120" s="1"/>
      <c r="BR120" s="89"/>
      <c r="BS120" s="83"/>
      <c r="BT120" s="1"/>
      <c r="BU120" s="89"/>
      <c r="BV120" s="83"/>
      <c r="BW120" s="1"/>
      <c r="BX120" s="89"/>
      <c r="BY120" s="83"/>
      <c r="BZ120" s="1"/>
      <c r="CA120" s="89"/>
      <c r="CB120" s="83"/>
      <c r="CC120" s="1"/>
      <c r="CD120" s="89"/>
      <c r="CE120" s="83"/>
      <c r="CF120" s="1"/>
      <c r="CG120" s="89"/>
      <c r="CH120" s="83"/>
      <c r="CI120" s="1"/>
      <c r="CJ120" s="89"/>
      <c r="CK120" s="83"/>
      <c r="CL120" s="1"/>
      <c r="CM120" s="89"/>
      <c r="CN120" s="83"/>
      <c r="CO120" s="1"/>
      <c r="CP120" s="89"/>
      <c r="CQ120" s="83"/>
      <c r="CR120" s="1"/>
      <c r="CS120" s="89"/>
      <c r="CT120" s="83"/>
      <c r="CU120" s="1"/>
      <c r="CV120" s="89"/>
      <c r="CW120" s="83"/>
      <c r="CX120" s="1"/>
      <c r="CY120" s="89"/>
    </row>
    <row r="121" spans="1:103" x14ac:dyDescent="0.3">
      <c r="A121" s="41">
        <v>2026</v>
      </c>
      <c r="B121" s="83"/>
      <c r="C121" s="1"/>
      <c r="D121" s="89"/>
      <c r="E121" s="1"/>
      <c r="F121" s="1"/>
      <c r="G121" s="89"/>
      <c r="H121" s="83"/>
      <c r="I121" s="1"/>
      <c r="J121" s="89"/>
      <c r="K121" s="83"/>
      <c r="L121" s="1"/>
      <c r="M121" s="89"/>
      <c r="N121" s="83"/>
      <c r="O121" s="1"/>
      <c r="P121" s="89"/>
      <c r="Q121" s="83"/>
      <c r="R121" s="1"/>
      <c r="S121" s="89"/>
      <c r="T121" s="83"/>
      <c r="U121" s="1"/>
      <c r="V121" s="89"/>
      <c r="W121" s="83"/>
      <c r="X121" s="1"/>
      <c r="Y121" s="89"/>
      <c r="Z121" s="83"/>
      <c r="AA121" s="1"/>
      <c r="AB121" s="89"/>
      <c r="AC121" s="83"/>
      <c r="AD121" s="1"/>
      <c r="AE121" s="89"/>
      <c r="AF121" s="83"/>
      <c r="AG121" s="1"/>
      <c r="AH121" s="89"/>
      <c r="AI121" s="83"/>
      <c r="AJ121" s="1"/>
      <c r="AK121" s="89"/>
      <c r="AL121" s="83"/>
      <c r="AM121" s="1"/>
      <c r="AN121" s="89"/>
      <c r="AO121" s="83"/>
      <c r="AP121" s="1"/>
      <c r="AQ121" s="89"/>
      <c r="AR121" s="83"/>
      <c r="AS121" s="1"/>
      <c r="AT121" s="89"/>
      <c r="AU121" s="83"/>
      <c r="AV121" s="1"/>
      <c r="AW121" s="89"/>
      <c r="AX121" s="83"/>
      <c r="AZ121" s="89"/>
      <c r="BA121" s="83"/>
      <c r="BB121" s="1"/>
      <c r="BC121" s="89"/>
      <c r="BD121" s="83"/>
      <c r="BE121" s="1"/>
      <c r="BF121" s="89"/>
      <c r="BG121" s="83"/>
      <c r="BH121" s="1"/>
      <c r="BI121" s="89"/>
      <c r="BJ121" s="83"/>
      <c r="BK121" s="1"/>
      <c r="BL121" s="89"/>
      <c r="BM121" s="83"/>
      <c r="BN121" s="1"/>
      <c r="BO121" s="89"/>
      <c r="BP121" s="83"/>
      <c r="BQ121" s="1"/>
      <c r="BR121" s="89"/>
      <c r="BS121" s="83"/>
      <c r="BT121" s="1"/>
      <c r="BU121" s="89"/>
      <c r="BV121" s="83"/>
      <c r="BW121" s="1"/>
      <c r="BX121" s="89"/>
      <c r="BY121" s="83"/>
      <c r="BZ121" s="1"/>
      <c r="CA121" s="89"/>
      <c r="CB121" s="83"/>
      <c r="CC121" s="1"/>
      <c r="CD121" s="89"/>
      <c r="CE121" s="83"/>
      <c r="CF121" s="1"/>
      <c r="CG121" s="89"/>
      <c r="CH121" s="83"/>
      <c r="CI121" s="1"/>
      <c r="CJ121" s="89"/>
      <c r="CK121" s="83"/>
      <c r="CL121" s="1"/>
      <c r="CM121" s="89"/>
      <c r="CN121" s="83"/>
      <c r="CO121" s="1"/>
      <c r="CP121" s="89"/>
      <c r="CQ121" s="83"/>
      <c r="CR121" s="1"/>
      <c r="CS121" s="89"/>
      <c r="CT121" s="83"/>
      <c r="CU121" s="1"/>
      <c r="CV121" s="89"/>
      <c r="CW121" s="83"/>
      <c r="CX121" s="1"/>
      <c r="CY121" s="89"/>
    </row>
    <row r="122" spans="1:103" x14ac:dyDescent="0.3">
      <c r="A122" s="41">
        <v>2027</v>
      </c>
      <c r="B122" s="83"/>
      <c r="C122" s="1"/>
      <c r="D122" s="89"/>
      <c r="E122" s="1"/>
      <c r="F122" s="1"/>
      <c r="G122" s="89"/>
      <c r="H122" s="83"/>
      <c r="I122" s="1"/>
      <c r="J122" s="89"/>
      <c r="K122" s="83"/>
      <c r="L122" s="1"/>
      <c r="M122" s="89"/>
      <c r="N122" s="83"/>
      <c r="O122" s="1"/>
      <c r="P122" s="89"/>
      <c r="Q122" s="83"/>
      <c r="R122" s="1"/>
      <c r="S122" s="89"/>
      <c r="T122" s="83"/>
      <c r="U122" s="1"/>
      <c r="V122" s="89"/>
      <c r="W122" s="83"/>
      <c r="X122" s="1"/>
      <c r="Y122" s="89"/>
      <c r="Z122" s="83"/>
      <c r="AA122" s="1"/>
      <c r="AB122" s="89"/>
      <c r="AC122" s="83"/>
      <c r="AD122" s="1"/>
      <c r="AE122" s="89"/>
      <c r="AF122" s="83"/>
      <c r="AG122" s="1"/>
      <c r="AH122" s="89"/>
      <c r="AI122" s="83"/>
      <c r="AJ122" s="1"/>
      <c r="AK122" s="89"/>
      <c r="AL122" s="83"/>
      <c r="AM122" s="1"/>
      <c r="AN122" s="89"/>
      <c r="AO122" s="83"/>
      <c r="AP122" s="1"/>
      <c r="AQ122" s="89"/>
      <c r="AR122" s="83"/>
      <c r="AS122" s="1"/>
      <c r="AT122" s="89"/>
      <c r="AU122" s="83"/>
      <c r="AV122" s="1"/>
      <c r="AW122" s="89"/>
      <c r="AX122" s="83"/>
      <c r="AY122" s="1"/>
      <c r="AZ122" s="89"/>
      <c r="BA122" s="83"/>
      <c r="BB122" s="1"/>
      <c r="BC122" s="89"/>
      <c r="BD122" s="83"/>
      <c r="BE122" s="1"/>
      <c r="BF122" s="89"/>
      <c r="BG122" s="83"/>
      <c r="BH122" s="1"/>
      <c r="BI122" s="89"/>
      <c r="BJ122" s="83"/>
      <c r="BK122" s="1"/>
      <c r="BL122" s="89"/>
      <c r="BM122" s="83"/>
      <c r="BN122" s="1"/>
      <c r="BO122" s="89"/>
      <c r="BP122" s="83"/>
      <c r="BQ122" s="1"/>
      <c r="BR122" s="89"/>
      <c r="BS122" s="83"/>
      <c r="BT122" s="1"/>
      <c r="BU122" s="89"/>
      <c r="BV122" s="83"/>
      <c r="BW122" s="1"/>
      <c r="BX122" s="89"/>
      <c r="BY122" s="83"/>
      <c r="BZ122" s="1"/>
      <c r="CA122" s="89"/>
      <c r="CB122" s="83"/>
      <c r="CC122" s="1"/>
      <c r="CD122" s="89"/>
      <c r="CE122" s="83"/>
      <c r="CF122" s="1"/>
      <c r="CG122" s="89"/>
      <c r="CH122" s="83"/>
      <c r="CI122" s="1"/>
      <c r="CJ122" s="89"/>
      <c r="CK122" s="83"/>
      <c r="CL122" s="1"/>
      <c r="CM122" s="89"/>
      <c r="CN122" s="83"/>
      <c r="CO122" s="1"/>
      <c r="CP122" s="89"/>
      <c r="CQ122" s="83"/>
      <c r="CR122" s="1"/>
      <c r="CS122" s="89"/>
      <c r="CT122" s="83"/>
      <c r="CU122" s="1"/>
      <c r="CV122" s="89"/>
      <c r="CW122" s="83"/>
      <c r="CX122" s="1"/>
      <c r="CY122" s="89"/>
    </row>
    <row r="123" spans="1:103" x14ac:dyDescent="0.3">
      <c r="A123" s="41">
        <v>2028</v>
      </c>
      <c r="B123" s="83"/>
      <c r="C123" s="1"/>
      <c r="D123" s="89"/>
      <c r="E123" s="1"/>
      <c r="F123" s="1"/>
      <c r="G123" s="89"/>
      <c r="H123" s="83"/>
      <c r="I123" s="1"/>
      <c r="J123" s="89"/>
      <c r="K123" s="83"/>
      <c r="L123" s="1"/>
      <c r="M123" s="89"/>
      <c r="N123" s="83"/>
      <c r="O123" s="1"/>
      <c r="P123" s="89"/>
      <c r="Q123" s="83"/>
      <c r="R123" s="1"/>
      <c r="S123" s="89"/>
      <c r="T123" s="83"/>
      <c r="U123" s="1"/>
      <c r="V123" s="89"/>
      <c r="W123" s="83"/>
      <c r="X123" s="1"/>
      <c r="Y123" s="89"/>
      <c r="Z123" s="83"/>
      <c r="AA123" s="1"/>
      <c r="AB123" s="89"/>
      <c r="AC123" s="83"/>
      <c r="AD123" s="1"/>
      <c r="AE123" s="89"/>
      <c r="AF123" s="83"/>
      <c r="AG123" s="1"/>
      <c r="AH123" s="89"/>
      <c r="AI123" s="83"/>
      <c r="AJ123" s="1"/>
      <c r="AK123" s="89"/>
      <c r="AL123" s="83"/>
      <c r="AM123" s="1"/>
      <c r="AN123" s="89"/>
      <c r="AO123" s="83"/>
      <c r="AP123" s="1"/>
      <c r="AQ123" s="89"/>
      <c r="AR123" s="83"/>
      <c r="AS123" s="1"/>
      <c r="AT123" s="89"/>
      <c r="AU123" s="83"/>
      <c r="AV123" s="1"/>
      <c r="AW123" s="89"/>
      <c r="AX123" s="83"/>
      <c r="AY123" s="1"/>
      <c r="AZ123" s="89"/>
      <c r="BA123" s="83"/>
      <c r="BB123" s="1"/>
      <c r="BC123" s="89"/>
      <c r="BD123" s="83"/>
      <c r="BE123" s="1"/>
      <c r="BF123" s="89"/>
      <c r="BG123" s="83"/>
      <c r="BH123" s="1"/>
      <c r="BI123" s="89"/>
      <c r="BJ123" s="83"/>
      <c r="BK123" s="1"/>
      <c r="BL123" s="89"/>
      <c r="BM123" s="83"/>
      <c r="BN123" s="1"/>
      <c r="BO123" s="89"/>
      <c r="BP123" s="83"/>
      <c r="BQ123" s="1"/>
      <c r="BR123" s="89"/>
      <c r="BS123" s="83"/>
      <c r="BT123" s="1"/>
      <c r="BU123" s="89"/>
      <c r="BV123" s="83"/>
      <c r="BW123" s="1"/>
      <c r="BX123" s="89"/>
      <c r="BY123" s="83"/>
      <c r="BZ123" s="1"/>
      <c r="CA123" s="89"/>
      <c r="CB123" s="83"/>
      <c r="CC123" s="1"/>
      <c r="CD123" s="89"/>
      <c r="CE123" s="83"/>
      <c r="CF123" s="1"/>
      <c r="CG123" s="89"/>
      <c r="CH123" s="83"/>
      <c r="CI123" s="1"/>
      <c r="CJ123" s="89"/>
      <c r="CK123" s="83"/>
      <c r="CL123" s="1"/>
      <c r="CM123" s="89"/>
      <c r="CN123" s="83"/>
      <c r="CO123" s="1"/>
      <c r="CP123" s="89"/>
      <c r="CQ123" s="83"/>
      <c r="CR123" s="1"/>
      <c r="CS123" s="89"/>
      <c r="CT123" s="83"/>
      <c r="CU123" s="1"/>
      <c r="CV123" s="89"/>
      <c r="CW123" s="83"/>
      <c r="CX123" s="1"/>
      <c r="CY123" s="89"/>
    </row>
    <row r="124" spans="1:103" x14ac:dyDescent="0.3">
      <c r="A124" s="41">
        <v>2029</v>
      </c>
      <c r="B124" s="83"/>
      <c r="C124" s="1"/>
      <c r="D124" s="89"/>
      <c r="E124" s="1"/>
      <c r="F124" s="1"/>
      <c r="G124" s="89"/>
      <c r="H124" s="83"/>
      <c r="I124" s="1"/>
      <c r="J124" s="89"/>
      <c r="K124" s="83"/>
      <c r="M124" s="89"/>
      <c r="N124" s="83"/>
      <c r="O124" s="1"/>
      <c r="P124" s="89"/>
      <c r="Q124" s="83"/>
      <c r="R124" s="1"/>
      <c r="S124" s="89"/>
      <c r="T124" s="83"/>
      <c r="U124" s="1"/>
      <c r="V124" s="89"/>
      <c r="W124" s="83"/>
      <c r="X124" s="1"/>
      <c r="Y124" s="89"/>
      <c r="Z124" s="83"/>
      <c r="AA124" s="1"/>
      <c r="AB124" s="89"/>
      <c r="AC124" s="83"/>
      <c r="AD124" s="1"/>
      <c r="AE124" s="89"/>
      <c r="AF124" s="83"/>
      <c r="AG124" s="1"/>
      <c r="AH124" s="89"/>
      <c r="AI124" s="83"/>
      <c r="AJ124" s="1"/>
      <c r="AK124" s="89"/>
      <c r="AL124" s="83"/>
      <c r="AM124" s="1"/>
      <c r="AN124" s="89"/>
      <c r="AO124" s="83"/>
      <c r="AP124" s="1"/>
      <c r="AQ124" s="89"/>
      <c r="AR124" s="83"/>
      <c r="AS124" s="1"/>
      <c r="AT124" s="89"/>
      <c r="AU124" s="83"/>
      <c r="AV124" s="1"/>
      <c r="AW124" s="89"/>
      <c r="AX124" s="83"/>
      <c r="AZ124" s="89"/>
      <c r="BA124" s="83"/>
      <c r="BB124" s="1"/>
      <c r="BC124" s="89"/>
      <c r="BD124" s="83"/>
      <c r="BE124" s="1"/>
      <c r="BF124" s="89"/>
      <c r="BG124" s="83"/>
      <c r="BH124" s="1"/>
      <c r="BI124" s="89"/>
      <c r="BJ124" s="83"/>
      <c r="BK124" s="1"/>
      <c r="BL124" s="89"/>
      <c r="BM124" s="83"/>
      <c r="BN124" s="1"/>
      <c r="BO124" s="89"/>
      <c r="BP124" s="83"/>
      <c r="BQ124" s="1"/>
      <c r="BR124" s="89"/>
      <c r="BS124" s="83"/>
      <c r="BT124" s="1"/>
      <c r="BU124" s="89"/>
      <c r="BV124" s="83"/>
      <c r="BW124" s="1"/>
      <c r="BX124" s="89"/>
      <c r="BY124" s="83"/>
      <c r="BZ124" s="1"/>
      <c r="CA124" s="89"/>
      <c r="CB124" s="83"/>
      <c r="CC124" s="1"/>
      <c r="CD124" s="89"/>
      <c r="CE124" s="83"/>
      <c r="CF124" s="1"/>
      <c r="CG124" s="89"/>
      <c r="CH124" s="83"/>
      <c r="CI124" s="1"/>
      <c r="CJ124" s="89"/>
      <c r="CK124" s="83"/>
      <c r="CL124" s="1"/>
      <c r="CM124" s="89"/>
      <c r="CN124" s="83"/>
      <c r="CO124" s="1"/>
      <c r="CP124" s="89"/>
      <c r="CQ124" s="83"/>
      <c r="CR124" s="1"/>
      <c r="CS124" s="89"/>
      <c r="CT124" s="83"/>
      <c r="CU124" s="1"/>
      <c r="CV124" s="89"/>
      <c r="CW124" s="83"/>
      <c r="CX124" s="1"/>
      <c r="CY124" s="89"/>
    </row>
    <row r="125" spans="1:103" x14ac:dyDescent="0.3">
      <c r="A125" s="41">
        <v>2030</v>
      </c>
      <c r="B125" s="83"/>
      <c r="C125" s="1"/>
      <c r="D125" s="89"/>
      <c r="E125" s="1">
        <v>1202.7150000000001</v>
      </c>
      <c r="F125" s="1">
        <v>1969.2135000000001</v>
      </c>
      <c r="G125" s="89">
        <v>2735.712</v>
      </c>
      <c r="H125" s="83">
        <v>1149.2203999999999</v>
      </c>
      <c r="I125" s="1">
        <v>1167.7563499999999</v>
      </c>
      <c r="J125" s="89">
        <v>1186.2922999999998</v>
      </c>
      <c r="K125" s="83"/>
      <c r="L125">
        <v>1128.2653200000002</v>
      </c>
      <c r="M125" s="89"/>
      <c r="N125" s="83"/>
      <c r="O125" s="1"/>
      <c r="P125" s="89"/>
      <c r="Q125" s="83"/>
      <c r="R125">
        <v>987.95396000000005</v>
      </c>
      <c r="S125" s="89"/>
      <c r="T125" s="83"/>
      <c r="U125" s="1"/>
      <c r="V125" s="89"/>
      <c r="W125" s="83">
        <v>2333.0708</v>
      </c>
      <c r="X125" s="1">
        <v>2484.6899000000003</v>
      </c>
      <c r="Y125" s="89">
        <v>2636.3090000000002</v>
      </c>
      <c r="Z125" s="83">
        <v>2102.4</v>
      </c>
      <c r="AA125" s="1">
        <v>2219.1999999999998</v>
      </c>
      <c r="AB125" s="89">
        <v>2336</v>
      </c>
      <c r="AC125" s="83"/>
      <c r="AD125" s="1"/>
      <c r="AE125" s="89"/>
      <c r="AF125" s="83"/>
      <c r="AG125" s="1"/>
      <c r="AH125" s="89"/>
      <c r="AI125" s="83"/>
      <c r="AJ125" s="1"/>
      <c r="AK125" s="89"/>
      <c r="AL125" s="83"/>
      <c r="AM125" s="1"/>
      <c r="AN125" s="89"/>
      <c r="AO125" s="83"/>
      <c r="AP125" s="1"/>
      <c r="AQ125" s="89"/>
      <c r="AR125" s="83"/>
      <c r="AS125" s="1"/>
      <c r="AT125" s="89"/>
      <c r="AU125" s="83"/>
      <c r="AV125" s="1"/>
      <c r="AW125" s="89"/>
      <c r="AX125" s="83"/>
      <c r="AY125">
        <v>2528.3827368421057</v>
      </c>
      <c r="AZ125" s="89"/>
      <c r="BA125" s="83"/>
      <c r="BB125" s="1"/>
      <c r="BC125" s="89"/>
      <c r="BD125" s="83"/>
      <c r="BE125" s="1"/>
      <c r="BF125" s="89"/>
      <c r="BG125" s="83"/>
      <c r="BH125" s="1"/>
      <c r="BI125" s="89"/>
      <c r="BJ125" s="83"/>
      <c r="BK125" s="1"/>
      <c r="BL125" s="89"/>
      <c r="BM125" s="83">
        <v>1244.3999999999999</v>
      </c>
      <c r="BN125" s="1">
        <v>1506.6999999999998</v>
      </c>
      <c r="BO125" s="89">
        <v>1598.2</v>
      </c>
      <c r="BP125" s="83">
        <v>1232.2</v>
      </c>
      <c r="BQ125" s="1">
        <v>1491.45</v>
      </c>
      <c r="BR125" s="89">
        <v>1573.8</v>
      </c>
      <c r="BS125" s="83">
        <v>1207.8</v>
      </c>
      <c r="BT125" s="1">
        <v>1470.1</v>
      </c>
      <c r="BU125" s="89">
        <v>1561.6</v>
      </c>
      <c r="BV125" s="83">
        <v>1195.5999999999999</v>
      </c>
      <c r="BW125" s="1">
        <v>1506.6999999999998</v>
      </c>
      <c r="BX125" s="89">
        <v>1732.3999999999999</v>
      </c>
      <c r="BY125" s="83">
        <v>1073.5999999999999</v>
      </c>
      <c r="BZ125" s="1">
        <v>1460.95</v>
      </c>
      <c r="CA125" s="89">
        <v>1598.2</v>
      </c>
      <c r="CB125" s="83">
        <v>1061.3999999999999</v>
      </c>
      <c r="CC125" s="1">
        <v>1442.6499999999999</v>
      </c>
      <c r="CD125" s="89">
        <v>1573.8</v>
      </c>
      <c r="CE125" s="83">
        <v>1024.8</v>
      </c>
      <c r="CF125" s="1">
        <v>1415.2</v>
      </c>
      <c r="CG125" s="89">
        <v>1549.3999999999999</v>
      </c>
      <c r="CH125" s="83">
        <v>1081.6000000000001</v>
      </c>
      <c r="CI125" s="1">
        <v>1281.8</v>
      </c>
      <c r="CJ125" s="89">
        <v>1736.8</v>
      </c>
      <c r="CK125" s="83">
        <v>1071.2</v>
      </c>
      <c r="CL125" s="1">
        <v>1268.8</v>
      </c>
      <c r="CM125" s="89">
        <v>1716</v>
      </c>
      <c r="CN125" s="83">
        <v>1071.2</v>
      </c>
      <c r="CO125" s="1">
        <v>1261</v>
      </c>
      <c r="CP125" s="89">
        <v>1705.6000000000001</v>
      </c>
      <c r="CQ125" s="83">
        <v>940</v>
      </c>
      <c r="CR125" s="1">
        <v>1252.5</v>
      </c>
      <c r="CS125" s="89">
        <v>1490</v>
      </c>
      <c r="CT125" s="83">
        <v>930</v>
      </c>
      <c r="CU125" s="1">
        <v>1257.5</v>
      </c>
      <c r="CV125" s="89">
        <v>1540</v>
      </c>
      <c r="CW125" s="83">
        <v>920</v>
      </c>
      <c r="CX125" s="1">
        <v>1250</v>
      </c>
      <c r="CY125" s="89">
        <v>1530</v>
      </c>
    </row>
    <row r="126" spans="1:103" x14ac:dyDescent="0.3">
      <c r="A126" s="41">
        <v>2031</v>
      </c>
      <c r="B126" s="83"/>
      <c r="C126" s="1"/>
      <c r="D126" s="89"/>
      <c r="E126" s="1"/>
      <c r="F126" s="1"/>
      <c r="G126" s="89"/>
      <c r="H126" s="83"/>
      <c r="I126" s="1"/>
      <c r="J126" s="89"/>
      <c r="K126" s="83"/>
      <c r="L126" s="1"/>
      <c r="M126" s="89"/>
      <c r="N126" s="83"/>
      <c r="O126" s="1"/>
      <c r="P126" s="89"/>
      <c r="Q126" s="83"/>
      <c r="R126" s="1"/>
      <c r="S126" s="89"/>
      <c r="T126" s="83"/>
      <c r="U126" s="1"/>
      <c r="V126" s="89"/>
      <c r="W126" s="83"/>
      <c r="X126" s="1"/>
      <c r="Y126" s="89"/>
      <c r="Z126" s="83"/>
      <c r="AA126" s="1"/>
      <c r="AB126" s="89"/>
      <c r="AC126" s="83"/>
      <c r="AD126" s="1"/>
      <c r="AE126" s="89"/>
      <c r="AF126" s="83"/>
      <c r="AG126" s="1"/>
      <c r="AH126" s="89"/>
      <c r="AI126" s="83"/>
      <c r="AJ126" s="1"/>
      <c r="AK126" s="89"/>
      <c r="AL126" s="83"/>
      <c r="AM126" s="1"/>
      <c r="AN126" s="89"/>
      <c r="AO126" s="83"/>
      <c r="AP126" s="1"/>
      <c r="AQ126" s="89"/>
      <c r="AR126" s="83"/>
      <c r="AS126" s="1"/>
      <c r="AT126" s="89"/>
      <c r="AU126" s="83"/>
      <c r="AV126" s="1"/>
      <c r="AW126" s="89"/>
      <c r="AX126" s="83"/>
      <c r="AY126" s="1"/>
      <c r="AZ126" s="89"/>
      <c r="BA126" s="83"/>
      <c r="BB126" s="1"/>
      <c r="BC126" s="89"/>
      <c r="BD126" s="83"/>
      <c r="BE126" s="1"/>
      <c r="BF126" s="89"/>
      <c r="BG126" s="83"/>
      <c r="BH126" s="1"/>
      <c r="BI126" s="89"/>
      <c r="BJ126" s="83"/>
      <c r="BK126" s="1"/>
      <c r="BL126" s="89"/>
      <c r="BM126" s="83"/>
      <c r="BN126" s="1"/>
      <c r="BO126" s="89"/>
      <c r="BP126" s="83"/>
      <c r="BQ126" s="1"/>
      <c r="BR126" s="89"/>
      <c r="BS126" s="83"/>
      <c r="BT126" s="1"/>
      <c r="BU126" s="89"/>
      <c r="BV126" s="83"/>
      <c r="BW126" s="1"/>
      <c r="BX126" s="89"/>
      <c r="BY126" s="83"/>
      <c r="BZ126" s="1"/>
      <c r="CA126" s="89"/>
      <c r="CB126" s="83"/>
      <c r="CC126" s="1"/>
      <c r="CD126" s="89"/>
      <c r="CE126" s="83"/>
      <c r="CF126" s="1"/>
      <c r="CG126" s="89"/>
      <c r="CH126" s="83"/>
      <c r="CI126" s="1"/>
      <c r="CJ126" s="89"/>
      <c r="CK126" s="83"/>
      <c r="CL126" s="1"/>
      <c r="CM126" s="89"/>
      <c r="CN126" s="83"/>
      <c r="CO126" s="1"/>
      <c r="CP126" s="89"/>
      <c r="CQ126" s="83"/>
      <c r="CR126" s="1"/>
      <c r="CS126" s="89"/>
      <c r="CT126" s="83"/>
      <c r="CU126" s="1"/>
      <c r="CV126" s="89"/>
      <c r="CW126" s="83"/>
      <c r="CX126" s="1"/>
      <c r="CY126" s="89"/>
    </row>
    <row r="127" spans="1:103" x14ac:dyDescent="0.3">
      <c r="A127" s="41">
        <v>2032</v>
      </c>
      <c r="B127" s="83"/>
      <c r="C127" s="1"/>
      <c r="D127" s="89"/>
      <c r="E127" s="1"/>
      <c r="F127" s="1"/>
      <c r="G127" s="89"/>
      <c r="H127" s="83"/>
      <c r="I127" s="1"/>
      <c r="J127" s="89"/>
      <c r="K127" s="83"/>
      <c r="L127" s="1"/>
      <c r="M127" s="89"/>
      <c r="N127" s="83"/>
      <c r="O127" s="1"/>
      <c r="P127" s="89"/>
      <c r="Q127" s="83"/>
      <c r="R127" s="1"/>
      <c r="S127" s="89"/>
      <c r="T127" s="83"/>
      <c r="U127" s="1"/>
      <c r="V127" s="89"/>
      <c r="W127" s="83"/>
      <c r="X127" s="1"/>
      <c r="Y127" s="89"/>
      <c r="Z127" s="83"/>
      <c r="AA127" s="1"/>
      <c r="AB127" s="89"/>
      <c r="AC127" s="83"/>
      <c r="AD127" s="1"/>
      <c r="AE127" s="89"/>
      <c r="AF127" s="83"/>
      <c r="AG127" s="1"/>
      <c r="AH127" s="89"/>
      <c r="AI127" s="83"/>
      <c r="AJ127" s="1"/>
      <c r="AK127" s="89"/>
      <c r="AL127" s="83"/>
      <c r="AM127" s="1"/>
      <c r="AN127" s="89"/>
      <c r="AO127" s="83"/>
      <c r="AP127" s="1"/>
      <c r="AQ127" s="89"/>
      <c r="AR127" s="83"/>
      <c r="AS127" s="1"/>
      <c r="AT127" s="89"/>
      <c r="AU127" s="83"/>
      <c r="AV127" s="1"/>
      <c r="AW127" s="89"/>
      <c r="AX127" s="83"/>
      <c r="AY127" s="1"/>
      <c r="AZ127" s="89"/>
      <c r="BA127" s="83"/>
      <c r="BB127" s="1"/>
      <c r="BC127" s="89"/>
      <c r="BD127" s="83"/>
      <c r="BE127" s="1"/>
      <c r="BF127" s="89"/>
      <c r="BG127" s="83"/>
      <c r="BH127" s="1"/>
      <c r="BI127" s="89"/>
      <c r="BJ127" s="83"/>
      <c r="BK127" s="1"/>
      <c r="BL127" s="89"/>
      <c r="BM127" s="83"/>
      <c r="BN127" s="1"/>
      <c r="BO127" s="89"/>
      <c r="BP127" s="83"/>
      <c r="BQ127" s="1"/>
      <c r="BR127" s="89"/>
      <c r="BS127" s="83"/>
      <c r="BT127" s="1"/>
      <c r="BU127" s="89"/>
      <c r="BV127" s="83"/>
      <c r="BW127" s="1"/>
      <c r="BX127" s="89"/>
      <c r="BY127" s="83"/>
      <c r="BZ127" s="1"/>
      <c r="CA127" s="89"/>
      <c r="CB127" s="83"/>
      <c r="CC127" s="1"/>
      <c r="CD127" s="89"/>
      <c r="CE127" s="83"/>
      <c r="CF127" s="1"/>
      <c r="CG127" s="89"/>
      <c r="CH127" s="83"/>
      <c r="CI127" s="1"/>
      <c r="CJ127" s="89"/>
      <c r="CK127" s="83"/>
      <c r="CL127" s="1"/>
      <c r="CM127" s="89"/>
      <c r="CN127" s="83"/>
      <c r="CO127" s="1"/>
      <c r="CP127" s="89"/>
      <c r="CQ127" s="83"/>
      <c r="CR127" s="1"/>
      <c r="CS127" s="89"/>
      <c r="CT127" s="83"/>
      <c r="CU127" s="1"/>
      <c r="CV127" s="89"/>
      <c r="CW127" s="83"/>
      <c r="CX127" s="1"/>
      <c r="CY127" s="89"/>
    </row>
    <row r="128" spans="1:103" x14ac:dyDescent="0.3">
      <c r="A128" s="41">
        <v>2033</v>
      </c>
      <c r="B128" s="83"/>
      <c r="C128" s="1"/>
      <c r="D128" s="89"/>
      <c r="E128" s="1"/>
      <c r="F128" s="1"/>
      <c r="G128" s="89"/>
      <c r="H128" s="83"/>
      <c r="I128" s="1"/>
      <c r="J128" s="89"/>
      <c r="K128" s="83"/>
      <c r="L128" s="1"/>
      <c r="M128" s="89"/>
      <c r="N128" s="83"/>
      <c r="O128" s="1"/>
      <c r="P128" s="89"/>
      <c r="Q128" s="83"/>
      <c r="R128" s="1"/>
      <c r="S128" s="89"/>
      <c r="T128" s="83"/>
      <c r="U128" s="1"/>
      <c r="V128" s="89"/>
      <c r="W128" s="83"/>
      <c r="X128" s="1"/>
      <c r="Y128" s="89"/>
      <c r="Z128" s="83"/>
      <c r="AA128" s="1"/>
      <c r="AB128" s="89"/>
      <c r="AC128" s="83"/>
      <c r="AD128" s="1"/>
      <c r="AE128" s="89"/>
      <c r="AF128" s="83"/>
      <c r="AG128" s="1"/>
      <c r="AH128" s="89"/>
      <c r="AI128" s="83"/>
      <c r="AJ128" s="1"/>
      <c r="AK128" s="89"/>
      <c r="AL128" s="83"/>
      <c r="AM128" s="1"/>
      <c r="AN128" s="89"/>
      <c r="AO128" s="83"/>
      <c r="AP128" s="1"/>
      <c r="AQ128" s="89"/>
      <c r="AR128" s="83"/>
      <c r="AS128" s="1"/>
      <c r="AT128" s="89"/>
      <c r="AU128" s="83"/>
      <c r="AV128" s="1"/>
      <c r="AW128" s="89"/>
      <c r="AX128" s="83"/>
      <c r="AZ128" s="89"/>
      <c r="BA128" s="83"/>
      <c r="BB128" s="1"/>
      <c r="BC128" s="89"/>
      <c r="BD128" s="83"/>
      <c r="BE128" s="1"/>
      <c r="BF128" s="89"/>
      <c r="BG128" s="83"/>
      <c r="BH128" s="1"/>
      <c r="BI128" s="89"/>
      <c r="BJ128" s="83"/>
      <c r="BK128" s="1"/>
      <c r="BL128" s="89"/>
      <c r="BM128" s="83"/>
      <c r="BN128" s="1"/>
      <c r="BO128" s="89"/>
      <c r="BP128" s="83"/>
      <c r="BQ128" s="1"/>
      <c r="BR128" s="89"/>
      <c r="BS128" s="83"/>
      <c r="BT128" s="1"/>
      <c r="BU128" s="89"/>
      <c r="BV128" s="83"/>
      <c r="BW128" s="1"/>
      <c r="BX128" s="89"/>
      <c r="BY128" s="83"/>
      <c r="BZ128" s="1"/>
      <c r="CA128" s="89"/>
      <c r="CB128" s="83"/>
      <c r="CC128" s="1"/>
      <c r="CD128" s="89"/>
      <c r="CE128" s="83"/>
      <c r="CF128" s="1"/>
      <c r="CG128" s="89"/>
      <c r="CH128" s="83"/>
      <c r="CI128" s="1"/>
      <c r="CJ128" s="89"/>
      <c r="CK128" s="83"/>
      <c r="CL128" s="1"/>
      <c r="CM128" s="89"/>
      <c r="CN128" s="83"/>
      <c r="CO128" s="1"/>
      <c r="CP128" s="89"/>
      <c r="CQ128" s="83"/>
      <c r="CR128" s="1"/>
      <c r="CS128" s="89"/>
      <c r="CT128" s="83"/>
      <c r="CU128" s="1"/>
      <c r="CV128" s="89"/>
      <c r="CW128" s="83"/>
      <c r="CX128" s="1"/>
      <c r="CY128" s="89"/>
    </row>
    <row r="129" spans="1:103" x14ac:dyDescent="0.3">
      <c r="A129" s="41">
        <v>2034</v>
      </c>
      <c r="B129" s="83"/>
      <c r="C129" s="1"/>
      <c r="D129" s="89"/>
      <c r="E129" s="1"/>
      <c r="F129" s="1"/>
      <c r="G129" s="89"/>
      <c r="H129" s="83"/>
      <c r="I129" s="1"/>
      <c r="J129" s="89"/>
      <c r="K129" s="83"/>
      <c r="L129" s="1"/>
      <c r="M129" s="89"/>
      <c r="N129" s="83"/>
      <c r="O129" s="1"/>
      <c r="P129" s="89"/>
      <c r="Q129" s="83"/>
      <c r="R129" s="1"/>
      <c r="S129" s="89"/>
      <c r="T129" s="83"/>
      <c r="U129" s="1"/>
      <c r="V129" s="89"/>
      <c r="W129" s="83"/>
      <c r="X129" s="1"/>
      <c r="Y129" s="89"/>
      <c r="Z129" s="83"/>
      <c r="AA129" s="1"/>
      <c r="AB129" s="89"/>
      <c r="AC129" s="83"/>
      <c r="AD129" s="1"/>
      <c r="AE129" s="89"/>
      <c r="AF129" s="83"/>
      <c r="AG129" s="1"/>
      <c r="AH129" s="89"/>
      <c r="AI129" s="83"/>
      <c r="AJ129" s="1"/>
      <c r="AK129" s="89"/>
      <c r="AL129" s="83"/>
      <c r="AM129" s="1"/>
      <c r="AN129" s="89"/>
      <c r="AO129" s="83"/>
      <c r="AP129" s="1"/>
      <c r="AQ129" s="89"/>
      <c r="AR129" s="83"/>
      <c r="AS129" s="1"/>
      <c r="AT129" s="89"/>
      <c r="AU129" s="83"/>
      <c r="AV129" s="1"/>
      <c r="AW129" s="89"/>
      <c r="AX129" s="83"/>
      <c r="AY129" s="1"/>
      <c r="AZ129" s="89"/>
      <c r="BA129" s="83"/>
      <c r="BB129" s="1"/>
      <c r="BC129" s="89"/>
      <c r="BD129" s="83"/>
      <c r="BE129" s="1"/>
      <c r="BF129" s="89"/>
      <c r="BG129" s="83"/>
      <c r="BH129" s="1"/>
      <c r="BI129" s="89"/>
      <c r="BJ129" s="83"/>
      <c r="BK129" s="1"/>
      <c r="BL129" s="89"/>
      <c r="BM129" s="83"/>
      <c r="BN129" s="1"/>
      <c r="BO129" s="89"/>
      <c r="BP129" s="83"/>
      <c r="BQ129" s="1"/>
      <c r="BR129" s="89"/>
      <c r="BS129" s="83"/>
      <c r="BT129" s="1"/>
      <c r="BU129" s="89"/>
      <c r="BV129" s="83"/>
      <c r="BW129" s="1"/>
      <c r="BX129" s="89"/>
      <c r="BY129" s="83"/>
      <c r="BZ129" s="1"/>
      <c r="CA129" s="89"/>
      <c r="CB129" s="83"/>
      <c r="CC129" s="1"/>
      <c r="CD129" s="89"/>
      <c r="CE129" s="83"/>
      <c r="CF129" s="1"/>
      <c r="CG129" s="89"/>
      <c r="CH129" s="83"/>
      <c r="CI129" s="1"/>
      <c r="CJ129" s="89"/>
      <c r="CK129" s="83"/>
      <c r="CL129" s="1"/>
      <c r="CM129" s="89"/>
      <c r="CN129" s="83"/>
      <c r="CO129" s="1"/>
      <c r="CP129" s="89"/>
      <c r="CQ129" s="83"/>
      <c r="CR129" s="1"/>
      <c r="CS129" s="89"/>
      <c r="CT129" s="83"/>
      <c r="CU129" s="1"/>
      <c r="CV129" s="89"/>
      <c r="CW129" s="83"/>
      <c r="CX129" s="1"/>
      <c r="CY129" s="89"/>
    </row>
    <row r="130" spans="1:103" x14ac:dyDescent="0.3">
      <c r="A130" s="41">
        <v>2035</v>
      </c>
      <c r="B130" s="83"/>
      <c r="C130" s="1"/>
      <c r="D130" s="89"/>
      <c r="E130" s="1"/>
      <c r="F130" s="1"/>
      <c r="G130" s="89"/>
      <c r="H130" s="83"/>
      <c r="I130" s="1"/>
      <c r="J130" s="89"/>
      <c r="K130" s="83"/>
      <c r="L130" s="1"/>
      <c r="M130" s="89"/>
      <c r="N130" s="83"/>
      <c r="O130" s="1"/>
      <c r="P130" s="89"/>
      <c r="Q130" s="83"/>
      <c r="R130" s="1"/>
      <c r="S130" s="89"/>
      <c r="T130" s="83"/>
      <c r="U130" s="1"/>
      <c r="V130" s="89"/>
      <c r="W130" s="83"/>
      <c r="X130" s="1"/>
      <c r="Y130" s="89"/>
      <c r="Z130" s="83"/>
      <c r="AA130" s="1"/>
      <c r="AB130" s="89"/>
      <c r="AC130" s="83"/>
      <c r="AD130" s="1">
        <v>1459.4130621380532</v>
      </c>
      <c r="AE130" s="89"/>
      <c r="AF130" s="83">
        <v>2033.68</v>
      </c>
      <c r="AG130" s="1">
        <v>2299.6999999999998</v>
      </c>
      <c r="AH130" s="89">
        <v>2491.86</v>
      </c>
      <c r="AI130" s="83">
        <v>2044.1</v>
      </c>
      <c r="AJ130" s="1">
        <v>2373.1</v>
      </c>
      <c r="AK130" s="89">
        <v>2780</v>
      </c>
      <c r="AL130">
        <v>2096.1</v>
      </c>
      <c r="AM130">
        <v>2096.1</v>
      </c>
      <c r="AN130">
        <v>2096.1</v>
      </c>
      <c r="AO130" s="83"/>
      <c r="AP130" s="1"/>
      <c r="AQ130" s="89"/>
      <c r="AR130" s="83"/>
      <c r="AS130" s="1"/>
      <c r="AT130" s="89"/>
      <c r="AU130" s="83"/>
      <c r="AV130" s="1"/>
      <c r="AW130" s="89"/>
      <c r="AX130" s="83"/>
      <c r="AY130" s="1"/>
      <c r="AZ130" s="89"/>
      <c r="BA130" s="83"/>
      <c r="BB130" s="1"/>
      <c r="BC130" s="89"/>
      <c r="BD130" s="83"/>
      <c r="BE130" s="1"/>
      <c r="BF130" s="89"/>
      <c r="BG130" s="83"/>
      <c r="BH130" s="1"/>
      <c r="BI130" s="89"/>
      <c r="BJ130" s="83"/>
      <c r="BK130" s="1"/>
      <c r="BL130" s="89"/>
      <c r="BM130" s="83"/>
      <c r="BN130" s="1"/>
      <c r="BO130" s="89"/>
      <c r="BP130" s="83"/>
      <c r="BQ130" s="1"/>
      <c r="BR130" s="89"/>
      <c r="BS130" s="83"/>
      <c r="BT130" s="1"/>
      <c r="BU130" s="89"/>
      <c r="BV130" s="83"/>
      <c r="BW130" s="1"/>
      <c r="BX130" s="89"/>
      <c r="BY130" s="83"/>
      <c r="BZ130" s="1"/>
      <c r="CA130" s="89"/>
      <c r="CB130" s="83"/>
      <c r="CC130" s="1"/>
      <c r="CD130" s="89"/>
      <c r="CE130" s="83"/>
      <c r="CF130" s="1"/>
      <c r="CG130" s="89"/>
      <c r="CH130" s="83"/>
      <c r="CI130" s="1"/>
      <c r="CJ130" s="89"/>
      <c r="CK130" s="83"/>
      <c r="CL130" s="1"/>
      <c r="CM130" s="89"/>
      <c r="CN130" s="83"/>
      <c r="CO130" s="1"/>
      <c r="CP130" s="89"/>
      <c r="CQ130" s="83"/>
      <c r="CR130" s="1"/>
      <c r="CS130" s="89"/>
      <c r="CT130" s="83"/>
      <c r="CU130" s="1"/>
      <c r="CV130" s="89"/>
      <c r="CW130" s="83"/>
      <c r="CX130" s="1"/>
      <c r="CY130" s="89"/>
    </row>
    <row r="131" spans="1:103" x14ac:dyDescent="0.3">
      <c r="A131" s="41">
        <v>2036</v>
      </c>
      <c r="B131" s="83"/>
      <c r="C131" s="1"/>
      <c r="D131" s="89"/>
      <c r="E131" s="1"/>
      <c r="F131" s="1"/>
      <c r="G131" s="89"/>
      <c r="H131" s="83"/>
      <c r="I131" s="1"/>
      <c r="J131" s="89"/>
      <c r="K131" s="83"/>
      <c r="L131" s="1"/>
      <c r="M131" s="89"/>
      <c r="N131" s="83"/>
      <c r="O131" s="1"/>
      <c r="P131" s="89"/>
      <c r="Q131" s="83"/>
      <c r="R131" s="1"/>
      <c r="S131" s="89"/>
      <c r="T131" s="83"/>
      <c r="U131" s="1"/>
      <c r="V131" s="89"/>
      <c r="W131" s="83"/>
      <c r="X131" s="1"/>
      <c r="Y131" s="89"/>
      <c r="Z131" s="83"/>
      <c r="AA131" s="1"/>
      <c r="AB131" s="89"/>
      <c r="AC131" s="83"/>
      <c r="AD131" s="1"/>
      <c r="AE131" s="89"/>
      <c r="AF131" s="83"/>
      <c r="AG131" s="1"/>
      <c r="AH131" s="89"/>
      <c r="AI131" s="83"/>
      <c r="AJ131" s="1"/>
      <c r="AK131" s="89"/>
      <c r="AL131" s="83"/>
      <c r="AM131" s="1"/>
      <c r="AN131" s="89"/>
      <c r="AO131" s="83"/>
      <c r="AP131" s="1"/>
      <c r="AQ131" s="89"/>
      <c r="AR131" s="83"/>
      <c r="AS131" s="1"/>
      <c r="AT131" s="89"/>
      <c r="AU131" s="83"/>
      <c r="AV131" s="1"/>
      <c r="AW131" s="89"/>
      <c r="AX131" s="83"/>
      <c r="AY131" s="1"/>
      <c r="AZ131" s="89"/>
      <c r="BA131" s="83"/>
      <c r="BB131" s="1"/>
      <c r="BC131" s="89"/>
      <c r="BD131" s="83"/>
      <c r="BE131" s="1"/>
      <c r="BF131" s="89"/>
      <c r="BG131" s="83"/>
      <c r="BH131" s="1"/>
      <c r="BI131" s="89"/>
      <c r="BJ131" s="83"/>
      <c r="BK131" s="1"/>
      <c r="BL131" s="89"/>
      <c r="BM131" s="83"/>
      <c r="BN131" s="1"/>
      <c r="BO131" s="89"/>
      <c r="BP131" s="83"/>
      <c r="BQ131" s="1"/>
      <c r="BR131" s="89"/>
      <c r="BS131" s="83"/>
      <c r="BT131" s="1"/>
      <c r="BU131" s="89"/>
      <c r="BV131" s="83"/>
      <c r="BW131" s="1"/>
      <c r="BX131" s="89"/>
      <c r="BY131" s="83"/>
      <c r="BZ131" s="1"/>
      <c r="CA131" s="89"/>
      <c r="CB131" s="83"/>
      <c r="CC131" s="1"/>
      <c r="CD131" s="89"/>
      <c r="CE131" s="83"/>
      <c r="CF131" s="1"/>
      <c r="CG131" s="89"/>
      <c r="CH131" s="83"/>
      <c r="CI131" s="1"/>
      <c r="CJ131" s="89"/>
      <c r="CK131" s="83"/>
      <c r="CL131" s="1"/>
      <c r="CM131" s="89"/>
      <c r="CN131" s="83"/>
      <c r="CO131" s="1"/>
      <c r="CP131" s="89"/>
      <c r="CQ131" s="83"/>
      <c r="CR131" s="1"/>
      <c r="CS131" s="89"/>
      <c r="CT131" s="83"/>
      <c r="CU131" s="1"/>
      <c r="CV131" s="89"/>
      <c r="CW131" s="83"/>
      <c r="CX131" s="1"/>
      <c r="CY131" s="89"/>
    </row>
    <row r="132" spans="1:103" x14ac:dyDescent="0.3">
      <c r="A132" s="41">
        <v>2037</v>
      </c>
      <c r="B132" s="83"/>
      <c r="C132" s="1"/>
      <c r="D132" s="89"/>
      <c r="E132" s="1"/>
      <c r="F132" s="1"/>
      <c r="G132" s="89"/>
      <c r="H132" s="83"/>
      <c r="I132" s="1"/>
      <c r="J132" s="89"/>
      <c r="K132" s="83"/>
      <c r="L132" s="1"/>
      <c r="M132" s="89"/>
      <c r="N132" s="83"/>
      <c r="O132" s="1"/>
      <c r="P132" s="89"/>
      <c r="Q132" s="83"/>
      <c r="R132" s="1"/>
      <c r="S132" s="89"/>
      <c r="T132" s="83"/>
      <c r="U132" s="1"/>
      <c r="V132" s="89"/>
      <c r="W132" s="83"/>
      <c r="X132" s="1"/>
      <c r="Y132" s="89"/>
      <c r="Z132" s="83"/>
      <c r="AA132" s="1"/>
      <c r="AB132" s="89"/>
      <c r="AC132" s="83"/>
      <c r="AD132" s="1"/>
      <c r="AE132" s="89"/>
      <c r="AF132" s="83"/>
      <c r="AG132" s="1"/>
      <c r="AH132" s="89"/>
      <c r="AI132" s="83"/>
      <c r="AJ132" s="1"/>
      <c r="AK132" s="89"/>
      <c r="AL132" s="83"/>
      <c r="AM132" s="1"/>
      <c r="AN132" s="89"/>
      <c r="AO132" s="83"/>
      <c r="AP132" s="1"/>
      <c r="AQ132" s="89"/>
      <c r="AR132" s="83"/>
      <c r="AS132" s="1"/>
      <c r="AT132" s="89"/>
      <c r="AU132" s="83"/>
      <c r="AV132" s="1"/>
      <c r="AW132" s="89"/>
      <c r="AX132" s="83"/>
      <c r="AY132" s="1"/>
      <c r="AZ132" s="89"/>
      <c r="BA132" s="83"/>
      <c r="BB132" s="1"/>
      <c r="BC132" s="89"/>
      <c r="BD132" s="83"/>
      <c r="BE132" s="1"/>
      <c r="BF132" s="89"/>
      <c r="BG132" s="83"/>
      <c r="BH132" s="1"/>
      <c r="BI132" s="89"/>
      <c r="BJ132" s="83"/>
      <c r="BK132" s="1"/>
      <c r="BL132" s="89"/>
      <c r="BM132" s="83"/>
      <c r="BN132" s="1"/>
      <c r="BO132" s="89"/>
      <c r="BP132" s="83"/>
      <c r="BQ132" s="1"/>
      <c r="BR132" s="89"/>
      <c r="BS132" s="83"/>
      <c r="BT132" s="1"/>
      <c r="BU132" s="89"/>
      <c r="BV132" s="83"/>
      <c r="BW132" s="1"/>
      <c r="BX132" s="89"/>
      <c r="BY132" s="83"/>
      <c r="BZ132" s="1"/>
      <c r="CA132" s="89"/>
      <c r="CB132" s="83"/>
      <c r="CC132" s="1"/>
      <c r="CD132" s="89"/>
      <c r="CE132" s="83"/>
      <c r="CF132" s="1"/>
      <c r="CG132" s="89"/>
      <c r="CH132" s="83"/>
      <c r="CI132" s="1"/>
      <c r="CJ132" s="89"/>
      <c r="CK132" s="83"/>
      <c r="CL132" s="1"/>
      <c r="CM132" s="89"/>
      <c r="CN132" s="83"/>
      <c r="CO132" s="1"/>
      <c r="CP132" s="89"/>
      <c r="CQ132" s="83"/>
      <c r="CR132" s="1"/>
      <c r="CS132" s="89"/>
      <c r="CT132" s="83"/>
      <c r="CU132" s="1"/>
      <c r="CV132" s="89"/>
      <c r="CW132" s="83"/>
      <c r="CX132" s="1"/>
      <c r="CY132" s="89"/>
    </row>
    <row r="133" spans="1:103" x14ac:dyDescent="0.3">
      <c r="A133" s="41">
        <v>2038</v>
      </c>
      <c r="B133" s="83"/>
      <c r="C133" s="1"/>
      <c r="D133" s="89"/>
      <c r="E133" s="1"/>
      <c r="F133" s="1"/>
      <c r="G133" s="89"/>
      <c r="H133" s="83"/>
      <c r="I133" s="1"/>
      <c r="J133" s="89"/>
      <c r="K133" s="83"/>
      <c r="L133" s="1"/>
      <c r="M133" s="89"/>
      <c r="N133" s="83"/>
      <c r="O133" s="1"/>
      <c r="P133" s="89"/>
      <c r="Q133" s="83"/>
      <c r="R133" s="1"/>
      <c r="S133" s="89"/>
      <c r="T133" s="83"/>
      <c r="U133" s="1"/>
      <c r="V133" s="89"/>
      <c r="W133" s="83"/>
      <c r="X133" s="1"/>
      <c r="Y133" s="89"/>
      <c r="Z133" s="83"/>
      <c r="AA133" s="1"/>
      <c r="AB133" s="89"/>
      <c r="AC133" s="83"/>
      <c r="AD133" s="1"/>
      <c r="AE133" s="89"/>
      <c r="AF133" s="83"/>
      <c r="AG133" s="1"/>
      <c r="AH133" s="89"/>
      <c r="AI133" s="83"/>
      <c r="AJ133" s="1"/>
      <c r="AK133" s="89"/>
      <c r="AL133" s="83"/>
      <c r="AM133" s="1"/>
      <c r="AN133" s="89"/>
      <c r="AO133" s="83"/>
      <c r="AP133" s="1"/>
      <c r="AQ133" s="89"/>
      <c r="AR133" s="83"/>
      <c r="AS133" s="1"/>
      <c r="AT133" s="89"/>
      <c r="AU133" s="83"/>
      <c r="AV133" s="1"/>
      <c r="AW133" s="89"/>
      <c r="AX133" s="83"/>
      <c r="AZ133" s="89"/>
      <c r="BA133" s="83"/>
      <c r="BB133" s="1"/>
      <c r="BC133" s="89"/>
      <c r="BD133" s="83"/>
      <c r="BE133" s="1"/>
      <c r="BF133" s="89"/>
      <c r="BG133" s="83"/>
      <c r="BH133" s="1"/>
      <c r="BI133" s="89"/>
      <c r="BJ133" s="83"/>
      <c r="BK133" s="1"/>
      <c r="BL133" s="89"/>
      <c r="BM133" s="83"/>
      <c r="BN133" s="1"/>
      <c r="BO133" s="89"/>
      <c r="BP133" s="83"/>
      <c r="BQ133" s="1"/>
      <c r="BR133" s="89"/>
      <c r="BS133" s="83"/>
      <c r="BT133" s="1"/>
      <c r="BU133" s="89"/>
      <c r="BV133" s="83"/>
      <c r="BW133" s="1"/>
      <c r="BX133" s="89"/>
      <c r="BY133" s="83"/>
      <c r="BZ133" s="1"/>
      <c r="CA133" s="89"/>
      <c r="CB133" s="83"/>
      <c r="CC133" s="1"/>
      <c r="CD133" s="89"/>
      <c r="CE133" s="83"/>
      <c r="CF133" s="1"/>
      <c r="CG133" s="89"/>
      <c r="CH133" s="83"/>
      <c r="CI133" s="1"/>
      <c r="CJ133" s="89"/>
      <c r="CK133" s="83"/>
      <c r="CL133" s="1"/>
      <c r="CM133" s="89"/>
      <c r="CN133" s="83"/>
      <c r="CO133" s="1"/>
      <c r="CP133" s="89"/>
      <c r="CQ133" s="83"/>
      <c r="CR133" s="1"/>
      <c r="CS133" s="89"/>
      <c r="CT133" s="83"/>
      <c r="CU133" s="1"/>
      <c r="CV133" s="89"/>
      <c r="CW133" s="83"/>
      <c r="CX133" s="1"/>
      <c r="CY133" s="89"/>
    </row>
    <row r="134" spans="1:103" x14ac:dyDescent="0.3">
      <c r="A134" s="41">
        <v>2039</v>
      </c>
      <c r="B134" s="83"/>
      <c r="C134" s="1"/>
      <c r="D134" s="89"/>
      <c r="E134" s="1"/>
      <c r="F134" s="1"/>
      <c r="G134" s="89"/>
      <c r="H134" s="83"/>
      <c r="I134" s="1"/>
      <c r="J134" s="89"/>
      <c r="K134" s="83"/>
      <c r="L134" s="1"/>
      <c r="M134" s="89"/>
      <c r="N134" s="83"/>
      <c r="O134" s="1"/>
      <c r="P134" s="89"/>
      <c r="Q134" s="83"/>
      <c r="R134" s="1"/>
      <c r="S134" s="89"/>
      <c r="T134" s="83"/>
      <c r="U134" s="1"/>
      <c r="V134" s="89"/>
      <c r="W134" s="83"/>
      <c r="X134" s="1"/>
      <c r="Y134" s="89"/>
      <c r="Z134" s="83"/>
      <c r="AA134" s="1"/>
      <c r="AB134" s="89"/>
      <c r="AC134" s="83"/>
      <c r="AD134" s="1"/>
      <c r="AE134" s="89"/>
      <c r="AF134" s="83"/>
      <c r="AG134" s="1"/>
      <c r="AH134" s="89"/>
      <c r="AI134" s="83"/>
      <c r="AJ134" s="1"/>
      <c r="AK134" s="89"/>
      <c r="AL134" s="83"/>
      <c r="AM134" s="1"/>
      <c r="AN134" s="89"/>
      <c r="AO134" s="83"/>
      <c r="AP134" s="1"/>
      <c r="AQ134" s="89"/>
      <c r="AR134" s="83"/>
      <c r="AS134" s="1"/>
      <c r="AT134" s="89"/>
      <c r="AU134" s="83"/>
      <c r="AV134" s="1"/>
      <c r="AW134" s="89"/>
      <c r="AX134" s="83"/>
      <c r="AZ134" s="89"/>
      <c r="BA134" s="83"/>
      <c r="BB134" s="1"/>
      <c r="BC134" s="89"/>
      <c r="BD134" s="83"/>
      <c r="BE134" s="1"/>
      <c r="BF134" s="89"/>
      <c r="BG134" s="83"/>
      <c r="BH134" s="1"/>
      <c r="BI134" s="89"/>
      <c r="BJ134" s="83"/>
      <c r="BK134" s="1"/>
      <c r="BL134" s="89"/>
      <c r="BM134" s="83"/>
      <c r="BN134" s="1"/>
      <c r="BO134" s="89"/>
      <c r="BP134" s="83"/>
      <c r="BQ134" s="1"/>
      <c r="BR134" s="89"/>
      <c r="BS134" s="83"/>
      <c r="BT134" s="1"/>
      <c r="BU134" s="89"/>
      <c r="BV134" s="83"/>
      <c r="BW134" s="1"/>
      <c r="BX134" s="89"/>
      <c r="BY134" s="83"/>
      <c r="BZ134" s="1"/>
      <c r="CA134" s="89"/>
      <c r="CB134" s="83"/>
      <c r="CC134" s="1"/>
      <c r="CD134" s="89"/>
      <c r="CE134" s="83"/>
      <c r="CF134" s="1"/>
      <c r="CG134" s="89"/>
      <c r="CH134" s="83"/>
      <c r="CI134" s="1"/>
      <c r="CJ134" s="89"/>
      <c r="CK134" s="83"/>
      <c r="CL134" s="1"/>
      <c r="CM134" s="89"/>
      <c r="CN134" s="83"/>
      <c r="CO134" s="1"/>
      <c r="CP134" s="89"/>
      <c r="CQ134" s="83"/>
      <c r="CR134" s="1"/>
      <c r="CS134" s="89"/>
      <c r="CT134" s="83"/>
      <c r="CU134" s="1"/>
      <c r="CV134" s="89"/>
      <c r="CW134" s="83"/>
      <c r="CX134" s="1"/>
      <c r="CY134" s="89"/>
    </row>
    <row r="135" spans="1:103" x14ac:dyDescent="0.3">
      <c r="A135" s="41">
        <v>2040</v>
      </c>
      <c r="B135" s="83"/>
      <c r="C135" s="1"/>
      <c r="D135" s="89"/>
      <c r="E135" s="1"/>
      <c r="F135" s="1"/>
      <c r="G135" s="89"/>
      <c r="H135" s="83"/>
      <c r="I135" s="1"/>
      <c r="J135" s="89"/>
      <c r="K135" s="83"/>
      <c r="L135" s="1"/>
      <c r="M135" s="89"/>
      <c r="N135" s="83"/>
      <c r="O135" s="1"/>
      <c r="P135" s="89"/>
      <c r="Q135" s="83"/>
      <c r="R135" s="1"/>
      <c r="S135" s="89"/>
      <c r="T135" s="83"/>
      <c r="U135" s="1"/>
      <c r="V135" s="89"/>
      <c r="W135" s="83"/>
      <c r="X135" s="1"/>
      <c r="Y135" s="89"/>
      <c r="Z135" s="83"/>
      <c r="AA135" s="1"/>
      <c r="AB135" s="89"/>
      <c r="AC135" s="83"/>
      <c r="AD135" s="1"/>
      <c r="AE135" s="89"/>
      <c r="AF135" s="83"/>
      <c r="AG135" s="1"/>
      <c r="AH135" s="89"/>
      <c r="AI135" s="83"/>
      <c r="AJ135" s="1"/>
      <c r="AK135" s="89"/>
      <c r="AL135" s="83"/>
      <c r="AM135" s="1"/>
      <c r="AN135" s="89"/>
      <c r="AO135" s="83">
        <v>1782.6923076923078</v>
      </c>
      <c r="AP135" s="1">
        <v>2271.3822894168466</v>
      </c>
      <c r="AQ135" s="89">
        <v>3290.6250000000005</v>
      </c>
      <c r="AR135" s="83">
        <v>528</v>
      </c>
      <c r="AS135" s="1">
        <v>800.18076178179479</v>
      </c>
      <c r="AT135" s="89">
        <v>967.75280898876417</v>
      </c>
      <c r="AU135" s="83">
        <v>1320</v>
      </c>
      <c r="AV135" s="1">
        <v>1848</v>
      </c>
      <c r="AW135" s="89">
        <v>3300</v>
      </c>
      <c r="AX135" s="83"/>
      <c r="AY135">
        <v>3384.6924489795915</v>
      </c>
      <c r="AZ135" s="89"/>
      <c r="BA135" s="83">
        <v>1341.6000000000001</v>
      </c>
      <c r="BB135" s="1">
        <v>1741.5</v>
      </c>
      <c r="BC135" s="89">
        <v>2193</v>
      </c>
      <c r="BD135" s="83">
        <v>1461.6</v>
      </c>
      <c r="BE135" s="1">
        <v>1757.7</v>
      </c>
      <c r="BF135" s="89">
        <v>2217.6</v>
      </c>
      <c r="BG135" s="83">
        <v>1254.5999999999999</v>
      </c>
      <c r="BH135" s="1">
        <v>1512.9</v>
      </c>
      <c r="BI135" s="89">
        <v>1771.2</v>
      </c>
      <c r="BJ135" s="83">
        <v>1205.4000000000001</v>
      </c>
      <c r="BK135" s="1">
        <v>1463.7</v>
      </c>
      <c r="BL135" s="89">
        <v>1722</v>
      </c>
      <c r="BM135" s="83"/>
      <c r="BN135" s="1"/>
      <c r="BO135" s="89"/>
      <c r="BP135" s="83"/>
      <c r="BQ135" s="1"/>
      <c r="BR135" s="89"/>
      <c r="BS135" s="83"/>
      <c r="BT135" s="1"/>
      <c r="BU135" s="89"/>
      <c r="BV135" s="83"/>
      <c r="BW135" s="1"/>
      <c r="BX135" s="89"/>
      <c r="BY135" s="83"/>
      <c r="BZ135" s="1"/>
      <c r="CA135" s="89"/>
      <c r="CB135" s="83"/>
      <c r="CC135" s="1"/>
      <c r="CD135" s="89"/>
      <c r="CE135" s="83"/>
      <c r="CF135" s="1"/>
      <c r="CG135" s="89"/>
      <c r="CH135" s="83"/>
      <c r="CI135" s="1"/>
      <c r="CJ135" s="89"/>
      <c r="CK135" s="83"/>
      <c r="CL135" s="1"/>
      <c r="CM135" s="89"/>
      <c r="CN135" s="83"/>
      <c r="CO135" s="1"/>
      <c r="CP135" s="89"/>
      <c r="CQ135" s="83"/>
      <c r="CR135" s="1"/>
      <c r="CS135" s="89"/>
      <c r="CT135" s="83"/>
      <c r="CU135" s="1"/>
      <c r="CV135" s="89"/>
      <c r="CW135" s="83"/>
      <c r="CX135" s="1"/>
      <c r="CY135" s="89"/>
    </row>
    <row r="136" spans="1:103" x14ac:dyDescent="0.3">
      <c r="A136" s="41">
        <v>2041</v>
      </c>
      <c r="B136" s="83"/>
      <c r="C136" s="1"/>
      <c r="D136" s="89"/>
      <c r="E136" s="1"/>
      <c r="F136" s="1"/>
      <c r="G136" s="89"/>
      <c r="H136" s="83"/>
      <c r="I136" s="1"/>
      <c r="J136" s="89"/>
      <c r="K136" s="83"/>
      <c r="L136" s="1"/>
      <c r="M136" s="89"/>
      <c r="N136" s="83"/>
      <c r="O136" s="1"/>
      <c r="P136" s="89"/>
      <c r="Q136" s="83"/>
      <c r="R136" s="1"/>
      <c r="S136" s="89"/>
      <c r="T136" s="83"/>
      <c r="U136" s="1"/>
      <c r="V136" s="89"/>
      <c r="W136" s="83"/>
      <c r="X136" s="1"/>
      <c r="Y136" s="89"/>
      <c r="Z136" s="83"/>
      <c r="AA136" s="1"/>
      <c r="AB136" s="89"/>
      <c r="AC136" s="83"/>
      <c r="AD136" s="1"/>
      <c r="AE136" s="89"/>
      <c r="AF136" s="83"/>
      <c r="AG136" s="1"/>
      <c r="AH136" s="89"/>
      <c r="AI136" s="83"/>
      <c r="AJ136" s="1"/>
      <c r="AK136" s="89"/>
      <c r="AL136" s="83"/>
      <c r="AM136" s="1"/>
      <c r="AN136" s="89"/>
      <c r="AO136" s="83"/>
      <c r="AP136" s="1"/>
      <c r="AQ136" s="89"/>
      <c r="AR136" s="83"/>
      <c r="AS136" s="1"/>
      <c r="AT136" s="89"/>
      <c r="AU136" s="83"/>
      <c r="AV136" s="1"/>
      <c r="AW136" s="89"/>
      <c r="AX136" s="83"/>
      <c r="AY136" s="1"/>
      <c r="AZ136" s="89"/>
      <c r="BA136" s="83"/>
      <c r="BB136" s="1"/>
      <c r="BC136" s="89"/>
      <c r="BD136" s="83"/>
      <c r="BE136" s="1"/>
      <c r="BF136" s="89"/>
      <c r="BG136" s="83"/>
      <c r="BH136" s="1"/>
      <c r="BI136" s="89"/>
      <c r="BJ136" s="83"/>
      <c r="BK136" s="1"/>
      <c r="BL136" s="89"/>
      <c r="BM136" s="83"/>
      <c r="BN136" s="1"/>
      <c r="BO136" s="89"/>
      <c r="BP136" s="83"/>
      <c r="BQ136" s="1"/>
      <c r="BR136" s="89"/>
      <c r="BS136" s="83"/>
      <c r="BT136" s="1"/>
      <c r="BU136" s="89"/>
      <c r="BV136" s="83"/>
      <c r="BW136" s="1"/>
      <c r="BX136" s="89"/>
      <c r="BY136" s="83"/>
      <c r="BZ136" s="1"/>
      <c r="CA136" s="89"/>
      <c r="CB136" s="83"/>
      <c r="CC136" s="1"/>
      <c r="CD136" s="89"/>
      <c r="CE136" s="83"/>
      <c r="CF136" s="1"/>
      <c r="CG136" s="89"/>
      <c r="CH136" s="83"/>
      <c r="CI136" s="1"/>
      <c r="CJ136" s="89"/>
      <c r="CK136" s="83"/>
      <c r="CL136" s="1"/>
      <c r="CM136" s="89"/>
      <c r="CN136" s="83"/>
      <c r="CO136" s="1"/>
      <c r="CP136" s="89"/>
      <c r="CQ136" s="83"/>
      <c r="CR136" s="1"/>
      <c r="CS136" s="89"/>
      <c r="CT136" s="83"/>
      <c r="CU136" s="1"/>
      <c r="CV136" s="89"/>
      <c r="CW136" s="83"/>
      <c r="CX136" s="1"/>
      <c r="CY136" s="89"/>
    </row>
    <row r="137" spans="1:103" x14ac:dyDescent="0.3">
      <c r="A137" s="41">
        <v>2042</v>
      </c>
      <c r="B137" s="83"/>
      <c r="C137" s="1"/>
      <c r="D137" s="89"/>
      <c r="E137" s="1"/>
      <c r="F137" s="1"/>
      <c r="G137" s="89"/>
      <c r="H137" s="83"/>
      <c r="I137" s="1"/>
      <c r="J137" s="89"/>
      <c r="K137" s="83"/>
      <c r="L137" s="1"/>
      <c r="M137" s="89"/>
      <c r="N137" s="83"/>
      <c r="O137" s="1"/>
      <c r="P137" s="89"/>
      <c r="Q137" s="83"/>
      <c r="R137" s="1"/>
      <c r="S137" s="89"/>
      <c r="T137" s="83"/>
      <c r="U137" s="1"/>
      <c r="V137" s="89"/>
      <c r="W137" s="83"/>
      <c r="X137" s="1"/>
      <c r="Y137" s="89"/>
      <c r="Z137" s="83"/>
      <c r="AA137" s="1"/>
      <c r="AB137" s="89"/>
      <c r="AC137" s="83"/>
      <c r="AD137" s="1"/>
      <c r="AE137" s="89"/>
      <c r="AF137" s="83"/>
      <c r="AG137" s="1"/>
      <c r="AH137" s="89"/>
      <c r="AI137" s="83"/>
      <c r="AJ137" s="1"/>
      <c r="AK137" s="89"/>
      <c r="AL137" s="83"/>
      <c r="AM137" s="1"/>
      <c r="AN137" s="89"/>
      <c r="AO137" s="83"/>
      <c r="AP137" s="1"/>
      <c r="AQ137" s="89"/>
      <c r="AR137" s="83"/>
      <c r="AS137" s="1"/>
      <c r="AT137" s="89"/>
      <c r="AU137" s="83"/>
      <c r="AV137" s="1"/>
      <c r="AW137" s="89"/>
      <c r="AX137" s="83"/>
      <c r="AY137" s="1"/>
      <c r="AZ137" s="89"/>
      <c r="BA137" s="83"/>
      <c r="BB137" s="1"/>
      <c r="BC137" s="89"/>
      <c r="BD137" s="83"/>
      <c r="BE137" s="1"/>
      <c r="BF137" s="89"/>
      <c r="BG137" s="83"/>
      <c r="BH137" s="1"/>
      <c r="BI137" s="89"/>
      <c r="BJ137" s="83"/>
      <c r="BK137" s="1"/>
      <c r="BL137" s="89"/>
      <c r="BM137" s="83"/>
      <c r="BN137" s="1"/>
      <c r="BO137" s="89"/>
      <c r="BP137" s="83"/>
      <c r="BQ137" s="1"/>
      <c r="BR137" s="89"/>
      <c r="BS137" s="83"/>
      <c r="BT137" s="1"/>
      <c r="BU137" s="89"/>
      <c r="BV137" s="83"/>
      <c r="BW137" s="1"/>
      <c r="BX137" s="89"/>
      <c r="BY137" s="83"/>
      <c r="BZ137" s="1"/>
      <c r="CA137" s="89"/>
      <c r="CB137" s="83"/>
      <c r="CC137" s="1"/>
      <c r="CD137" s="89"/>
      <c r="CE137" s="83"/>
      <c r="CF137" s="1"/>
      <c r="CG137" s="89"/>
      <c r="CH137" s="83"/>
      <c r="CI137" s="1"/>
      <c r="CJ137" s="89"/>
      <c r="CK137" s="83"/>
      <c r="CL137" s="1"/>
      <c r="CM137" s="89"/>
      <c r="CN137" s="83"/>
      <c r="CO137" s="1"/>
      <c r="CP137" s="89"/>
      <c r="CQ137" s="83"/>
      <c r="CR137" s="1"/>
      <c r="CS137" s="89"/>
      <c r="CT137" s="83"/>
      <c r="CU137" s="1"/>
      <c r="CV137" s="89"/>
      <c r="CW137" s="83"/>
      <c r="CX137" s="1"/>
      <c r="CY137" s="89"/>
    </row>
    <row r="138" spans="1:103" x14ac:dyDescent="0.3">
      <c r="A138" s="41">
        <v>2043</v>
      </c>
      <c r="B138" s="83"/>
      <c r="C138" s="1"/>
      <c r="D138" s="89"/>
      <c r="E138" s="1"/>
      <c r="F138" s="1"/>
      <c r="G138" s="89"/>
      <c r="H138" s="83"/>
      <c r="I138" s="1"/>
      <c r="J138" s="89"/>
      <c r="K138" s="83"/>
      <c r="L138" s="1"/>
      <c r="M138" s="89"/>
      <c r="N138" s="83"/>
      <c r="O138" s="1"/>
      <c r="P138" s="89"/>
      <c r="Q138" s="83"/>
      <c r="R138" s="1"/>
      <c r="S138" s="89"/>
      <c r="T138" s="83"/>
      <c r="U138" s="1"/>
      <c r="V138" s="89"/>
      <c r="W138" s="83"/>
      <c r="X138" s="1"/>
      <c r="Y138" s="89"/>
      <c r="Z138" s="83"/>
      <c r="AA138" s="1"/>
      <c r="AB138" s="89"/>
      <c r="AC138" s="83"/>
      <c r="AD138" s="1"/>
      <c r="AE138" s="89"/>
      <c r="AF138" s="83"/>
      <c r="AG138" s="1"/>
      <c r="AH138" s="89"/>
      <c r="AI138" s="83"/>
      <c r="AJ138" s="1"/>
      <c r="AK138" s="89"/>
      <c r="AL138" s="83"/>
      <c r="AM138" s="1"/>
      <c r="AN138" s="89"/>
      <c r="AO138" s="83"/>
      <c r="AP138" s="1"/>
      <c r="AQ138" s="89"/>
      <c r="AR138" s="83"/>
      <c r="AS138" s="1"/>
      <c r="AT138" s="89"/>
      <c r="AU138" s="83"/>
      <c r="AV138" s="1"/>
      <c r="AW138" s="89"/>
      <c r="AX138" s="83"/>
      <c r="AY138" s="1"/>
      <c r="AZ138" s="89"/>
      <c r="BA138" s="83"/>
      <c r="BB138" s="1"/>
      <c r="BC138" s="89"/>
      <c r="BD138" s="83"/>
      <c r="BE138" s="1"/>
      <c r="BF138" s="89"/>
      <c r="BG138" s="83"/>
      <c r="BH138" s="1"/>
      <c r="BI138" s="89"/>
      <c r="BJ138" s="83"/>
      <c r="BK138" s="1"/>
      <c r="BL138" s="89"/>
      <c r="BM138" s="83"/>
      <c r="BN138" s="1"/>
      <c r="BO138" s="89"/>
      <c r="BP138" s="83"/>
      <c r="BQ138" s="1"/>
      <c r="BR138" s="89"/>
      <c r="BS138" s="83"/>
      <c r="BT138" s="1"/>
      <c r="BU138" s="89"/>
      <c r="BV138" s="83"/>
      <c r="BW138" s="1"/>
      <c r="BX138" s="89"/>
      <c r="BY138" s="83"/>
      <c r="BZ138" s="1"/>
      <c r="CA138" s="89"/>
      <c r="CB138" s="83"/>
      <c r="CC138" s="1"/>
      <c r="CD138" s="89"/>
      <c r="CE138" s="83"/>
      <c r="CF138" s="1"/>
      <c r="CG138" s="89"/>
      <c r="CH138" s="83"/>
      <c r="CI138" s="1"/>
      <c r="CJ138" s="89"/>
      <c r="CK138" s="83"/>
      <c r="CL138" s="1"/>
      <c r="CM138" s="89"/>
      <c r="CN138" s="83"/>
      <c r="CO138" s="1"/>
      <c r="CP138" s="89"/>
      <c r="CQ138" s="83"/>
      <c r="CR138" s="1"/>
      <c r="CS138" s="89"/>
      <c r="CT138" s="83"/>
      <c r="CU138" s="1"/>
      <c r="CV138" s="89"/>
      <c r="CW138" s="83"/>
      <c r="CX138" s="1"/>
      <c r="CY138" s="89"/>
    </row>
    <row r="139" spans="1:103" x14ac:dyDescent="0.3">
      <c r="A139" s="41">
        <v>2044</v>
      </c>
      <c r="B139" s="83"/>
      <c r="C139" s="1"/>
      <c r="D139" s="89"/>
      <c r="E139" s="1"/>
      <c r="F139" s="1"/>
      <c r="G139" s="89"/>
      <c r="H139" s="83"/>
      <c r="I139" s="1"/>
      <c r="J139" s="89"/>
      <c r="K139" s="83"/>
      <c r="L139" s="1"/>
      <c r="M139" s="89"/>
      <c r="N139" s="83"/>
      <c r="O139" s="1"/>
      <c r="P139" s="89"/>
      <c r="Q139" s="83"/>
      <c r="R139" s="1"/>
      <c r="S139" s="89"/>
      <c r="T139" s="83"/>
      <c r="U139" s="1"/>
      <c r="V139" s="89"/>
      <c r="W139" s="83"/>
      <c r="X139" s="1"/>
      <c r="Y139" s="89"/>
      <c r="Z139" s="83"/>
      <c r="AA139" s="1"/>
      <c r="AB139" s="89"/>
      <c r="AC139" s="83"/>
      <c r="AD139" s="1"/>
      <c r="AE139" s="89"/>
      <c r="AF139" s="83"/>
      <c r="AG139" s="1"/>
      <c r="AH139" s="89"/>
      <c r="AI139" s="83"/>
      <c r="AJ139" s="1"/>
      <c r="AK139" s="89"/>
      <c r="AL139" s="83"/>
      <c r="AM139" s="1"/>
      <c r="AN139" s="89"/>
      <c r="AO139" s="83"/>
      <c r="AP139" s="1"/>
      <c r="AQ139" s="89"/>
      <c r="AR139" s="83"/>
      <c r="AS139" s="1"/>
      <c r="AT139" s="89"/>
      <c r="AU139" s="83"/>
      <c r="AV139" s="1"/>
      <c r="AW139" s="89"/>
      <c r="AX139" s="83"/>
      <c r="AY139" s="1"/>
      <c r="AZ139" s="89"/>
      <c r="BA139" s="83"/>
      <c r="BB139" s="1"/>
      <c r="BC139" s="89"/>
      <c r="BD139" s="83"/>
      <c r="BE139" s="1"/>
      <c r="BF139" s="89"/>
      <c r="BG139" s="83"/>
      <c r="BH139" s="1"/>
      <c r="BI139" s="89"/>
      <c r="BJ139" s="83"/>
      <c r="BK139" s="1"/>
      <c r="BL139" s="89"/>
      <c r="BM139" s="83"/>
      <c r="BN139" s="1"/>
      <c r="BO139" s="89"/>
      <c r="BP139" s="83"/>
      <c r="BQ139" s="1"/>
      <c r="BR139" s="89"/>
      <c r="BS139" s="83"/>
      <c r="BT139" s="1"/>
      <c r="BU139" s="89"/>
      <c r="BV139" s="83"/>
      <c r="BW139" s="1"/>
      <c r="BX139" s="89"/>
      <c r="BY139" s="83"/>
      <c r="BZ139" s="1"/>
      <c r="CA139" s="89"/>
      <c r="CB139" s="83"/>
      <c r="CC139" s="1"/>
      <c r="CD139" s="89"/>
      <c r="CE139" s="83"/>
      <c r="CF139" s="1"/>
      <c r="CG139" s="89"/>
      <c r="CH139" s="83"/>
      <c r="CI139" s="1"/>
      <c r="CJ139" s="89"/>
      <c r="CK139" s="83"/>
      <c r="CL139" s="1"/>
      <c r="CM139" s="89"/>
      <c r="CN139" s="83"/>
      <c r="CO139" s="1"/>
      <c r="CP139" s="89"/>
      <c r="CQ139" s="83"/>
      <c r="CR139" s="1"/>
      <c r="CS139" s="89"/>
      <c r="CT139" s="83"/>
      <c r="CU139" s="1"/>
      <c r="CV139" s="89"/>
      <c r="CW139" s="83"/>
      <c r="CX139" s="1"/>
      <c r="CY139" s="89"/>
    </row>
    <row r="140" spans="1:103" x14ac:dyDescent="0.3">
      <c r="A140" s="41">
        <v>2045</v>
      </c>
      <c r="B140" s="83"/>
      <c r="C140" s="1"/>
      <c r="D140" s="89"/>
      <c r="E140" s="1"/>
      <c r="F140" s="1"/>
      <c r="G140" s="89"/>
      <c r="H140" s="83"/>
      <c r="I140" s="1"/>
      <c r="J140" s="89"/>
      <c r="K140" s="83"/>
      <c r="L140" s="1"/>
      <c r="M140" s="89"/>
      <c r="N140" s="83"/>
      <c r="O140" s="1"/>
      <c r="P140" s="89"/>
      <c r="Q140" s="83"/>
      <c r="R140" s="1"/>
      <c r="S140" s="89"/>
      <c r="T140" s="83"/>
      <c r="U140" s="1"/>
      <c r="V140" s="89"/>
      <c r="W140" s="83"/>
      <c r="X140" s="1"/>
      <c r="Y140" s="89"/>
      <c r="Z140" s="83"/>
      <c r="AA140" s="1"/>
      <c r="AB140" s="89"/>
      <c r="AC140" s="83"/>
      <c r="AD140" s="1"/>
      <c r="AE140" s="89"/>
      <c r="AF140" s="83"/>
      <c r="AG140" s="1"/>
      <c r="AH140" s="89"/>
      <c r="AI140" s="83"/>
      <c r="AJ140" s="1"/>
      <c r="AK140" s="89"/>
      <c r="AL140" s="83"/>
      <c r="AM140" s="1"/>
      <c r="AN140" s="89"/>
      <c r="AO140" s="83"/>
      <c r="AP140" s="1"/>
      <c r="AQ140" s="89"/>
      <c r="AR140" s="83"/>
      <c r="AS140" s="1"/>
      <c r="AT140" s="89"/>
      <c r="AU140" s="83"/>
      <c r="AV140" s="1"/>
      <c r="AW140" s="89"/>
      <c r="AX140" s="83"/>
      <c r="AY140" s="1"/>
      <c r="AZ140" s="89"/>
      <c r="BA140" s="83"/>
      <c r="BB140" s="1"/>
      <c r="BC140" s="89"/>
      <c r="BD140" s="83"/>
      <c r="BE140" s="1"/>
      <c r="BF140" s="89"/>
      <c r="BG140" s="83"/>
      <c r="BH140" s="1"/>
      <c r="BI140" s="89"/>
      <c r="BJ140" s="83"/>
      <c r="BK140" s="1"/>
      <c r="BL140" s="89"/>
      <c r="BM140" s="83"/>
      <c r="BN140" s="1"/>
      <c r="BO140" s="89"/>
      <c r="BP140" s="83"/>
      <c r="BQ140" s="1"/>
      <c r="BR140" s="89"/>
      <c r="BS140" s="83"/>
      <c r="BT140" s="1"/>
      <c r="BU140" s="89"/>
      <c r="BV140" s="83"/>
      <c r="BW140" s="1"/>
      <c r="BX140" s="89"/>
      <c r="BY140" s="83"/>
      <c r="BZ140" s="1"/>
      <c r="CA140" s="89"/>
      <c r="CB140" s="83"/>
      <c r="CC140" s="1"/>
      <c r="CD140" s="89"/>
      <c r="CE140" s="83"/>
      <c r="CF140" s="1"/>
      <c r="CG140" s="89"/>
      <c r="CH140" s="83"/>
      <c r="CI140" s="1"/>
      <c r="CJ140" s="89"/>
      <c r="CK140" s="83"/>
      <c r="CL140" s="1"/>
      <c r="CM140" s="89"/>
      <c r="CN140" s="83"/>
      <c r="CO140" s="1"/>
      <c r="CP140" s="89"/>
      <c r="CQ140" s="83"/>
      <c r="CR140" s="1"/>
      <c r="CS140" s="89"/>
      <c r="CT140" s="83"/>
      <c r="CU140" s="1"/>
      <c r="CV140" s="89"/>
      <c r="CW140" s="83"/>
      <c r="CX140" s="1"/>
      <c r="CY140" s="89"/>
    </row>
    <row r="141" spans="1:103" x14ac:dyDescent="0.3">
      <c r="A141" s="41">
        <v>2046</v>
      </c>
      <c r="B141" s="83"/>
      <c r="C141" s="1"/>
      <c r="D141" s="89"/>
      <c r="E141" s="1"/>
      <c r="F141" s="1"/>
      <c r="G141" s="89"/>
      <c r="H141" s="83"/>
      <c r="I141" s="1"/>
      <c r="J141" s="89"/>
      <c r="K141" s="83"/>
      <c r="L141" s="1"/>
      <c r="M141" s="89"/>
      <c r="N141" s="83"/>
      <c r="O141" s="1"/>
      <c r="P141" s="89"/>
      <c r="Q141" s="83"/>
      <c r="R141" s="1"/>
      <c r="S141" s="89"/>
      <c r="T141" s="83"/>
      <c r="U141" s="1"/>
      <c r="V141" s="89"/>
      <c r="W141" s="83"/>
      <c r="X141" s="1"/>
      <c r="Y141" s="89"/>
      <c r="Z141" s="83"/>
      <c r="AA141" s="1"/>
      <c r="AB141" s="89"/>
      <c r="AC141" s="83"/>
      <c r="AD141" s="1"/>
      <c r="AE141" s="89"/>
      <c r="AF141" s="83"/>
      <c r="AG141" s="1"/>
      <c r="AH141" s="89"/>
      <c r="AI141" s="83"/>
      <c r="AJ141" s="1"/>
      <c r="AK141" s="89"/>
      <c r="AL141" s="83"/>
      <c r="AM141" s="1"/>
      <c r="AN141" s="89"/>
      <c r="AO141" s="83"/>
      <c r="AP141" s="1"/>
      <c r="AQ141" s="89"/>
      <c r="AR141" s="83"/>
      <c r="AS141" s="1"/>
      <c r="AT141" s="89"/>
      <c r="AU141" s="83"/>
      <c r="AV141" s="1"/>
      <c r="AW141" s="89"/>
      <c r="AX141" s="83"/>
      <c r="AY141" s="1"/>
      <c r="AZ141" s="89"/>
      <c r="BA141" s="83"/>
      <c r="BB141" s="1"/>
      <c r="BC141" s="89"/>
      <c r="BD141" s="83"/>
      <c r="BE141" s="1"/>
      <c r="BF141" s="89"/>
      <c r="BG141" s="83"/>
      <c r="BH141" s="1"/>
      <c r="BI141" s="89"/>
      <c r="BJ141" s="83"/>
      <c r="BK141" s="1"/>
      <c r="BL141" s="89"/>
      <c r="BM141" s="83"/>
      <c r="BN141" s="1"/>
      <c r="BO141" s="89"/>
      <c r="BP141" s="83"/>
      <c r="BQ141" s="1"/>
      <c r="BR141" s="89"/>
      <c r="BS141" s="83"/>
      <c r="BT141" s="1"/>
      <c r="BU141" s="89"/>
      <c r="BV141" s="83"/>
      <c r="BW141" s="1"/>
      <c r="BX141" s="89"/>
      <c r="BY141" s="83"/>
      <c r="BZ141" s="1"/>
      <c r="CA141" s="89"/>
      <c r="CB141" s="83"/>
      <c r="CC141" s="1"/>
      <c r="CD141" s="89"/>
      <c r="CE141" s="83"/>
      <c r="CF141" s="1"/>
      <c r="CG141" s="89"/>
      <c r="CH141" s="83"/>
      <c r="CI141" s="1"/>
      <c r="CJ141" s="89"/>
      <c r="CK141" s="83"/>
      <c r="CL141" s="1"/>
      <c r="CM141" s="89"/>
      <c r="CN141" s="83"/>
      <c r="CO141" s="1"/>
      <c r="CP141" s="89"/>
      <c r="CQ141" s="83"/>
      <c r="CR141" s="1"/>
      <c r="CS141" s="89"/>
      <c r="CT141" s="83"/>
      <c r="CU141" s="1"/>
      <c r="CV141" s="89"/>
      <c r="CW141" s="83"/>
      <c r="CX141" s="1"/>
      <c r="CY141" s="89"/>
    </row>
    <row r="142" spans="1:103" x14ac:dyDescent="0.3">
      <c r="A142" s="41">
        <v>2047</v>
      </c>
      <c r="B142" s="83"/>
      <c r="C142" s="1"/>
      <c r="D142" s="89"/>
      <c r="E142" s="1"/>
      <c r="F142" s="1"/>
      <c r="G142" s="89"/>
      <c r="H142" s="83"/>
      <c r="I142" s="1"/>
      <c r="J142" s="89"/>
      <c r="K142" s="83"/>
      <c r="L142" s="1"/>
      <c r="M142" s="89"/>
      <c r="N142" s="83"/>
      <c r="O142" s="1"/>
      <c r="P142" s="89"/>
      <c r="Q142" s="83"/>
      <c r="R142" s="1"/>
      <c r="S142" s="89"/>
      <c r="T142" s="83"/>
      <c r="U142" s="1"/>
      <c r="V142" s="89"/>
      <c r="W142" s="83"/>
      <c r="X142" s="1"/>
      <c r="Y142" s="89"/>
      <c r="Z142" s="83"/>
      <c r="AA142" s="1"/>
      <c r="AB142" s="89"/>
      <c r="AC142" s="83"/>
      <c r="AD142" s="1"/>
      <c r="AE142" s="89"/>
      <c r="AF142" s="83"/>
      <c r="AG142" s="1"/>
      <c r="AH142" s="89"/>
      <c r="AI142" s="83"/>
      <c r="AJ142" s="1"/>
      <c r="AK142" s="89"/>
      <c r="AL142" s="83"/>
      <c r="AM142" s="1"/>
      <c r="AN142" s="89"/>
      <c r="AO142" s="83"/>
      <c r="AP142" s="1"/>
      <c r="AQ142" s="89"/>
      <c r="AR142" s="83"/>
      <c r="AS142" s="1"/>
      <c r="AT142" s="89"/>
      <c r="AU142" s="83"/>
      <c r="AV142" s="1"/>
      <c r="AW142" s="89"/>
      <c r="AX142" s="83"/>
      <c r="AY142" s="1"/>
      <c r="AZ142" s="89"/>
      <c r="BA142" s="83"/>
      <c r="BB142" s="1"/>
      <c r="BC142" s="89"/>
      <c r="BD142" s="83"/>
      <c r="BE142" s="1"/>
      <c r="BF142" s="89"/>
      <c r="BG142" s="83"/>
      <c r="BH142" s="1"/>
      <c r="BI142" s="89"/>
      <c r="BJ142" s="83"/>
      <c r="BK142" s="1"/>
      <c r="BL142" s="89"/>
      <c r="BM142" s="83"/>
      <c r="BN142" s="1"/>
      <c r="BO142" s="89"/>
      <c r="BP142" s="83"/>
      <c r="BQ142" s="1"/>
      <c r="BR142" s="89"/>
      <c r="BS142" s="83"/>
      <c r="BT142" s="1"/>
      <c r="BU142" s="89"/>
      <c r="BV142" s="83"/>
      <c r="BW142" s="1"/>
      <c r="BX142" s="89"/>
      <c r="BY142" s="83"/>
      <c r="BZ142" s="1"/>
      <c r="CA142" s="89"/>
      <c r="CB142" s="83"/>
      <c r="CC142" s="1"/>
      <c r="CD142" s="89"/>
      <c r="CE142" s="83"/>
      <c r="CF142" s="1"/>
      <c r="CG142" s="89"/>
      <c r="CH142" s="83"/>
      <c r="CI142" s="1"/>
      <c r="CJ142" s="89"/>
      <c r="CK142" s="83"/>
      <c r="CL142" s="1"/>
      <c r="CM142" s="89"/>
      <c r="CN142" s="83"/>
      <c r="CO142" s="1"/>
      <c r="CP142" s="89"/>
      <c r="CQ142" s="83"/>
      <c r="CR142" s="1"/>
      <c r="CS142" s="89"/>
      <c r="CT142" s="83"/>
      <c r="CU142" s="1"/>
      <c r="CV142" s="89"/>
      <c r="CW142" s="83"/>
      <c r="CX142" s="1"/>
      <c r="CY142" s="89"/>
    </row>
    <row r="143" spans="1:103" x14ac:dyDescent="0.3">
      <c r="A143" s="41">
        <v>2048</v>
      </c>
      <c r="B143" s="83"/>
      <c r="C143" s="1"/>
      <c r="D143" s="89"/>
      <c r="E143" s="1"/>
      <c r="F143" s="1"/>
      <c r="G143" s="89"/>
      <c r="H143" s="83"/>
      <c r="I143" s="1"/>
      <c r="J143" s="89"/>
      <c r="K143" s="83"/>
      <c r="L143" s="1"/>
      <c r="M143" s="89"/>
      <c r="N143" s="83"/>
      <c r="O143" s="1"/>
      <c r="P143" s="89"/>
      <c r="Q143" s="83"/>
      <c r="R143" s="1"/>
      <c r="S143" s="89"/>
      <c r="T143" s="83"/>
      <c r="U143" s="1"/>
      <c r="V143" s="89"/>
      <c r="W143" s="83"/>
      <c r="X143" s="1"/>
      <c r="Y143" s="89"/>
      <c r="Z143" s="83"/>
      <c r="AA143" s="1"/>
      <c r="AB143" s="89"/>
      <c r="AC143" s="83"/>
      <c r="AD143" s="1"/>
      <c r="AE143" s="89"/>
      <c r="AF143" s="83"/>
      <c r="AG143" s="1"/>
      <c r="AH143" s="89"/>
      <c r="AI143" s="83"/>
      <c r="AJ143" s="1"/>
      <c r="AK143" s="89"/>
      <c r="AL143" s="83"/>
      <c r="AM143" s="1"/>
      <c r="AN143" s="89"/>
      <c r="AO143" s="83"/>
      <c r="AP143" s="1"/>
      <c r="AQ143" s="89"/>
      <c r="AR143" s="83"/>
      <c r="AS143" s="1"/>
      <c r="AT143" s="89"/>
      <c r="AU143" s="83"/>
      <c r="AV143" s="1"/>
      <c r="AW143" s="89"/>
      <c r="AX143" s="83"/>
      <c r="AY143" s="1"/>
      <c r="AZ143" s="89"/>
      <c r="BA143" s="83"/>
      <c r="BB143" s="1"/>
      <c r="BC143" s="89"/>
      <c r="BD143" s="83"/>
      <c r="BE143" s="1"/>
      <c r="BF143" s="89"/>
      <c r="BG143" s="83"/>
      <c r="BH143" s="1"/>
      <c r="BI143" s="89"/>
      <c r="BJ143" s="83"/>
      <c r="BK143" s="1"/>
      <c r="BL143" s="89"/>
      <c r="BM143" s="83"/>
      <c r="BN143" s="1"/>
      <c r="BO143" s="89"/>
      <c r="BP143" s="83"/>
      <c r="BQ143" s="1"/>
      <c r="BR143" s="89"/>
      <c r="BS143" s="83"/>
      <c r="BT143" s="1"/>
      <c r="BU143" s="89"/>
      <c r="BV143" s="83"/>
      <c r="BW143" s="1"/>
      <c r="BX143" s="89"/>
      <c r="BY143" s="83"/>
      <c r="BZ143" s="1"/>
      <c r="CA143" s="89"/>
      <c r="CB143" s="83"/>
      <c r="CC143" s="1"/>
      <c r="CD143" s="89"/>
      <c r="CE143" s="83"/>
      <c r="CF143" s="1"/>
      <c r="CG143" s="89"/>
      <c r="CH143" s="83"/>
      <c r="CI143" s="1"/>
      <c r="CJ143" s="89"/>
      <c r="CK143" s="83"/>
      <c r="CL143" s="1"/>
      <c r="CM143" s="89"/>
      <c r="CN143" s="83"/>
      <c r="CO143" s="1"/>
      <c r="CP143" s="89"/>
      <c r="CQ143" s="83"/>
      <c r="CR143" s="1"/>
      <c r="CS143" s="89"/>
      <c r="CT143" s="83"/>
      <c r="CU143" s="1"/>
      <c r="CV143" s="89"/>
      <c r="CW143" s="83"/>
      <c r="CX143" s="1"/>
      <c r="CY143" s="89"/>
    </row>
    <row r="144" spans="1:103" x14ac:dyDescent="0.3">
      <c r="A144" s="41">
        <v>2049</v>
      </c>
      <c r="B144" s="83"/>
      <c r="C144" s="1"/>
      <c r="D144" s="89"/>
      <c r="E144" s="1"/>
      <c r="F144" s="1"/>
      <c r="G144" s="89"/>
      <c r="H144" s="83"/>
      <c r="I144" s="1"/>
      <c r="J144" s="89"/>
      <c r="K144" s="83"/>
      <c r="L144" s="1"/>
      <c r="M144" s="89"/>
      <c r="N144" s="83"/>
      <c r="O144" s="1"/>
      <c r="P144" s="89"/>
      <c r="Q144" s="83"/>
      <c r="R144" s="1"/>
      <c r="S144" s="89"/>
      <c r="T144" s="83"/>
      <c r="U144" s="1"/>
      <c r="V144" s="89"/>
      <c r="W144" s="83"/>
      <c r="X144" s="1"/>
      <c r="Y144" s="89"/>
      <c r="Z144" s="83"/>
      <c r="AA144" s="1"/>
      <c r="AB144" s="89"/>
      <c r="AC144" s="83"/>
      <c r="AD144" s="1"/>
      <c r="AE144" s="89"/>
      <c r="AF144" s="83"/>
      <c r="AG144" s="1"/>
      <c r="AH144" s="89"/>
      <c r="AI144" s="83"/>
      <c r="AJ144" s="1"/>
      <c r="AK144" s="89"/>
      <c r="AL144" s="83"/>
      <c r="AM144" s="1"/>
      <c r="AN144" s="89"/>
      <c r="AO144" s="83"/>
      <c r="AP144" s="1"/>
      <c r="AQ144" s="89"/>
      <c r="AR144" s="83"/>
      <c r="AS144" s="1"/>
      <c r="AT144" s="89"/>
      <c r="AU144" s="83"/>
      <c r="AV144" s="1"/>
      <c r="AW144" s="89"/>
      <c r="AX144" s="83"/>
      <c r="AY144" s="1"/>
      <c r="AZ144" s="89"/>
      <c r="BA144" s="83"/>
      <c r="BB144" s="1"/>
      <c r="BC144" s="89"/>
      <c r="BD144" s="83"/>
      <c r="BE144" s="1"/>
      <c r="BF144" s="89"/>
      <c r="BG144" s="83"/>
      <c r="BH144" s="1"/>
      <c r="BI144" s="89"/>
      <c r="BJ144" s="83"/>
      <c r="BK144" s="1"/>
      <c r="BL144" s="89"/>
      <c r="BM144" s="83"/>
      <c r="BN144" s="1"/>
      <c r="BO144" s="89"/>
      <c r="BP144" s="83"/>
      <c r="BQ144" s="1"/>
      <c r="BR144" s="89"/>
      <c r="BS144" s="83"/>
      <c r="BT144" s="1"/>
      <c r="BU144" s="89"/>
      <c r="BV144" s="83"/>
      <c r="BW144" s="1"/>
      <c r="BX144" s="89"/>
      <c r="BY144" s="83"/>
      <c r="BZ144" s="1"/>
      <c r="CA144" s="89"/>
      <c r="CB144" s="83"/>
      <c r="CC144" s="1"/>
      <c r="CD144" s="89"/>
      <c r="CE144" s="83"/>
      <c r="CF144" s="1"/>
      <c r="CG144" s="89"/>
      <c r="CH144" s="83"/>
      <c r="CI144" s="1"/>
      <c r="CJ144" s="89"/>
      <c r="CK144" s="83"/>
      <c r="CL144" s="1"/>
      <c r="CM144" s="89"/>
      <c r="CN144" s="83"/>
      <c r="CO144" s="1"/>
      <c r="CP144" s="89"/>
      <c r="CQ144" s="83"/>
      <c r="CR144" s="1"/>
      <c r="CS144" s="89"/>
      <c r="CT144" s="83"/>
      <c r="CU144" s="1"/>
      <c r="CV144" s="89"/>
      <c r="CW144" s="83"/>
      <c r="CX144" s="1"/>
      <c r="CY144" s="89"/>
    </row>
    <row r="145" spans="1:103" ht="15" thickBot="1" x14ac:dyDescent="0.35">
      <c r="A145" s="42">
        <v>2050</v>
      </c>
      <c r="B145" s="90"/>
      <c r="C145" s="91"/>
      <c r="D145" s="92"/>
      <c r="E145" s="91"/>
      <c r="F145" s="91"/>
      <c r="G145" s="92"/>
      <c r="H145" s="90"/>
      <c r="I145" s="91"/>
      <c r="J145" s="92"/>
      <c r="K145" s="90"/>
      <c r="L145" s="91"/>
      <c r="M145" s="92"/>
      <c r="N145" s="90"/>
      <c r="O145" s="91"/>
      <c r="P145" s="92"/>
      <c r="Q145" s="90"/>
      <c r="R145" s="91"/>
      <c r="S145" s="92"/>
      <c r="T145" s="90"/>
      <c r="U145" s="91"/>
      <c r="V145" s="92"/>
      <c r="W145" s="90"/>
      <c r="X145" s="91"/>
      <c r="Y145" s="92"/>
      <c r="Z145" s="90"/>
      <c r="AA145" s="91"/>
      <c r="AB145" s="92"/>
      <c r="AC145" s="90"/>
      <c r="AD145" s="91"/>
      <c r="AE145" s="92"/>
      <c r="AF145" s="90"/>
      <c r="AG145" s="91"/>
      <c r="AH145" s="92"/>
      <c r="AI145" s="90"/>
      <c r="AJ145" s="91"/>
      <c r="AK145" s="92"/>
      <c r="AL145" s="90"/>
      <c r="AM145" s="91"/>
      <c r="AN145" s="92"/>
      <c r="AO145" s="90"/>
      <c r="AP145" s="91"/>
      <c r="AQ145" s="92"/>
      <c r="AR145" s="90"/>
      <c r="AS145" s="91"/>
      <c r="AT145" s="92"/>
      <c r="AU145" s="90"/>
      <c r="AV145" s="91"/>
      <c r="AW145" s="92"/>
      <c r="AX145" s="90"/>
      <c r="AY145" s="91"/>
      <c r="AZ145" s="92"/>
      <c r="BA145" s="90"/>
      <c r="BB145" s="91"/>
      <c r="BC145" s="92"/>
      <c r="BD145" s="90"/>
      <c r="BE145" s="91"/>
      <c r="BF145" s="92"/>
      <c r="BG145" s="90"/>
      <c r="BH145" s="91"/>
      <c r="BI145" s="92"/>
      <c r="BJ145" s="90"/>
      <c r="BK145" s="91"/>
      <c r="BL145" s="92"/>
      <c r="BM145" s="90">
        <v>1220</v>
      </c>
      <c r="BN145" s="91">
        <v>1457.8999999999999</v>
      </c>
      <c r="BO145" s="92">
        <v>1549.3999999999999</v>
      </c>
      <c r="BP145" s="90">
        <v>1207.8</v>
      </c>
      <c r="BQ145" s="91">
        <v>1421.3</v>
      </c>
      <c r="BR145" s="92">
        <v>1488.3999999999999</v>
      </c>
      <c r="BS145" s="90">
        <v>1171.2</v>
      </c>
      <c r="BT145" s="91">
        <v>1390.8</v>
      </c>
      <c r="BU145" s="92">
        <v>1464</v>
      </c>
      <c r="BV145" s="90">
        <v>1146.8</v>
      </c>
      <c r="BW145" s="91">
        <v>1403</v>
      </c>
      <c r="BX145" s="92">
        <v>1610.3999999999999</v>
      </c>
      <c r="BY145" s="90">
        <v>1012.6</v>
      </c>
      <c r="BZ145" s="91">
        <v>1396.8999999999999</v>
      </c>
      <c r="CA145" s="92">
        <v>1525</v>
      </c>
      <c r="CB145" s="90">
        <v>976</v>
      </c>
      <c r="CC145" s="91">
        <v>1357.25</v>
      </c>
      <c r="CD145" s="92">
        <v>1488.3999999999999</v>
      </c>
      <c r="CE145" s="90">
        <v>963.8</v>
      </c>
      <c r="CF145" s="91">
        <v>1329.8</v>
      </c>
      <c r="CG145" s="92">
        <v>1451.8</v>
      </c>
      <c r="CH145" s="90">
        <v>1040</v>
      </c>
      <c r="CI145" s="91">
        <v>1229.8</v>
      </c>
      <c r="CJ145" s="92">
        <v>1674.4</v>
      </c>
      <c r="CK145" s="90">
        <v>1019.2</v>
      </c>
      <c r="CL145" s="91">
        <v>1198.6000000000001</v>
      </c>
      <c r="CM145" s="92">
        <v>1632.8</v>
      </c>
      <c r="CN145" s="90">
        <v>998.40000000000009</v>
      </c>
      <c r="CO145" s="91">
        <v>1180.4000000000001</v>
      </c>
      <c r="CP145" s="92">
        <v>1612</v>
      </c>
      <c r="CQ145" s="90">
        <v>900</v>
      </c>
      <c r="CR145" s="91">
        <v>1210</v>
      </c>
      <c r="CS145" s="92">
        <v>1480</v>
      </c>
      <c r="CT145" s="90">
        <v>880</v>
      </c>
      <c r="CU145" s="91">
        <v>1185</v>
      </c>
      <c r="CV145" s="92">
        <v>1460</v>
      </c>
      <c r="CW145" s="90">
        <v>860</v>
      </c>
      <c r="CX145" s="91">
        <v>1165</v>
      </c>
      <c r="CY145" s="92">
        <v>1440</v>
      </c>
    </row>
    <row r="146" spans="1:103" ht="15" thickBot="1" x14ac:dyDescent="0.35"/>
    <row r="147" spans="1:103" ht="18.600000000000001" thickBot="1" x14ac:dyDescent="0.4">
      <c r="A147" s="289" t="s">
        <v>0</v>
      </c>
      <c r="B147" s="372" t="s">
        <v>112</v>
      </c>
      <c r="C147" s="373"/>
      <c r="D147" s="373"/>
      <c r="E147" s="373"/>
      <c r="F147" s="373"/>
      <c r="G147" s="373"/>
      <c r="H147" s="373"/>
      <c r="I147" s="373"/>
      <c r="J147" s="373"/>
      <c r="K147" s="373"/>
      <c r="L147" s="373"/>
      <c r="M147" s="373"/>
      <c r="N147" s="373"/>
      <c r="O147" s="373"/>
      <c r="P147" s="373"/>
      <c r="Q147" s="373"/>
      <c r="R147" s="373"/>
      <c r="S147" s="373"/>
      <c r="T147" s="373"/>
      <c r="U147" s="373"/>
      <c r="V147" s="373"/>
      <c r="W147" s="373"/>
      <c r="X147" s="373"/>
      <c r="Y147" s="373"/>
      <c r="Z147" s="373"/>
      <c r="AA147" s="373"/>
      <c r="AB147" s="373"/>
      <c r="AC147" s="373"/>
      <c r="AD147" s="373"/>
      <c r="AE147" s="373"/>
      <c r="AF147" s="373"/>
      <c r="AG147" s="373"/>
      <c r="AH147" s="373"/>
      <c r="AI147" s="373"/>
      <c r="AJ147" s="373"/>
      <c r="AK147" s="373"/>
      <c r="AL147" s="373"/>
      <c r="AM147" s="373"/>
      <c r="AN147" s="373"/>
      <c r="AO147" s="373"/>
      <c r="AP147" s="373"/>
      <c r="AQ147" s="373"/>
      <c r="AR147" s="373"/>
      <c r="AS147" s="373"/>
      <c r="AT147" s="373"/>
      <c r="AU147" s="373"/>
      <c r="AV147" s="373"/>
      <c r="AW147" s="373"/>
      <c r="AX147" s="373"/>
      <c r="AY147" s="373"/>
      <c r="AZ147" s="374"/>
    </row>
    <row r="148" spans="1:103" ht="18.600000000000001" thickBot="1" x14ac:dyDescent="0.35">
      <c r="A148" s="344"/>
      <c r="B148" s="365" t="s">
        <v>355</v>
      </c>
      <c r="C148" s="366"/>
      <c r="D148" s="367"/>
      <c r="E148" s="365" t="s">
        <v>356</v>
      </c>
      <c r="F148" s="366"/>
      <c r="G148" s="367"/>
      <c r="H148" s="365" t="s">
        <v>357</v>
      </c>
      <c r="I148" s="366"/>
      <c r="J148" s="367"/>
      <c r="K148" s="365" t="s">
        <v>358</v>
      </c>
      <c r="L148" s="366"/>
      <c r="M148" s="367"/>
      <c r="N148" s="365" t="s">
        <v>359</v>
      </c>
      <c r="O148" s="366"/>
      <c r="P148" s="367"/>
      <c r="Q148" s="365" t="s">
        <v>360</v>
      </c>
      <c r="R148" s="366"/>
      <c r="S148" s="367"/>
      <c r="T148" s="365" t="s">
        <v>361</v>
      </c>
      <c r="U148" s="366"/>
      <c r="V148" s="367"/>
      <c r="W148" s="365" t="s">
        <v>362</v>
      </c>
      <c r="X148" s="366"/>
      <c r="Y148" s="367"/>
      <c r="Z148" s="365" t="s">
        <v>363</v>
      </c>
      <c r="AA148" s="366"/>
      <c r="AB148" s="367"/>
      <c r="AC148" s="365" t="s">
        <v>364</v>
      </c>
      <c r="AD148" s="366"/>
      <c r="AE148" s="367"/>
      <c r="AF148" s="365" t="s">
        <v>365</v>
      </c>
      <c r="AG148" s="366"/>
      <c r="AH148" s="367"/>
      <c r="AI148" s="365" t="s">
        <v>366</v>
      </c>
      <c r="AJ148" s="366"/>
      <c r="AK148" s="367"/>
      <c r="AL148" s="365" t="s">
        <v>367</v>
      </c>
      <c r="AM148" s="366"/>
      <c r="AN148" s="367"/>
      <c r="AO148" s="365" t="s">
        <v>368</v>
      </c>
      <c r="AP148" s="366"/>
      <c r="AQ148" s="367"/>
      <c r="AR148" s="365" t="s">
        <v>369</v>
      </c>
      <c r="AS148" s="366"/>
      <c r="AT148" s="367"/>
      <c r="AU148" s="365" t="s">
        <v>370</v>
      </c>
      <c r="AV148" s="366"/>
      <c r="AW148" s="367"/>
      <c r="AX148" s="365" t="s">
        <v>371</v>
      </c>
      <c r="AY148" s="366"/>
      <c r="AZ148" s="367"/>
    </row>
    <row r="149" spans="1:103" ht="15" thickBot="1" x14ac:dyDescent="0.35">
      <c r="A149" s="290"/>
      <c r="B149" s="84" t="s">
        <v>18</v>
      </c>
      <c r="C149" s="85" t="s">
        <v>19</v>
      </c>
      <c r="D149" s="86" t="s">
        <v>20</v>
      </c>
      <c r="E149" s="84" t="s">
        <v>18</v>
      </c>
      <c r="F149" s="85" t="s">
        <v>19</v>
      </c>
      <c r="G149" s="86" t="s">
        <v>20</v>
      </c>
      <c r="H149" s="84" t="s">
        <v>18</v>
      </c>
      <c r="I149" s="85" t="s">
        <v>19</v>
      </c>
      <c r="J149" s="86" t="s">
        <v>20</v>
      </c>
      <c r="K149" s="84" t="s">
        <v>18</v>
      </c>
      <c r="L149" s="85" t="s">
        <v>19</v>
      </c>
      <c r="M149" s="86" t="s">
        <v>20</v>
      </c>
      <c r="N149" s="84" t="s">
        <v>18</v>
      </c>
      <c r="O149" s="85" t="s">
        <v>19</v>
      </c>
      <c r="P149" s="86" t="s">
        <v>20</v>
      </c>
      <c r="Q149" s="84" t="s">
        <v>18</v>
      </c>
      <c r="R149" s="85" t="s">
        <v>19</v>
      </c>
      <c r="S149" s="86" t="s">
        <v>20</v>
      </c>
      <c r="T149" s="84" t="s">
        <v>18</v>
      </c>
      <c r="U149" s="85" t="s">
        <v>19</v>
      </c>
      <c r="V149" s="86" t="s">
        <v>20</v>
      </c>
      <c r="W149" s="84" t="s">
        <v>18</v>
      </c>
      <c r="X149" s="85" t="s">
        <v>19</v>
      </c>
      <c r="Y149" s="86" t="s">
        <v>20</v>
      </c>
      <c r="Z149" s="84" t="s">
        <v>18</v>
      </c>
      <c r="AA149" s="85" t="s">
        <v>19</v>
      </c>
      <c r="AB149" s="86" t="s">
        <v>20</v>
      </c>
      <c r="AC149" s="84" t="s">
        <v>18</v>
      </c>
      <c r="AD149" s="85" t="s">
        <v>19</v>
      </c>
      <c r="AE149" s="86" t="s">
        <v>20</v>
      </c>
      <c r="AF149" s="84" t="s">
        <v>18</v>
      </c>
      <c r="AG149" s="85" t="s">
        <v>19</v>
      </c>
      <c r="AH149" s="86" t="s">
        <v>20</v>
      </c>
      <c r="AI149" s="84" t="s">
        <v>18</v>
      </c>
      <c r="AJ149" s="85" t="s">
        <v>19</v>
      </c>
      <c r="AK149" s="86" t="s">
        <v>20</v>
      </c>
      <c r="AL149" s="84" t="s">
        <v>18</v>
      </c>
      <c r="AM149" s="85" t="s">
        <v>19</v>
      </c>
      <c r="AN149" s="86" t="s">
        <v>20</v>
      </c>
      <c r="AO149" s="84" t="s">
        <v>18</v>
      </c>
      <c r="AP149" s="85" t="s">
        <v>19</v>
      </c>
      <c r="AQ149" s="86" t="s">
        <v>20</v>
      </c>
      <c r="AR149" s="84" t="s">
        <v>18</v>
      </c>
      <c r="AS149" s="85" t="s">
        <v>19</v>
      </c>
      <c r="AT149" s="86" t="s">
        <v>20</v>
      </c>
      <c r="AU149" s="84" t="s">
        <v>18</v>
      </c>
      <c r="AV149" s="85" t="s">
        <v>19</v>
      </c>
      <c r="AW149" s="86" t="s">
        <v>20</v>
      </c>
      <c r="AX149" s="84" t="s">
        <v>18</v>
      </c>
      <c r="AY149" s="85" t="s">
        <v>19</v>
      </c>
      <c r="AZ149" s="86" t="s">
        <v>20</v>
      </c>
    </row>
    <row r="150" spans="1:103" x14ac:dyDescent="0.3">
      <c r="A150" s="41">
        <v>2017</v>
      </c>
      <c r="B150" s="83">
        <v>83.850000000000009</v>
      </c>
      <c r="C150" s="1">
        <v>109.65</v>
      </c>
      <c r="D150" s="89">
        <v>135.45000000000002</v>
      </c>
      <c r="E150" s="83"/>
      <c r="F150" s="1"/>
      <c r="G150" s="89"/>
      <c r="H150" s="83"/>
      <c r="I150" s="1"/>
      <c r="J150" s="89"/>
      <c r="K150" s="83"/>
      <c r="L150" s="1"/>
      <c r="M150" s="89"/>
      <c r="N150" s="83"/>
      <c r="O150" s="1"/>
      <c r="P150" s="89"/>
      <c r="Q150" s="83"/>
      <c r="R150" s="1"/>
      <c r="S150" s="89"/>
      <c r="T150" s="83"/>
      <c r="U150" s="1"/>
      <c r="V150" s="89"/>
      <c r="W150" s="83"/>
      <c r="X150" s="1"/>
      <c r="Y150" s="89"/>
      <c r="Z150" s="83"/>
      <c r="AA150" s="1"/>
      <c r="AB150" s="89"/>
      <c r="AC150" s="83"/>
      <c r="AD150" s="1"/>
      <c r="AE150" s="89"/>
      <c r="AF150" s="83"/>
      <c r="AG150" s="1"/>
      <c r="AH150" s="89"/>
      <c r="AI150" s="83"/>
      <c r="AJ150" s="1"/>
      <c r="AK150" s="89"/>
      <c r="AL150" s="83"/>
      <c r="AM150" s="1"/>
      <c r="AN150" s="89"/>
      <c r="AO150" s="83"/>
      <c r="AP150" s="1"/>
      <c r="AQ150" s="89"/>
      <c r="AR150" s="83"/>
      <c r="AS150" s="1"/>
      <c r="AT150" s="89"/>
      <c r="AU150" s="83"/>
      <c r="AV150" s="1"/>
      <c r="AW150" s="89"/>
      <c r="AX150" s="83"/>
      <c r="AY150" s="1"/>
      <c r="AZ150" s="89"/>
    </row>
    <row r="151" spans="1:103" x14ac:dyDescent="0.3">
      <c r="A151" s="41">
        <v>2018</v>
      </c>
      <c r="B151" s="83"/>
      <c r="C151" s="1"/>
      <c r="D151" s="89"/>
      <c r="E151" s="83">
        <v>69.3</v>
      </c>
      <c r="F151" s="1">
        <v>94.5</v>
      </c>
      <c r="G151" s="89">
        <v>119.7</v>
      </c>
      <c r="H151" s="83"/>
      <c r="I151" s="1"/>
      <c r="J151" s="89"/>
      <c r="K151" s="83"/>
      <c r="L151" s="1"/>
      <c r="M151" s="89"/>
      <c r="N151" s="83"/>
      <c r="O151" s="1"/>
      <c r="P151" s="89"/>
      <c r="Q151" s="83"/>
      <c r="R151" s="1"/>
      <c r="S151" s="89"/>
      <c r="T151" s="83"/>
      <c r="U151" s="1"/>
      <c r="V151" s="89"/>
      <c r="W151" s="83"/>
      <c r="X151" s="1"/>
      <c r="Y151" s="89"/>
      <c r="Z151" s="83"/>
      <c r="AA151" s="1"/>
      <c r="AB151" s="89"/>
      <c r="AC151" s="83"/>
      <c r="AD151" s="1"/>
      <c r="AE151" s="89"/>
      <c r="AF151" s="83"/>
      <c r="AG151" s="1"/>
      <c r="AH151" s="89"/>
      <c r="AI151" s="83"/>
      <c r="AJ151" s="1"/>
      <c r="AK151" s="89"/>
      <c r="AL151" s="83"/>
      <c r="AM151" s="1"/>
      <c r="AN151" s="89"/>
      <c r="AO151" s="83"/>
      <c r="AP151" s="1"/>
      <c r="AQ151" s="89"/>
      <c r="AR151" s="83"/>
      <c r="AS151" s="1"/>
      <c r="AT151" s="89"/>
      <c r="AU151" s="83"/>
      <c r="AV151" s="1"/>
      <c r="AW151" s="89"/>
      <c r="AX151" s="83"/>
      <c r="AY151" s="1"/>
      <c r="AZ151" s="89"/>
    </row>
    <row r="152" spans="1:103" x14ac:dyDescent="0.3">
      <c r="A152" s="41">
        <v>2019</v>
      </c>
      <c r="B152" s="83"/>
      <c r="C152" s="1"/>
      <c r="D152" s="89"/>
      <c r="E152" s="83"/>
      <c r="F152" s="1"/>
      <c r="G152" s="89"/>
      <c r="H152" s="83">
        <v>50.4</v>
      </c>
      <c r="I152" s="1">
        <v>59.849999999999994</v>
      </c>
      <c r="J152" s="89">
        <v>69.3</v>
      </c>
      <c r="K152" s="83">
        <v>44.1</v>
      </c>
      <c r="L152" s="1">
        <v>56.7</v>
      </c>
      <c r="M152" s="89">
        <v>69.3</v>
      </c>
      <c r="N152" s="83"/>
      <c r="O152" s="1"/>
      <c r="P152" s="89"/>
      <c r="Q152" s="83"/>
      <c r="R152" s="1"/>
      <c r="S152" s="89"/>
      <c r="T152" s="83"/>
      <c r="U152" s="1"/>
      <c r="V152" s="89"/>
      <c r="W152" s="83"/>
      <c r="X152" s="1"/>
      <c r="Y152" s="89"/>
      <c r="Z152" s="83"/>
      <c r="AA152" s="1"/>
      <c r="AB152" s="89"/>
      <c r="AC152" s="83"/>
      <c r="AD152" s="1"/>
      <c r="AE152" s="89"/>
      <c r="AF152" s="83"/>
      <c r="AG152" s="1"/>
      <c r="AH152" s="89"/>
      <c r="AI152" s="83"/>
      <c r="AJ152" s="1"/>
      <c r="AK152" s="89"/>
      <c r="AL152" s="83"/>
      <c r="AM152" s="1"/>
      <c r="AN152" s="89"/>
      <c r="AO152" s="83"/>
      <c r="AP152" s="1"/>
      <c r="AQ152" s="89"/>
      <c r="AR152" s="83"/>
      <c r="AS152" s="1"/>
      <c r="AT152" s="89"/>
      <c r="AU152" s="83"/>
      <c r="AV152" s="1"/>
      <c r="AW152" s="89"/>
      <c r="AX152" s="83"/>
      <c r="AY152" s="1"/>
      <c r="AZ152" s="89"/>
    </row>
    <row r="153" spans="1:103" x14ac:dyDescent="0.3">
      <c r="A153" s="41">
        <v>2020</v>
      </c>
      <c r="B153" s="83"/>
      <c r="C153" s="1"/>
      <c r="D153" s="89"/>
      <c r="E153" s="83"/>
      <c r="F153" s="1"/>
      <c r="G153" s="89"/>
      <c r="H153" s="83"/>
      <c r="I153" s="1"/>
      <c r="J153" s="89"/>
      <c r="K153" s="83"/>
      <c r="L153" s="1"/>
      <c r="M153" s="89"/>
      <c r="N153" s="83">
        <v>42.699999999999996</v>
      </c>
      <c r="O153" s="1">
        <v>54.899999999999991</v>
      </c>
      <c r="P153" s="89">
        <v>67.099999999999994</v>
      </c>
      <c r="Q153" s="83">
        <v>42.699999999999996</v>
      </c>
      <c r="R153" s="1">
        <v>51.849999999999994</v>
      </c>
      <c r="S153" s="89">
        <v>61</v>
      </c>
      <c r="T153" s="83">
        <v>42.699999999999996</v>
      </c>
      <c r="U153" s="1">
        <v>54.899999999999991</v>
      </c>
      <c r="V153" s="89">
        <v>67.099999999999994</v>
      </c>
      <c r="W153" s="83">
        <v>42.699999999999996</v>
      </c>
      <c r="X153" s="1">
        <v>54.899999999999991</v>
      </c>
      <c r="Y153" s="89">
        <v>67.099999999999994</v>
      </c>
      <c r="Z153" s="83"/>
      <c r="AA153" s="1"/>
      <c r="AB153" s="89"/>
      <c r="AC153" s="83"/>
      <c r="AD153" s="1"/>
      <c r="AE153" s="89"/>
      <c r="AF153" s="83"/>
      <c r="AG153" s="1"/>
      <c r="AH153" s="89"/>
      <c r="AI153" s="83"/>
      <c r="AJ153" s="1"/>
      <c r="AK153" s="89"/>
      <c r="AL153" s="83"/>
      <c r="AM153" s="1"/>
      <c r="AN153" s="89"/>
      <c r="AO153" s="83"/>
      <c r="AP153" s="1"/>
      <c r="AQ153" s="89"/>
      <c r="AR153" s="83"/>
      <c r="AS153" s="1"/>
      <c r="AT153" s="89"/>
      <c r="AU153" s="83"/>
      <c r="AV153" s="1"/>
      <c r="AW153" s="89"/>
      <c r="AX153" s="83"/>
      <c r="AY153" s="1"/>
      <c r="AZ153" s="89"/>
    </row>
    <row r="154" spans="1:103" x14ac:dyDescent="0.3">
      <c r="A154" s="41">
        <v>2021</v>
      </c>
      <c r="B154" s="83"/>
      <c r="C154" s="1"/>
      <c r="D154" s="89"/>
      <c r="E154" s="83"/>
      <c r="F154" s="1"/>
      <c r="G154" s="89"/>
      <c r="H154" s="83"/>
      <c r="I154" s="1"/>
      <c r="J154" s="89"/>
      <c r="K154" s="83"/>
      <c r="L154" s="1"/>
      <c r="M154" s="89"/>
      <c r="N154" s="83"/>
      <c r="O154" s="1"/>
      <c r="P154" s="89"/>
      <c r="Q154" s="83"/>
      <c r="R154" s="1"/>
      <c r="S154" s="89"/>
      <c r="T154" s="83"/>
      <c r="U154" s="1"/>
      <c r="V154" s="89"/>
      <c r="W154" s="83"/>
      <c r="X154" s="1"/>
      <c r="Y154" s="89"/>
      <c r="Z154" s="83">
        <v>48.8</v>
      </c>
      <c r="AA154" s="1">
        <v>64.05</v>
      </c>
      <c r="AB154" s="89">
        <v>79.3</v>
      </c>
      <c r="AC154" s="83">
        <v>42.699999999999996</v>
      </c>
      <c r="AD154" s="1">
        <v>54.899999999999991</v>
      </c>
      <c r="AE154" s="89">
        <v>67.099999999999994</v>
      </c>
      <c r="AF154" s="83">
        <v>42.699999999999996</v>
      </c>
      <c r="AG154" s="1">
        <v>54.899999999999991</v>
      </c>
      <c r="AH154" s="89">
        <v>67.099999999999994</v>
      </c>
      <c r="AI154" s="83"/>
      <c r="AJ154" s="1"/>
      <c r="AK154" s="89"/>
      <c r="AL154" s="83"/>
      <c r="AM154" s="1"/>
      <c r="AN154" s="89"/>
      <c r="AO154" s="83"/>
      <c r="AP154" s="1"/>
      <c r="AQ154" s="89"/>
      <c r="AR154" s="83"/>
      <c r="AS154" s="1"/>
      <c r="AT154" s="89"/>
      <c r="AU154" s="83"/>
      <c r="AV154" s="1"/>
      <c r="AW154" s="89"/>
      <c r="AX154" s="83"/>
      <c r="AY154" s="1"/>
      <c r="AZ154" s="89"/>
    </row>
    <row r="155" spans="1:103" x14ac:dyDescent="0.3">
      <c r="A155" s="41">
        <v>2022</v>
      </c>
      <c r="B155" s="83"/>
      <c r="C155" s="1"/>
      <c r="D155" s="89"/>
      <c r="E155" s="83"/>
      <c r="F155" s="1"/>
      <c r="G155" s="89"/>
      <c r="H155" s="83"/>
      <c r="I155" s="1"/>
      <c r="J155" s="89"/>
      <c r="K155" s="83"/>
      <c r="L155" s="1"/>
      <c r="M155" s="89"/>
      <c r="N155" s="83"/>
      <c r="O155" s="1"/>
      <c r="P155" s="89"/>
      <c r="Q155" s="83"/>
      <c r="R155" s="1"/>
      <c r="S155" s="89"/>
      <c r="T155" s="83"/>
      <c r="U155" s="1"/>
      <c r="V155" s="89"/>
      <c r="W155" s="83"/>
      <c r="X155" s="1"/>
      <c r="Y155" s="89"/>
      <c r="Z155" s="83"/>
      <c r="AA155" s="1"/>
      <c r="AB155" s="89"/>
      <c r="AC155" s="83"/>
      <c r="AD155" s="1"/>
      <c r="AE155" s="89"/>
      <c r="AF155" s="83"/>
      <c r="AG155" s="1"/>
      <c r="AH155" s="89"/>
      <c r="AI155" s="83">
        <v>42.699999999999996</v>
      </c>
      <c r="AJ155" s="1">
        <v>61</v>
      </c>
      <c r="AK155" s="89">
        <v>79.3</v>
      </c>
      <c r="AL155" s="83">
        <v>36.6</v>
      </c>
      <c r="AM155" s="1">
        <v>54.900000000000006</v>
      </c>
      <c r="AN155" s="89">
        <v>73.2</v>
      </c>
      <c r="AO155" s="83">
        <v>36.6</v>
      </c>
      <c r="AP155" s="1">
        <v>54.900000000000006</v>
      </c>
      <c r="AQ155" s="89">
        <v>73.2</v>
      </c>
      <c r="AR155" s="83"/>
      <c r="AS155" s="1"/>
      <c r="AT155" s="89"/>
      <c r="AU155" s="83"/>
      <c r="AV155" s="1"/>
      <c r="AW155" s="89"/>
      <c r="AX155" s="83"/>
      <c r="AY155" s="1"/>
      <c r="AZ155" s="89"/>
    </row>
    <row r="156" spans="1:103" x14ac:dyDescent="0.3">
      <c r="A156" s="41">
        <v>2023</v>
      </c>
      <c r="B156" s="83"/>
      <c r="C156" s="1"/>
      <c r="D156" s="89"/>
      <c r="E156" s="83"/>
      <c r="F156" s="1"/>
      <c r="G156" s="89"/>
      <c r="H156" s="83"/>
      <c r="I156" s="1"/>
      <c r="J156" s="89"/>
      <c r="K156" s="83"/>
      <c r="L156" s="1"/>
      <c r="M156" s="89"/>
      <c r="N156" s="83"/>
      <c r="O156" s="1"/>
      <c r="P156" s="89"/>
      <c r="Q156" s="83"/>
      <c r="R156" s="1"/>
      <c r="S156" s="89"/>
      <c r="T156" s="83"/>
      <c r="U156" s="1"/>
      <c r="V156" s="89"/>
      <c r="W156" s="83"/>
      <c r="X156" s="1"/>
      <c r="Y156" s="89"/>
      <c r="Z156" s="83"/>
      <c r="AA156" s="1"/>
      <c r="AB156" s="89"/>
      <c r="AC156" s="83"/>
      <c r="AD156" s="1"/>
      <c r="AE156" s="89"/>
      <c r="AF156" s="83"/>
      <c r="AG156" s="1"/>
      <c r="AH156" s="89"/>
      <c r="AI156" s="83"/>
      <c r="AJ156" s="1"/>
      <c r="AK156" s="89"/>
      <c r="AL156" s="83"/>
      <c r="AM156" s="1"/>
      <c r="AN156" s="89"/>
      <c r="AO156" s="83"/>
      <c r="AP156" s="1"/>
      <c r="AQ156" s="89"/>
      <c r="AR156" s="83">
        <v>54.9</v>
      </c>
      <c r="AS156" s="1">
        <v>70.149999999999991</v>
      </c>
      <c r="AT156" s="89">
        <v>85.399999999999991</v>
      </c>
      <c r="AU156" s="83">
        <v>48.8</v>
      </c>
      <c r="AV156" s="1">
        <v>61</v>
      </c>
      <c r="AW156" s="89">
        <v>73.2</v>
      </c>
      <c r="AX156" s="83">
        <v>48.8</v>
      </c>
      <c r="AY156" s="1">
        <v>61</v>
      </c>
      <c r="AZ156" s="89">
        <v>73.2</v>
      </c>
    </row>
    <row r="157" spans="1:103" x14ac:dyDescent="0.3">
      <c r="A157" s="41">
        <v>2024</v>
      </c>
      <c r="B157" s="83"/>
      <c r="C157" s="1"/>
      <c r="D157" s="89"/>
      <c r="E157" s="83"/>
      <c r="F157" s="1"/>
      <c r="G157" s="89"/>
      <c r="H157" s="83"/>
      <c r="I157" s="1"/>
      <c r="J157" s="89"/>
      <c r="K157" s="83"/>
      <c r="L157" s="1"/>
      <c r="M157" s="89"/>
      <c r="N157" s="83"/>
      <c r="O157" s="1"/>
      <c r="P157" s="89"/>
      <c r="Q157" s="83"/>
      <c r="R157" s="1"/>
      <c r="S157" s="89"/>
      <c r="T157" s="83"/>
      <c r="U157" s="1"/>
      <c r="V157" s="89"/>
      <c r="W157" s="83"/>
      <c r="X157" s="1"/>
      <c r="Y157" s="89"/>
      <c r="Z157" s="83"/>
      <c r="AA157" s="1"/>
      <c r="AB157" s="89"/>
      <c r="AC157" s="83"/>
      <c r="AD157" s="1"/>
      <c r="AE157" s="89"/>
      <c r="AF157" s="83"/>
      <c r="AG157" s="1"/>
      <c r="AH157" s="89"/>
      <c r="AI157" s="83"/>
      <c r="AJ157" s="1"/>
      <c r="AK157" s="89"/>
      <c r="AL157" s="83"/>
      <c r="AM157" s="1"/>
      <c r="AN157" s="89"/>
      <c r="AO157" s="83"/>
      <c r="AP157" s="1"/>
      <c r="AQ157" s="89"/>
      <c r="AR157" s="83"/>
      <c r="AS157" s="1"/>
      <c r="AT157" s="89"/>
      <c r="AU157" s="83"/>
      <c r="AV157" s="1"/>
      <c r="AW157" s="89"/>
      <c r="AX157" s="83"/>
      <c r="AY157" s="1"/>
      <c r="AZ157" s="89"/>
    </row>
    <row r="158" spans="1:103" x14ac:dyDescent="0.3">
      <c r="A158" s="41">
        <v>2025</v>
      </c>
      <c r="B158" s="83"/>
      <c r="C158" s="1"/>
      <c r="D158" s="89"/>
      <c r="E158" s="83"/>
      <c r="F158" s="1"/>
      <c r="G158" s="89"/>
      <c r="H158" s="83"/>
      <c r="I158" s="1"/>
      <c r="J158" s="89"/>
      <c r="K158" s="83"/>
      <c r="L158" s="1"/>
      <c r="M158" s="89"/>
      <c r="N158" s="83"/>
      <c r="O158" s="1"/>
      <c r="P158" s="89"/>
      <c r="Q158" s="83"/>
      <c r="R158" s="1"/>
      <c r="S158" s="89"/>
      <c r="T158" s="83"/>
      <c r="U158" s="1"/>
      <c r="V158" s="89"/>
      <c r="W158" s="83"/>
      <c r="X158" s="1"/>
      <c r="Y158" s="89"/>
      <c r="Z158" s="83"/>
      <c r="AA158" s="1"/>
      <c r="AB158" s="89"/>
      <c r="AC158" s="83"/>
      <c r="AD158" s="1"/>
      <c r="AE158" s="89"/>
      <c r="AF158" s="83"/>
      <c r="AG158" s="1"/>
      <c r="AH158" s="89"/>
      <c r="AI158" s="83"/>
      <c r="AJ158" s="1"/>
      <c r="AK158" s="89"/>
      <c r="AL158" s="83"/>
      <c r="AM158" s="1"/>
      <c r="AN158" s="89"/>
      <c r="AO158" s="83"/>
      <c r="AP158" s="1"/>
      <c r="AQ158" s="89"/>
      <c r="AR158" s="83"/>
      <c r="AS158" s="1"/>
      <c r="AT158" s="89"/>
      <c r="AU158" s="83"/>
      <c r="AV158" s="1"/>
      <c r="AW158" s="89"/>
      <c r="AX158" s="83"/>
      <c r="AY158" s="1"/>
      <c r="AZ158" s="89"/>
    </row>
    <row r="159" spans="1:103" x14ac:dyDescent="0.3">
      <c r="A159" s="41">
        <v>2026</v>
      </c>
      <c r="B159" s="83"/>
      <c r="C159" s="1"/>
      <c r="D159" s="89"/>
      <c r="E159" s="83"/>
      <c r="F159" s="1"/>
      <c r="G159" s="89"/>
      <c r="H159" s="83"/>
      <c r="I159" s="1"/>
      <c r="J159" s="89"/>
      <c r="K159" s="83"/>
      <c r="L159" s="1"/>
      <c r="M159" s="89"/>
      <c r="N159" s="83"/>
      <c r="O159" s="1"/>
      <c r="P159" s="89"/>
      <c r="Q159" s="83"/>
      <c r="R159" s="1"/>
      <c r="S159" s="89"/>
      <c r="T159" s="83"/>
      <c r="U159" s="1"/>
      <c r="V159" s="89"/>
      <c r="W159" s="83"/>
      <c r="X159" s="1"/>
      <c r="Y159" s="89"/>
      <c r="Z159" s="83"/>
      <c r="AA159" s="1"/>
      <c r="AB159" s="89"/>
      <c r="AC159" s="83"/>
      <c r="AD159" s="1"/>
      <c r="AE159" s="89"/>
      <c r="AF159" s="83"/>
      <c r="AG159" s="1"/>
      <c r="AH159" s="89"/>
      <c r="AI159" s="83"/>
      <c r="AJ159" s="1"/>
      <c r="AK159" s="89"/>
      <c r="AL159" s="83"/>
      <c r="AM159" s="1"/>
      <c r="AN159" s="89"/>
      <c r="AO159" s="83"/>
      <c r="AP159" s="1"/>
      <c r="AQ159" s="89"/>
      <c r="AR159" s="83"/>
      <c r="AS159" s="1"/>
      <c r="AT159" s="89"/>
      <c r="AU159" s="83"/>
      <c r="AV159" s="1"/>
      <c r="AW159" s="89"/>
      <c r="AX159" s="83"/>
      <c r="AY159" s="1"/>
      <c r="AZ159" s="89"/>
    </row>
    <row r="160" spans="1:103" x14ac:dyDescent="0.3">
      <c r="A160" s="41">
        <v>2027</v>
      </c>
      <c r="B160" s="83"/>
      <c r="C160" s="1"/>
      <c r="D160" s="89"/>
      <c r="E160" s="83"/>
      <c r="F160" s="1"/>
      <c r="G160" s="89"/>
      <c r="H160" s="83"/>
      <c r="I160" s="1"/>
      <c r="J160" s="89"/>
      <c r="K160" s="83"/>
      <c r="L160" s="1"/>
      <c r="M160" s="89"/>
      <c r="N160" s="83"/>
      <c r="O160" s="1"/>
      <c r="P160" s="89"/>
      <c r="Q160" s="83"/>
      <c r="R160" s="1"/>
      <c r="S160" s="89"/>
      <c r="T160" s="83"/>
      <c r="U160" s="1"/>
      <c r="V160" s="89"/>
      <c r="W160" s="83"/>
      <c r="X160" s="1"/>
      <c r="Y160" s="89"/>
      <c r="Z160" s="83"/>
      <c r="AA160" s="1"/>
      <c r="AB160" s="89"/>
      <c r="AC160" s="83"/>
      <c r="AD160" s="1"/>
      <c r="AE160" s="89"/>
      <c r="AF160" s="83"/>
      <c r="AG160" s="1"/>
      <c r="AH160" s="89"/>
      <c r="AI160" s="83"/>
      <c r="AJ160" s="1"/>
      <c r="AK160" s="89"/>
      <c r="AL160" s="83"/>
      <c r="AM160" s="1"/>
      <c r="AN160" s="89"/>
      <c r="AO160" s="83"/>
      <c r="AP160" s="1"/>
      <c r="AQ160" s="89"/>
      <c r="AR160" s="83"/>
      <c r="AS160" s="1"/>
      <c r="AT160" s="89"/>
      <c r="AU160" s="83"/>
      <c r="AV160" s="1"/>
      <c r="AW160" s="89"/>
      <c r="AX160" s="83"/>
      <c r="AY160" s="1"/>
      <c r="AZ160" s="89"/>
    </row>
    <row r="161" spans="1:52" x14ac:dyDescent="0.3">
      <c r="A161" s="41">
        <v>2028</v>
      </c>
      <c r="B161" s="83"/>
      <c r="C161" s="1"/>
      <c r="D161" s="89"/>
      <c r="E161" s="83"/>
      <c r="F161" s="1"/>
      <c r="G161" s="89"/>
      <c r="H161" s="83"/>
      <c r="I161" s="1"/>
      <c r="J161" s="89"/>
      <c r="K161" s="83"/>
      <c r="L161" s="1"/>
      <c r="M161" s="89"/>
      <c r="N161" s="83"/>
      <c r="O161" s="1"/>
      <c r="P161" s="89"/>
      <c r="Q161" s="83"/>
      <c r="R161" s="1"/>
      <c r="S161" s="89"/>
      <c r="T161" s="83"/>
      <c r="U161" s="1"/>
      <c r="V161" s="89"/>
      <c r="W161" s="83"/>
      <c r="X161" s="1"/>
      <c r="Y161" s="89"/>
      <c r="Z161" s="83"/>
      <c r="AA161" s="1"/>
      <c r="AB161" s="89"/>
      <c r="AC161" s="83"/>
      <c r="AD161" s="1"/>
      <c r="AE161" s="89"/>
      <c r="AF161" s="83"/>
      <c r="AG161" s="1"/>
      <c r="AH161" s="89"/>
      <c r="AI161" s="83"/>
      <c r="AJ161" s="1"/>
      <c r="AK161" s="89"/>
      <c r="AL161" s="83"/>
      <c r="AM161" s="1"/>
      <c r="AN161" s="89"/>
      <c r="AO161" s="83"/>
      <c r="AP161" s="1"/>
      <c r="AQ161" s="89"/>
      <c r="AR161" s="83"/>
      <c r="AS161" s="1"/>
      <c r="AT161" s="89"/>
      <c r="AU161" s="83"/>
      <c r="AV161" s="1"/>
      <c r="AW161" s="89"/>
      <c r="AX161" s="83"/>
      <c r="AY161" s="1"/>
      <c r="AZ161" s="89"/>
    </row>
    <row r="162" spans="1:52" x14ac:dyDescent="0.3">
      <c r="A162" s="41">
        <v>2029</v>
      </c>
      <c r="B162" s="83"/>
      <c r="C162" s="1"/>
      <c r="D162" s="89"/>
      <c r="E162" s="83"/>
      <c r="F162" s="1"/>
      <c r="G162" s="89"/>
      <c r="H162" s="83"/>
      <c r="I162" s="1"/>
      <c r="J162" s="89"/>
      <c r="K162" s="83"/>
      <c r="L162" s="1"/>
      <c r="M162" s="89"/>
      <c r="N162" s="83"/>
      <c r="O162" s="1"/>
      <c r="P162" s="89"/>
      <c r="Q162" s="83"/>
      <c r="R162" s="1"/>
      <c r="S162" s="89"/>
      <c r="T162" s="83"/>
      <c r="U162" s="1"/>
      <c r="V162" s="89"/>
      <c r="W162" s="83"/>
      <c r="X162" s="1"/>
      <c r="Y162" s="89"/>
      <c r="Z162" s="83"/>
      <c r="AA162" s="1"/>
      <c r="AB162" s="89"/>
      <c r="AC162" s="83"/>
      <c r="AD162" s="1"/>
      <c r="AE162" s="89"/>
      <c r="AF162" s="83"/>
      <c r="AG162" s="1"/>
      <c r="AH162" s="89"/>
      <c r="AI162" s="83"/>
      <c r="AJ162" s="1"/>
      <c r="AK162" s="89"/>
      <c r="AL162" s="83"/>
      <c r="AM162" s="1"/>
      <c r="AN162" s="89"/>
      <c r="AO162" s="83"/>
      <c r="AP162" s="1"/>
      <c r="AQ162" s="89"/>
      <c r="AR162" s="83"/>
      <c r="AS162" s="1"/>
      <c r="AT162" s="89"/>
      <c r="AU162" s="83"/>
      <c r="AV162" s="1"/>
      <c r="AW162" s="89"/>
      <c r="AX162" s="83"/>
      <c r="AY162" s="1"/>
      <c r="AZ162" s="89"/>
    </row>
    <row r="163" spans="1:52" x14ac:dyDescent="0.3">
      <c r="A163" s="41">
        <v>2030</v>
      </c>
      <c r="B163" s="83"/>
      <c r="C163" s="1"/>
      <c r="D163" s="89"/>
      <c r="E163" s="83"/>
      <c r="F163" s="1"/>
      <c r="G163" s="89"/>
      <c r="H163" s="83"/>
      <c r="I163" s="1"/>
      <c r="J163" s="89"/>
      <c r="K163" s="83"/>
      <c r="L163" s="1"/>
      <c r="M163" s="89"/>
      <c r="N163" s="83">
        <v>42.699999999999996</v>
      </c>
      <c r="O163" s="1">
        <v>57.95</v>
      </c>
      <c r="P163" s="89">
        <v>73.2</v>
      </c>
      <c r="Q163" s="83">
        <v>36.6</v>
      </c>
      <c r="R163" s="1">
        <v>45.75</v>
      </c>
      <c r="S163" s="89">
        <v>54.9</v>
      </c>
      <c r="T163" s="83">
        <v>36.6</v>
      </c>
      <c r="U163" s="1">
        <v>45.75</v>
      </c>
      <c r="V163" s="89">
        <v>54.9</v>
      </c>
      <c r="W163" s="83">
        <v>42.699999999999996</v>
      </c>
      <c r="X163" s="1">
        <v>48.8</v>
      </c>
      <c r="Y163" s="89">
        <v>54.9</v>
      </c>
      <c r="Z163" s="83">
        <v>48.8</v>
      </c>
      <c r="AA163" s="1">
        <v>61</v>
      </c>
      <c r="AB163" s="89">
        <v>73.2</v>
      </c>
      <c r="AC163" s="83">
        <v>36.6</v>
      </c>
      <c r="AD163" s="1">
        <v>48.8</v>
      </c>
      <c r="AE163" s="89">
        <v>61</v>
      </c>
      <c r="AF163" s="83">
        <v>36.6</v>
      </c>
      <c r="AG163" s="1">
        <v>48.8</v>
      </c>
      <c r="AH163" s="89">
        <v>61</v>
      </c>
      <c r="AI163" s="83">
        <v>48.8</v>
      </c>
      <c r="AJ163" s="1">
        <v>64.05</v>
      </c>
      <c r="AK163" s="89">
        <v>79.3</v>
      </c>
      <c r="AL163" s="83">
        <v>36.6</v>
      </c>
      <c r="AM163" s="1">
        <v>51.849999999999994</v>
      </c>
      <c r="AN163" s="89">
        <v>67.099999999999994</v>
      </c>
      <c r="AO163" s="83">
        <v>36.6</v>
      </c>
      <c r="AP163" s="1">
        <v>51.849999999999994</v>
      </c>
      <c r="AQ163" s="89">
        <v>67.099999999999994</v>
      </c>
      <c r="AR163" s="83">
        <v>61</v>
      </c>
      <c r="AS163" s="1">
        <v>76.25</v>
      </c>
      <c r="AT163" s="89">
        <v>91.5</v>
      </c>
      <c r="AU163" s="83">
        <v>42.699999999999996</v>
      </c>
      <c r="AV163" s="1">
        <v>54.899999999999991</v>
      </c>
      <c r="AW163" s="89">
        <v>67.099999999999994</v>
      </c>
      <c r="AX163" s="83">
        <v>42.699999999999996</v>
      </c>
      <c r="AY163" s="1">
        <v>54.899999999999991</v>
      </c>
      <c r="AZ163" s="89">
        <v>67.099999999999994</v>
      </c>
    </row>
    <row r="164" spans="1:52" x14ac:dyDescent="0.3">
      <c r="A164" s="41">
        <v>2031</v>
      </c>
      <c r="B164" s="83"/>
      <c r="C164" s="1"/>
      <c r="D164" s="89"/>
      <c r="E164" s="83"/>
      <c r="F164" s="1"/>
      <c r="G164" s="89"/>
      <c r="H164" s="83"/>
      <c r="I164" s="1"/>
      <c r="J164" s="89"/>
      <c r="K164" s="83"/>
      <c r="L164" s="1"/>
      <c r="M164" s="89"/>
      <c r="N164" s="83"/>
      <c r="O164" s="1"/>
      <c r="P164" s="89"/>
      <c r="Q164" s="83"/>
      <c r="R164" s="1"/>
      <c r="S164" s="89"/>
      <c r="T164" s="83"/>
      <c r="U164" s="1"/>
      <c r="V164" s="89"/>
      <c r="W164" s="83"/>
      <c r="X164" s="1"/>
      <c r="Y164" s="89"/>
      <c r="Z164" s="83"/>
      <c r="AA164" s="1"/>
      <c r="AB164" s="89"/>
      <c r="AC164" s="83"/>
      <c r="AD164" s="1"/>
      <c r="AE164" s="89"/>
      <c r="AF164" s="83"/>
      <c r="AG164" s="1"/>
      <c r="AH164" s="89"/>
      <c r="AI164" s="83"/>
      <c r="AJ164" s="1"/>
      <c r="AK164" s="89"/>
      <c r="AL164" s="83"/>
      <c r="AM164" s="1"/>
      <c r="AN164" s="89"/>
      <c r="AO164" s="83"/>
      <c r="AP164" s="1"/>
      <c r="AQ164" s="89"/>
      <c r="AR164" s="83"/>
      <c r="AS164" s="1"/>
      <c r="AT164" s="89"/>
      <c r="AU164" s="83"/>
      <c r="AV164" s="1"/>
      <c r="AW164" s="89"/>
      <c r="AX164" s="83"/>
      <c r="AY164" s="1"/>
      <c r="AZ164" s="89"/>
    </row>
    <row r="165" spans="1:52" x14ac:dyDescent="0.3">
      <c r="A165" s="41">
        <v>2032</v>
      </c>
      <c r="B165" s="83"/>
      <c r="C165" s="1"/>
      <c r="D165" s="89"/>
      <c r="E165" s="83"/>
      <c r="F165" s="1"/>
      <c r="G165" s="89"/>
      <c r="H165" s="83"/>
      <c r="I165" s="1"/>
      <c r="J165" s="89"/>
      <c r="K165" s="83"/>
      <c r="L165" s="1"/>
      <c r="M165" s="89"/>
      <c r="N165" s="83"/>
      <c r="O165" s="1"/>
      <c r="P165" s="89"/>
      <c r="Q165" s="83"/>
      <c r="R165" s="1"/>
      <c r="S165" s="89"/>
      <c r="T165" s="83"/>
      <c r="U165" s="1"/>
      <c r="V165" s="89"/>
      <c r="W165" s="83"/>
      <c r="X165" s="1"/>
      <c r="Y165" s="89"/>
      <c r="Z165" s="83"/>
      <c r="AA165" s="1"/>
      <c r="AB165" s="89"/>
      <c r="AC165" s="83"/>
      <c r="AD165" s="1"/>
      <c r="AE165" s="89"/>
      <c r="AF165" s="83"/>
      <c r="AG165" s="1"/>
      <c r="AH165" s="89"/>
      <c r="AI165" s="83"/>
      <c r="AJ165" s="1"/>
      <c r="AK165" s="89"/>
      <c r="AL165" s="83"/>
      <c r="AM165" s="1"/>
      <c r="AN165" s="89"/>
      <c r="AO165" s="83"/>
      <c r="AP165" s="1"/>
      <c r="AQ165" s="89"/>
      <c r="AR165" s="83"/>
      <c r="AS165" s="1"/>
      <c r="AT165" s="89"/>
      <c r="AU165" s="83"/>
      <c r="AV165" s="1"/>
      <c r="AW165" s="89"/>
      <c r="AX165" s="83"/>
      <c r="AY165" s="1"/>
      <c r="AZ165" s="89"/>
    </row>
    <row r="166" spans="1:52" x14ac:dyDescent="0.3">
      <c r="A166" s="41">
        <v>2033</v>
      </c>
      <c r="B166" s="83"/>
      <c r="C166" s="1"/>
      <c r="D166" s="89"/>
      <c r="E166" s="83"/>
      <c r="F166" s="1"/>
      <c r="G166" s="89"/>
      <c r="H166" s="83"/>
      <c r="I166" s="1"/>
      <c r="J166" s="89"/>
      <c r="K166" s="83"/>
      <c r="L166" s="1"/>
      <c r="M166" s="89"/>
      <c r="N166" s="83"/>
      <c r="O166" s="1"/>
      <c r="P166" s="89"/>
      <c r="Q166" s="83"/>
      <c r="R166" s="1"/>
      <c r="S166" s="89"/>
      <c r="T166" s="83"/>
      <c r="U166" s="1"/>
      <c r="V166" s="89"/>
      <c r="W166" s="83"/>
      <c r="X166" s="1"/>
      <c r="Y166" s="89"/>
      <c r="Z166" s="83"/>
      <c r="AA166" s="1"/>
      <c r="AB166" s="89"/>
      <c r="AC166" s="83"/>
      <c r="AD166" s="1"/>
      <c r="AE166" s="89"/>
      <c r="AF166" s="83"/>
      <c r="AG166" s="1"/>
      <c r="AH166" s="89"/>
      <c r="AI166" s="83"/>
      <c r="AJ166" s="1"/>
      <c r="AK166" s="89"/>
      <c r="AL166" s="83"/>
      <c r="AM166" s="1"/>
      <c r="AN166" s="89"/>
      <c r="AO166" s="83"/>
      <c r="AP166" s="1"/>
      <c r="AQ166" s="89"/>
      <c r="AR166" s="83"/>
      <c r="AS166" s="1"/>
      <c r="AT166" s="89"/>
      <c r="AU166" s="83"/>
      <c r="AV166" s="1"/>
      <c r="AW166" s="89"/>
      <c r="AX166" s="83"/>
      <c r="AY166" s="1"/>
      <c r="AZ166" s="89"/>
    </row>
    <row r="167" spans="1:52" x14ac:dyDescent="0.3">
      <c r="A167" s="41">
        <v>2034</v>
      </c>
      <c r="B167" s="83"/>
      <c r="C167" s="1"/>
      <c r="D167" s="89"/>
      <c r="E167" s="83"/>
      <c r="F167" s="1"/>
      <c r="G167" s="89"/>
      <c r="H167" s="83"/>
      <c r="I167" s="1"/>
      <c r="J167" s="89"/>
      <c r="K167" s="83"/>
      <c r="L167" s="1"/>
      <c r="M167" s="89"/>
      <c r="N167" s="83"/>
      <c r="O167" s="1"/>
      <c r="P167" s="89"/>
      <c r="Q167" s="83"/>
      <c r="R167" s="1"/>
      <c r="S167" s="89"/>
      <c r="T167" s="83"/>
      <c r="U167" s="1"/>
      <c r="V167" s="89"/>
      <c r="W167" s="83"/>
      <c r="X167" s="1"/>
      <c r="Y167" s="89"/>
      <c r="Z167" s="83"/>
      <c r="AA167" s="1"/>
      <c r="AB167" s="89"/>
      <c r="AC167" s="83"/>
      <c r="AD167" s="1"/>
      <c r="AE167" s="89"/>
      <c r="AF167" s="83"/>
      <c r="AG167" s="1"/>
      <c r="AH167" s="89"/>
      <c r="AI167" s="83"/>
      <c r="AJ167" s="1"/>
      <c r="AK167" s="89"/>
      <c r="AL167" s="83"/>
      <c r="AM167" s="1"/>
      <c r="AN167" s="89"/>
      <c r="AO167" s="83"/>
      <c r="AP167" s="1"/>
      <c r="AQ167" s="89"/>
      <c r="AR167" s="83"/>
      <c r="AS167" s="1"/>
      <c r="AT167" s="89"/>
      <c r="AU167" s="83"/>
      <c r="AV167" s="1"/>
      <c r="AW167" s="89"/>
      <c r="AX167" s="83"/>
      <c r="AY167" s="1"/>
      <c r="AZ167" s="89"/>
    </row>
    <row r="168" spans="1:52" x14ac:dyDescent="0.3">
      <c r="A168" s="41">
        <v>2035</v>
      </c>
      <c r="B168" s="83"/>
      <c r="C168" s="1"/>
      <c r="D168" s="89"/>
      <c r="E168" s="83"/>
      <c r="F168" s="1"/>
      <c r="G168" s="89"/>
      <c r="H168" s="83"/>
      <c r="I168" s="1"/>
      <c r="J168" s="89"/>
      <c r="K168" s="83"/>
      <c r="L168" s="1"/>
      <c r="M168" s="89"/>
      <c r="N168" s="83"/>
      <c r="O168" s="1"/>
      <c r="P168" s="89"/>
      <c r="Q168" s="83"/>
      <c r="R168" s="1"/>
      <c r="S168" s="89"/>
      <c r="T168" s="83"/>
      <c r="U168" s="1"/>
      <c r="V168" s="89"/>
      <c r="W168" s="83"/>
      <c r="X168" s="1"/>
      <c r="Y168" s="89"/>
      <c r="Z168" s="83"/>
      <c r="AA168" s="1"/>
      <c r="AB168" s="89"/>
      <c r="AC168" s="83"/>
      <c r="AD168" s="1"/>
      <c r="AE168" s="89"/>
      <c r="AF168" s="83"/>
      <c r="AG168" s="1"/>
      <c r="AH168" s="89"/>
      <c r="AI168" s="83"/>
      <c r="AJ168" s="1"/>
      <c r="AK168" s="89"/>
      <c r="AL168" s="83"/>
      <c r="AM168" s="1"/>
      <c r="AN168" s="89"/>
      <c r="AO168" s="83"/>
      <c r="AP168" s="1"/>
      <c r="AQ168" s="89"/>
      <c r="AR168" s="83"/>
      <c r="AS168" s="1"/>
      <c r="AT168" s="89"/>
      <c r="AU168" s="83"/>
      <c r="AV168" s="1"/>
      <c r="AW168" s="89"/>
      <c r="AX168" s="83"/>
      <c r="AY168" s="1"/>
      <c r="AZ168" s="89"/>
    </row>
    <row r="169" spans="1:52" x14ac:dyDescent="0.3">
      <c r="A169" s="41">
        <v>2036</v>
      </c>
      <c r="B169" s="83"/>
      <c r="C169" s="1"/>
      <c r="D169" s="89"/>
      <c r="E169" s="83"/>
      <c r="F169" s="1"/>
      <c r="G169" s="89"/>
      <c r="H169" s="83"/>
      <c r="I169" s="1"/>
      <c r="J169" s="89"/>
      <c r="K169" s="83"/>
      <c r="L169" s="1"/>
      <c r="M169" s="89"/>
      <c r="N169" s="83"/>
      <c r="O169" s="1"/>
      <c r="P169" s="89"/>
      <c r="Q169" s="83"/>
      <c r="R169" s="1"/>
      <c r="S169" s="89"/>
      <c r="T169" s="83"/>
      <c r="U169" s="1"/>
      <c r="V169" s="89"/>
      <c r="W169" s="83"/>
      <c r="X169" s="1"/>
      <c r="Y169" s="89"/>
      <c r="Z169" s="83"/>
      <c r="AA169" s="1"/>
      <c r="AB169" s="89"/>
      <c r="AC169" s="83"/>
      <c r="AD169" s="1"/>
      <c r="AE169" s="89"/>
      <c r="AF169" s="83"/>
      <c r="AG169" s="1"/>
      <c r="AH169" s="89"/>
      <c r="AI169" s="83"/>
      <c r="AJ169" s="1"/>
      <c r="AK169" s="89"/>
      <c r="AL169" s="83"/>
      <c r="AM169" s="1"/>
      <c r="AN169" s="89"/>
      <c r="AO169" s="83"/>
      <c r="AP169" s="1"/>
      <c r="AQ169" s="89"/>
      <c r="AR169" s="83"/>
      <c r="AS169" s="1"/>
      <c r="AT169" s="89"/>
      <c r="AU169" s="83"/>
      <c r="AV169" s="1"/>
      <c r="AW169" s="89"/>
      <c r="AX169" s="83"/>
      <c r="AY169" s="1"/>
      <c r="AZ169" s="89"/>
    </row>
    <row r="170" spans="1:52" x14ac:dyDescent="0.3">
      <c r="A170" s="41">
        <v>2037</v>
      </c>
      <c r="B170" s="83"/>
      <c r="C170" s="1"/>
      <c r="D170" s="89"/>
      <c r="E170" s="83"/>
      <c r="F170" s="1"/>
      <c r="G170" s="89"/>
      <c r="H170" s="83"/>
      <c r="I170" s="1"/>
      <c r="J170" s="89"/>
      <c r="K170" s="83"/>
      <c r="L170" s="1"/>
      <c r="M170" s="89"/>
      <c r="N170" s="83"/>
      <c r="O170" s="1"/>
      <c r="P170" s="89"/>
      <c r="Q170" s="83"/>
      <c r="R170" s="1"/>
      <c r="S170" s="89"/>
      <c r="T170" s="83"/>
      <c r="U170" s="1"/>
      <c r="V170" s="89"/>
      <c r="W170" s="83"/>
      <c r="X170" s="1"/>
      <c r="Y170" s="89"/>
      <c r="Z170" s="83"/>
      <c r="AA170" s="1"/>
      <c r="AB170" s="89"/>
      <c r="AC170" s="83"/>
      <c r="AD170" s="1"/>
      <c r="AE170" s="89"/>
      <c r="AF170" s="83"/>
      <c r="AG170" s="1"/>
      <c r="AH170" s="89"/>
      <c r="AI170" s="83"/>
      <c r="AJ170" s="1"/>
      <c r="AK170" s="89"/>
      <c r="AL170" s="83"/>
      <c r="AM170" s="1"/>
      <c r="AN170" s="89"/>
      <c r="AO170" s="83"/>
      <c r="AP170" s="1"/>
      <c r="AQ170" s="89"/>
      <c r="AR170" s="83"/>
      <c r="AS170" s="1"/>
      <c r="AT170" s="89"/>
      <c r="AU170" s="83"/>
      <c r="AV170" s="1"/>
      <c r="AW170" s="89"/>
      <c r="AX170" s="83"/>
      <c r="AY170" s="1"/>
      <c r="AZ170" s="89"/>
    </row>
    <row r="171" spans="1:52" x14ac:dyDescent="0.3">
      <c r="A171" s="41">
        <v>2038</v>
      </c>
      <c r="B171" s="83"/>
      <c r="C171" s="1"/>
      <c r="D171" s="89"/>
      <c r="E171" s="83"/>
      <c r="F171" s="1"/>
      <c r="G171" s="89"/>
      <c r="H171" s="83"/>
      <c r="I171" s="1"/>
      <c r="J171" s="89"/>
      <c r="K171" s="83"/>
      <c r="L171" s="1"/>
      <c r="M171" s="89"/>
      <c r="N171" s="83"/>
      <c r="O171" s="1"/>
      <c r="P171" s="89"/>
      <c r="Q171" s="83"/>
      <c r="R171" s="1"/>
      <c r="S171" s="89"/>
      <c r="T171" s="83"/>
      <c r="U171" s="1"/>
      <c r="V171" s="89"/>
      <c r="W171" s="83"/>
      <c r="X171" s="1"/>
      <c r="Y171" s="89"/>
      <c r="Z171" s="83"/>
      <c r="AA171" s="1"/>
      <c r="AB171" s="89"/>
      <c r="AC171" s="83"/>
      <c r="AD171" s="1"/>
      <c r="AE171" s="89"/>
      <c r="AF171" s="83"/>
      <c r="AG171" s="1"/>
      <c r="AH171" s="89"/>
      <c r="AI171" s="83"/>
      <c r="AJ171" s="1"/>
      <c r="AK171" s="89"/>
      <c r="AL171" s="83"/>
      <c r="AM171" s="1"/>
      <c r="AN171" s="89"/>
      <c r="AO171" s="83"/>
      <c r="AP171" s="1"/>
      <c r="AQ171" s="89"/>
      <c r="AR171" s="83"/>
      <c r="AS171" s="1"/>
      <c r="AT171" s="89"/>
      <c r="AU171" s="83"/>
      <c r="AV171" s="1"/>
      <c r="AW171" s="89"/>
      <c r="AX171" s="83"/>
      <c r="AY171" s="1"/>
      <c r="AZ171" s="89"/>
    </row>
    <row r="172" spans="1:52" x14ac:dyDescent="0.3">
      <c r="A172" s="41">
        <v>2039</v>
      </c>
      <c r="B172" s="83"/>
      <c r="C172" s="1"/>
      <c r="D172" s="89"/>
      <c r="E172" s="83"/>
      <c r="F172" s="1"/>
      <c r="G172" s="89"/>
      <c r="H172" s="83"/>
      <c r="I172" s="1"/>
      <c r="J172" s="89"/>
      <c r="K172" s="83"/>
      <c r="L172" s="1"/>
      <c r="M172" s="89"/>
      <c r="N172" s="83"/>
      <c r="O172" s="1"/>
      <c r="P172" s="89"/>
      <c r="Q172" s="83"/>
      <c r="R172" s="1"/>
      <c r="S172" s="89"/>
      <c r="T172" s="83"/>
      <c r="U172" s="1"/>
      <c r="V172" s="89"/>
      <c r="W172" s="83"/>
      <c r="X172" s="1"/>
      <c r="Y172" s="89"/>
      <c r="Z172" s="83"/>
      <c r="AA172" s="1"/>
      <c r="AB172" s="89"/>
      <c r="AC172" s="83"/>
      <c r="AD172" s="1"/>
      <c r="AE172" s="89"/>
      <c r="AF172" s="83"/>
      <c r="AG172" s="1"/>
      <c r="AH172" s="89"/>
      <c r="AI172" s="83"/>
      <c r="AJ172" s="1"/>
      <c r="AK172" s="89"/>
      <c r="AL172" s="83"/>
      <c r="AM172" s="1"/>
      <c r="AN172" s="89"/>
      <c r="AO172" s="83"/>
      <c r="AP172" s="1"/>
      <c r="AQ172" s="89"/>
      <c r="AR172" s="83"/>
      <c r="AS172" s="1"/>
      <c r="AT172" s="89"/>
      <c r="AU172" s="83"/>
      <c r="AV172" s="1"/>
      <c r="AW172" s="89"/>
      <c r="AX172" s="83"/>
      <c r="AY172" s="1"/>
      <c r="AZ172" s="89"/>
    </row>
    <row r="173" spans="1:52" x14ac:dyDescent="0.3">
      <c r="A173" s="41">
        <v>2040</v>
      </c>
      <c r="B173" s="83">
        <v>70.95</v>
      </c>
      <c r="C173" s="1">
        <v>103.20000000000002</v>
      </c>
      <c r="D173" s="89">
        <v>135.45000000000002</v>
      </c>
      <c r="E173" s="83">
        <v>69.3</v>
      </c>
      <c r="F173" s="1">
        <v>91.35</v>
      </c>
      <c r="G173" s="89">
        <v>113.4</v>
      </c>
      <c r="H173" s="83">
        <v>50.4</v>
      </c>
      <c r="I173" s="1">
        <v>63</v>
      </c>
      <c r="J173" s="89">
        <v>75.599999999999994</v>
      </c>
      <c r="K173" s="83">
        <v>44.1</v>
      </c>
      <c r="L173" s="1">
        <v>50.400000000000006</v>
      </c>
      <c r="M173" s="89">
        <v>56.7</v>
      </c>
      <c r="N173" s="83"/>
      <c r="O173" s="1"/>
      <c r="P173" s="89"/>
      <c r="Q173" s="83"/>
      <c r="R173" s="1"/>
      <c r="S173" s="89"/>
      <c r="T173" s="83"/>
      <c r="U173" s="1"/>
      <c r="V173" s="89"/>
      <c r="W173" s="83"/>
      <c r="X173" s="1"/>
      <c r="Y173" s="89"/>
      <c r="Z173" s="83"/>
      <c r="AA173" s="1"/>
      <c r="AB173" s="89"/>
      <c r="AC173" s="83"/>
      <c r="AD173" s="1"/>
      <c r="AE173" s="89"/>
      <c r="AF173" s="83"/>
      <c r="AG173" s="1"/>
      <c r="AH173" s="89"/>
      <c r="AI173" s="83"/>
      <c r="AJ173" s="1"/>
      <c r="AK173" s="89"/>
      <c r="AL173" s="83"/>
      <c r="AM173" s="1"/>
      <c r="AN173" s="89"/>
      <c r="AO173" s="83"/>
      <c r="AP173" s="1"/>
      <c r="AQ173" s="89"/>
      <c r="AR173" s="83"/>
      <c r="AS173" s="1"/>
      <c r="AT173" s="89"/>
      <c r="AU173" s="83"/>
      <c r="AV173" s="1"/>
      <c r="AW173" s="89"/>
      <c r="AX173" s="83"/>
      <c r="AY173" s="1"/>
      <c r="AZ173" s="89"/>
    </row>
    <row r="174" spans="1:52" x14ac:dyDescent="0.3">
      <c r="A174" s="41">
        <v>2041</v>
      </c>
      <c r="B174" s="83"/>
      <c r="C174" s="1"/>
      <c r="D174" s="89"/>
      <c r="E174" s="83"/>
      <c r="F174" s="1"/>
      <c r="G174" s="89"/>
      <c r="H174" s="83"/>
      <c r="I174" s="1"/>
      <c r="J174" s="89"/>
      <c r="K174" s="83"/>
      <c r="L174" s="1"/>
      <c r="M174" s="89"/>
      <c r="N174" s="83"/>
      <c r="O174" s="1"/>
      <c r="P174" s="89"/>
      <c r="Q174" s="83"/>
      <c r="R174" s="1"/>
      <c r="S174" s="89"/>
      <c r="T174" s="83"/>
      <c r="U174" s="1"/>
      <c r="V174" s="89"/>
      <c r="W174" s="83"/>
      <c r="X174" s="1"/>
      <c r="Y174" s="89"/>
      <c r="Z174" s="83"/>
      <c r="AA174" s="1"/>
      <c r="AB174" s="89"/>
      <c r="AC174" s="83"/>
      <c r="AD174" s="1"/>
      <c r="AE174" s="89"/>
      <c r="AF174" s="83"/>
      <c r="AG174" s="1"/>
      <c r="AH174" s="89"/>
      <c r="AI174" s="83"/>
      <c r="AJ174" s="1"/>
      <c r="AK174" s="89"/>
      <c r="AL174" s="83"/>
      <c r="AM174" s="1"/>
      <c r="AN174" s="89"/>
      <c r="AO174" s="83"/>
      <c r="AP174" s="1"/>
      <c r="AQ174" s="89"/>
      <c r="AR174" s="83"/>
      <c r="AS174" s="1"/>
      <c r="AT174" s="89"/>
      <c r="AU174" s="83"/>
      <c r="AV174" s="1"/>
      <c r="AW174" s="89"/>
      <c r="AX174" s="83"/>
      <c r="AY174" s="1"/>
      <c r="AZ174" s="89"/>
    </row>
    <row r="175" spans="1:52" x14ac:dyDescent="0.3">
      <c r="A175" s="41">
        <v>2042</v>
      </c>
      <c r="B175" s="83"/>
      <c r="C175" s="1"/>
      <c r="D175" s="89"/>
      <c r="E175" s="83"/>
      <c r="F175" s="1"/>
      <c r="G175" s="89"/>
      <c r="H175" s="83"/>
      <c r="I175" s="1"/>
      <c r="J175" s="89"/>
      <c r="K175" s="83"/>
      <c r="L175" s="1"/>
      <c r="M175" s="89"/>
      <c r="N175" s="83"/>
      <c r="O175" s="1"/>
      <c r="P175" s="89"/>
      <c r="Q175" s="83"/>
      <c r="R175" s="1"/>
      <c r="S175" s="89"/>
      <c r="T175" s="83"/>
      <c r="U175" s="1"/>
      <c r="V175" s="89"/>
      <c r="W175" s="83"/>
      <c r="X175" s="1"/>
      <c r="Y175" s="89"/>
      <c r="Z175" s="83"/>
      <c r="AA175" s="1"/>
      <c r="AB175" s="89"/>
      <c r="AC175" s="83"/>
      <c r="AD175" s="1"/>
      <c r="AE175" s="89"/>
      <c r="AF175" s="83"/>
      <c r="AG175" s="1"/>
      <c r="AH175" s="89"/>
      <c r="AI175" s="83"/>
      <c r="AJ175" s="1"/>
      <c r="AK175" s="89"/>
      <c r="AL175" s="83"/>
      <c r="AM175" s="1"/>
      <c r="AN175" s="89"/>
      <c r="AO175" s="83"/>
      <c r="AP175" s="1"/>
      <c r="AQ175" s="89"/>
      <c r="AR175" s="83"/>
      <c r="AS175" s="1"/>
      <c r="AT175" s="89"/>
      <c r="AU175" s="83"/>
      <c r="AV175" s="1"/>
      <c r="AW175" s="89"/>
      <c r="AX175" s="83"/>
      <c r="AY175" s="1"/>
      <c r="AZ175" s="89"/>
    </row>
    <row r="176" spans="1:52" x14ac:dyDescent="0.3">
      <c r="A176" s="41">
        <v>2043</v>
      </c>
      <c r="B176" s="83"/>
      <c r="C176" s="1"/>
      <c r="D176" s="89"/>
      <c r="E176" s="83"/>
      <c r="F176" s="1"/>
      <c r="G176" s="89"/>
      <c r="H176" s="83"/>
      <c r="I176" s="1"/>
      <c r="J176" s="89"/>
      <c r="K176" s="83"/>
      <c r="L176" s="1"/>
      <c r="M176" s="89"/>
      <c r="N176" s="83"/>
      <c r="O176" s="1"/>
      <c r="P176" s="89"/>
      <c r="Q176" s="83"/>
      <c r="R176" s="1"/>
      <c r="S176" s="89"/>
      <c r="T176" s="83"/>
      <c r="U176" s="1"/>
      <c r="V176" s="89"/>
      <c r="W176" s="83"/>
      <c r="X176" s="1"/>
      <c r="Y176" s="89"/>
      <c r="Z176" s="83"/>
      <c r="AA176" s="1"/>
      <c r="AB176" s="89"/>
      <c r="AC176" s="83"/>
      <c r="AD176" s="1"/>
      <c r="AE176" s="89"/>
      <c r="AF176" s="83"/>
      <c r="AG176" s="1"/>
      <c r="AH176" s="89"/>
      <c r="AI176" s="83"/>
      <c r="AJ176" s="1"/>
      <c r="AK176" s="89"/>
      <c r="AL176" s="83"/>
      <c r="AM176" s="1"/>
      <c r="AN176" s="89"/>
      <c r="AO176" s="83"/>
      <c r="AP176" s="1"/>
      <c r="AQ176" s="89"/>
      <c r="AR176" s="83"/>
      <c r="AS176" s="1"/>
      <c r="AT176" s="89"/>
      <c r="AU176" s="83"/>
      <c r="AV176" s="1"/>
      <c r="AW176" s="89"/>
      <c r="AX176" s="83"/>
      <c r="AY176" s="1"/>
      <c r="AZ176" s="89"/>
    </row>
    <row r="177" spans="1:103" x14ac:dyDescent="0.3">
      <c r="A177" s="41">
        <v>2044</v>
      </c>
      <c r="B177" s="83"/>
      <c r="C177" s="1"/>
      <c r="D177" s="89"/>
      <c r="E177" s="83"/>
      <c r="F177" s="1"/>
      <c r="G177" s="89"/>
      <c r="H177" s="83"/>
      <c r="I177" s="1"/>
      <c r="J177" s="89"/>
      <c r="K177" s="83"/>
      <c r="L177" s="1"/>
      <c r="M177" s="89"/>
      <c r="N177" s="83"/>
      <c r="O177" s="1"/>
      <c r="P177" s="89"/>
      <c r="Q177" s="83"/>
      <c r="R177" s="1"/>
      <c r="S177" s="89"/>
      <c r="T177" s="83"/>
      <c r="U177" s="1"/>
      <c r="V177" s="89"/>
      <c r="W177" s="83"/>
      <c r="X177" s="1"/>
      <c r="Y177" s="89"/>
      <c r="Z177" s="83"/>
      <c r="AA177" s="1"/>
      <c r="AB177" s="89"/>
      <c r="AC177" s="83"/>
      <c r="AD177" s="1"/>
      <c r="AE177" s="89"/>
      <c r="AF177" s="83"/>
      <c r="AG177" s="1"/>
      <c r="AH177" s="89"/>
      <c r="AI177" s="83"/>
      <c r="AJ177" s="1"/>
      <c r="AK177" s="89"/>
      <c r="AL177" s="83"/>
      <c r="AM177" s="1"/>
      <c r="AN177" s="89"/>
      <c r="AO177" s="83"/>
      <c r="AP177" s="1"/>
      <c r="AQ177" s="89"/>
      <c r="AR177" s="83"/>
      <c r="AS177" s="1"/>
      <c r="AT177" s="89"/>
      <c r="AU177" s="83"/>
      <c r="AV177" s="1"/>
      <c r="AW177" s="89"/>
      <c r="AX177" s="83"/>
      <c r="AY177" s="1"/>
      <c r="AZ177" s="89"/>
    </row>
    <row r="178" spans="1:103" x14ac:dyDescent="0.3">
      <c r="A178" s="41">
        <v>2045</v>
      </c>
      <c r="B178" s="83"/>
      <c r="C178" s="1"/>
      <c r="D178" s="89"/>
      <c r="E178" s="83"/>
      <c r="F178" s="1"/>
      <c r="G178" s="89"/>
      <c r="H178" s="83"/>
      <c r="I178" s="1"/>
      <c r="J178" s="89"/>
      <c r="K178" s="83"/>
      <c r="L178" s="1"/>
      <c r="M178" s="89"/>
      <c r="N178" s="83"/>
      <c r="O178" s="1"/>
      <c r="P178" s="89"/>
      <c r="Q178" s="83"/>
      <c r="R178" s="1"/>
      <c r="S178" s="89"/>
      <c r="T178" s="83"/>
      <c r="U178" s="1"/>
      <c r="V178" s="89"/>
      <c r="W178" s="83"/>
      <c r="X178" s="1"/>
      <c r="Y178" s="89"/>
      <c r="Z178" s="83"/>
      <c r="AA178" s="1"/>
      <c r="AB178" s="89"/>
      <c r="AC178" s="83"/>
      <c r="AD178" s="1"/>
      <c r="AE178" s="89"/>
      <c r="AF178" s="83"/>
      <c r="AG178" s="1"/>
      <c r="AH178" s="89"/>
      <c r="AI178" s="83"/>
      <c r="AJ178" s="1"/>
      <c r="AK178" s="89"/>
      <c r="AL178" s="83"/>
      <c r="AM178" s="1"/>
      <c r="AN178" s="89"/>
      <c r="AO178" s="83"/>
      <c r="AP178" s="1"/>
      <c r="AQ178" s="89"/>
      <c r="AR178" s="83"/>
      <c r="AS178" s="1"/>
      <c r="AT178" s="89"/>
      <c r="AU178" s="83"/>
      <c r="AV178" s="1"/>
      <c r="AW178" s="89"/>
      <c r="AX178" s="83"/>
      <c r="AY178" s="1"/>
      <c r="AZ178" s="89"/>
    </row>
    <row r="179" spans="1:103" x14ac:dyDescent="0.3">
      <c r="A179" s="41">
        <v>2046</v>
      </c>
      <c r="B179" s="83"/>
      <c r="C179" s="1"/>
      <c r="D179" s="89"/>
      <c r="E179" s="83"/>
      <c r="F179" s="1"/>
      <c r="G179" s="89"/>
      <c r="H179" s="83"/>
      <c r="I179" s="1"/>
      <c r="J179" s="89"/>
      <c r="K179" s="83"/>
      <c r="L179" s="1"/>
      <c r="M179" s="89"/>
      <c r="N179" s="83"/>
      <c r="O179" s="1"/>
      <c r="P179" s="89"/>
      <c r="Q179" s="83"/>
      <c r="R179" s="1"/>
      <c r="S179" s="89"/>
      <c r="T179" s="83"/>
      <c r="U179" s="1"/>
      <c r="V179" s="89"/>
      <c r="W179" s="83"/>
      <c r="X179" s="1"/>
      <c r="Y179" s="89"/>
      <c r="Z179" s="83"/>
      <c r="AA179" s="1"/>
      <c r="AB179" s="89"/>
      <c r="AC179" s="83"/>
      <c r="AD179" s="1"/>
      <c r="AE179" s="89"/>
      <c r="AF179" s="83"/>
      <c r="AG179" s="1"/>
      <c r="AH179" s="89"/>
      <c r="AI179" s="83"/>
      <c r="AJ179" s="1"/>
      <c r="AK179" s="89"/>
      <c r="AL179" s="83"/>
      <c r="AM179" s="1"/>
      <c r="AN179" s="89"/>
      <c r="AO179" s="83"/>
      <c r="AP179" s="1"/>
      <c r="AQ179" s="89"/>
      <c r="AR179" s="83"/>
      <c r="AS179" s="1"/>
      <c r="AT179" s="89"/>
      <c r="AU179" s="83"/>
      <c r="AV179" s="1"/>
      <c r="AW179" s="89"/>
      <c r="AX179" s="83"/>
      <c r="AY179" s="1"/>
      <c r="AZ179" s="89"/>
    </row>
    <row r="180" spans="1:103" x14ac:dyDescent="0.3">
      <c r="A180" s="41">
        <v>2047</v>
      </c>
      <c r="B180" s="83"/>
      <c r="C180" s="1"/>
      <c r="D180" s="89"/>
      <c r="E180" s="83"/>
      <c r="F180" s="1"/>
      <c r="G180" s="89"/>
      <c r="H180" s="83"/>
      <c r="I180" s="1"/>
      <c r="J180" s="89"/>
      <c r="K180" s="83"/>
      <c r="L180" s="1"/>
      <c r="M180" s="89"/>
      <c r="N180" s="83"/>
      <c r="O180" s="1"/>
      <c r="P180" s="89"/>
      <c r="Q180" s="83"/>
      <c r="R180" s="1"/>
      <c r="S180" s="89"/>
      <c r="T180" s="83"/>
      <c r="U180" s="1"/>
      <c r="V180" s="89"/>
      <c r="W180" s="83"/>
      <c r="X180" s="1"/>
      <c r="Y180" s="89"/>
      <c r="Z180" s="83"/>
      <c r="AA180" s="1"/>
      <c r="AB180" s="89"/>
      <c r="AC180" s="83"/>
      <c r="AD180" s="1"/>
      <c r="AE180" s="89"/>
      <c r="AF180" s="83"/>
      <c r="AG180" s="1"/>
      <c r="AH180" s="89"/>
      <c r="AI180" s="83"/>
      <c r="AJ180" s="1"/>
      <c r="AK180" s="89"/>
      <c r="AL180" s="83"/>
      <c r="AM180" s="1"/>
      <c r="AN180" s="89"/>
      <c r="AO180" s="83"/>
      <c r="AP180" s="1"/>
      <c r="AQ180" s="89"/>
      <c r="AR180" s="83"/>
      <c r="AS180" s="1"/>
      <c r="AT180" s="89"/>
      <c r="AU180" s="83"/>
      <c r="AV180" s="1"/>
      <c r="AW180" s="89"/>
      <c r="AX180" s="83"/>
      <c r="AY180" s="1"/>
      <c r="AZ180" s="89"/>
    </row>
    <row r="181" spans="1:103" x14ac:dyDescent="0.3">
      <c r="A181" s="41">
        <v>2048</v>
      </c>
      <c r="B181" s="83"/>
      <c r="C181" s="1"/>
      <c r="D181" s="89"/>
      <c r="E181" s="83"/>
      <c r="F181" s="1"/>
      <c r="G181" s="89"/>
      <c r="H181" s="83"/>
      <c r="I181" s="1"/>
      <c r="J181" s="89"/>
      <c r="K181" s="83"/>
      <c r="L181" s="1"/>
      <c r="M181" s="89"/>
      <c r="N181" s="83"/>
      <c r="O181" s="1"/>
      <c r="P181" s="89"/>
      <c r="Q181" s="83"/>
      <c r="R181" s="1"/>
      <c r="S181" s="89"/>
      <c r="T181" s="83"/>
      <c r="U181" s="1"/>
      <c r="V181" s="89"/>
      <c r="W181" s="83"/>
      <c r="X181" s="1"/>
      <c r="Y181" s="89"/>
      <c r="Z181" s="83"/>
      <c r="AA181" s="1"/>
      <c r="AB181" s="89"/>
      <c r="AC181" s="83"/>
      <c r="AD181" s="1"/>
      <c r="AE181" s="89"/>
      <c r="AF181" s="83"/>
      <c r="AG181" s="1"/>
      <c r="AH181" s="89"/>
      <c r="AI181" s="83"/>
      <c r="AJ181" s="1"/>
      <c r="AK181" s="89"/>
      <c r="AL181" s="83"/>
      <c r="AM181" s="1"/>
      <c r="AN181" s="89"/>
      <c r="AO181" s="83"/>
      <c r="AP181" s="1"/>
      <c r="AQ181" s="89"/>
      <c r="AR181" s="83"/>
      <c r="AS181" s="1"/>
      <c r="AT181" s="89"/>
      <c r="AU181" s="83"/>
      <c r="AV181" s="1"/>
      <c r="AW181" s="89"/>
      <c r="AX181" s="83"/>
      <c r="AY181" s="1"/>
      <c r="AZ181" s="89"/>
    </row>
    <row r="182" spans="1:103" x14ac:dyDescent="0.3">
      <c r="A182" s="41">
        <v>2049</v>
      </c>
      <c r="B182" s="83"/>
      <c r="C182" s="1"/>
      <c r="D182" s="89"/>
      <c r="E182" s="83"/>
      <c r="F182" s="1"/>
      <c r="G182" s="89"/>
      <c r="H182" s="83"/>
      <c r="I182" s="1"/>
      <c r="J182" s="89"/>
      <c r="K182" s="83"/>
      <c r="L182" s="1"/>
      <c r="M182" s="89"/>
      <c r="N182" s="83"/>
      <c r="O182" s="1"/>
      <c r="P182" s="89"/>
      <c r="Q182" s="83"/>
      <c r="R182" s="1"/>
      <c r="S182" s="89"/>
      <c r="T182" s="83"/>
      <c r="U182" s="1"/>
      <c r="V182" s="89"/>
      <c r="W182" s="83"/>
      <c r="X182" s="1"/>
      <c r="Y182" s="89"/>
      <c r="Z182" s="83"/>
      <c r="AA182" s="1"/>
      <c r="AB182" s="89"/>
      <c r="AC182" s="83"/>
      <c r="AD182" s="1"/>
      <c r="AE182" s="89"/>
      <c r="AF182" s="83"/>
      <c r="AG182" s="1"/>
      <c r="AH182" s="89"/>
      <c r="AI182" s="83"/>
      <c r="AJ182" s="1"/>
      <c r="AK182" s="89"/>
      <c r="AL182" s="83"/>
      <c r="AM182" s="1"/>
      <c r="AN182" s="89"/>
      <c r="AO182" s="83"/>
      <c r="AP182" s="1"/>
      <c r="AQ182" s="89"/>
      <c r="AR182" s="83"/>
      <c r="AS182" s="1"/>
      <c r="AT182" s="89"/>
      <c r="AU182" s="83"/>
      <c r="AV182" s="1"/>
      <c r="AW182" s="89"/>
      <c r="AX182" s="83"/>
      <c r="AY182" s="1"/>
      <c r="AZ182" s="89"/>
    </row>
    <row r="183" spans="1:103" ht="15" thickBot="1" x14ac:dyDescent="0.35">
      <c r="A183" s="42">
        <v>2050</v>
      </c>
      <c r="B183" s="90"/>
      <c r="C183" s="91"/>
      <c r="D183" s="92"/>
      <c r="E183" s="90"/>
      <c r="F183" s="91"/>
      <c r="G183" s="92"/>
      <c r="H183" s="90"/>
      <c r="I183" s="91"/>
      <c r="J183" s="92"/>
      <c r="K183" s="90"/>
      <c r="L183" s="91"/>
      <c r="M183" s="92"/>
      <c r="N183" s="90">
        <v>48.8</v>
      </c>
      <c r="O183" s="91">
        <v>61</v>
      </c>
      <c r="P183" s="92">
        <v>73.2</v>
      </c>
      <c r="Q183" s="90">
        <v>36.6</v>
      </c>
      <c r="R183" s="91">
        <v>45.75</v>
      </c>
      <c r="S183" s="92">
        <v>54.9</v>
      </c>
      <c r="T183" s="90">
        <v>36.6</v>
      </c>
      <c r="U183" s="91">
        <v>45.75</v>
      </c>
      <c r="V183" s="92">
        <v>54.9</v>
      </c>
      <c r="W183" s="90">
        <v>36.6</v>
      </c>
      <c r="X183" s="91">
        <v>42.7</v>
      </c>
      <c r="Y183" s="92">
        <v>48.8</v>
      </c>
      <c r="Z183" s="90">
        <v>54.9</v>
      </c>
      <c r="AA183" s="91">
        <v>64.05</v>
      </c>
      <c r="AB183" s="92">
        <v>73.2</v>
      </c>
      <c r="AC183" s="90">
        <v>36.6</v>
      </c>
      <c r="AD183" s="91">
        <v>45.75</v>
      </c>
      <c r="AE183" s="92">
        <v>54.9</v>
      </c>
      <c r="AF183" s="90">
        <v>36.6</v>
      </c>
      <c r="AG183" s="91">
        <v>45.75</v>
      </c>
      <c r="AH183" s="92">
        <v>54.9</v>
      </c>
      <c r="AI183" s="90">
        <v>48.8</v>
      </c>
      <c r="AJ183" s="91">
        <v>61</v>
      </c>
      <c r="AK183" s="92">
        <v>73.2</v>
      </c>
      <c r="AL183" s="90">
        <v>36.6</v>
      </c>
      <c r="AM183" s="91">
        <v>48.8</v>
      </c>
      <c r="AN183" s="92">
        <v>61</v>
      </c>
      <c r="AO183" s="90">
        <v>30.5</v>
      </c>
      <c r="AP183" s="91">
        <v>45.75</v>
      </c>
      <c r="AQ183" s="92">
        <v>61</v>
      </c>
      <c r="AR183" s="90">
        <v>61</v>
      </c>
      <c r="AS183" s="91">
        <v>76.25</v>
      </c>
      <c r="AT183" s="92">
        <v>91.5</v>
      </c>
      <c r="AU183" s="90">
        <v>42.699999999999996</v>
      </c>
      <c r="AV183" s="91">
        <v>51.849999999999994</v>
      </c>
      <c r="AW183" s="92">
        <v>61</v>
      </c>
      <c r="AX183" s="90">
        <v>42.699999999999996</v>
      </c>
      <c r="AY183" s="91">
        <v>51.849999999999994</v>
      </c>
      <c r="AZ183" s="92">
        <v>61</v>
      </c>
    </row>
    <row r="184" spans="1:103" ht="15" thickBot="1" x14ac:dyDescent="0.35"/>
    <row r="185" spans="1:103" ht="18.600000000000001" thickBot="1" x14ac:dyDescent="0.4">
      <c r="A185" s="289" t="s">
        <v>0</v>
      </c>
      <c r="B185" s="348" t="s">
        <v>113</v>
      </c>
      <c r="C185" s="349"/>
      <c r="D185" s="349"/>
      <c r="E185" s="349"/>
      <c r="F185" s="349"/>
      <c r="G185" s="349"/>
      <c r="H185" s="349"/>
      <c r="I185" s="349"/>
      <c r="J185" s="349"/>
      <c r="K185" s="349"/>
      <c r="L185" s="349"/>
      <c r="M185" s="349"/>
      <c r="N185" s="349"/>
      <c r="O185" s="349"/>
      <c r="P185" s="349"/>
      <c r="Q185" s="349"/>
      <c r="R185" s="349"/>
      <c r="S185" s="349"/>
      <c r="T185" s="349"/>
      <c r="U185" s="349"/>
      <c r="V185" s="349"/>
      <c r="W185" s="349"/>
      <c r="X185" s="349"/>
      <c r="Y185" s="349"/>
      <c r="Z185" s="349"/>
      <c r="AA185" s="349"/>
      <c r="AB185" s="349"/>
      <c r="AC185" s="349"/>
      <c r="AD185" s="349"/>
      <c r="AE185" s="349"/>
      <c r="AF185" s="349"/>
      <c r="AG185" s="349"/>
      <c r="AH185" s="349"/>
      <c r="AI185" s="349"/>
      <c r="AJ185" s="349"/>
      <c r="AK185" s="349"/>
      <c r="AL185" s="349"/>
      <c r="AM185" s="349"/>
      <c r="AN185" s="349"/>
      <c r="AO185" s="349"/>
      <c r="AP185" s="349"/>
      <c r="AQ185" s="349"/>
      <c r="AR185" s="349"/>
      <c r="AS185" s="349"/>
      <c r="AT185" s="349"/>
      <c r="AU185" s="349"/>
      <c r="AV185" s="349"/>
      <c r="AW185" s="349"/>
      <c r="AX185" s="349"/>
      <c r="AY185" s="349"/>
      <c r="AZ185" s="349"/>
      <c r="BA185" s="349"/>
      <c r="BB185" s="349"/>
      <c r="BC185" s="349"/>
      <c r="BD185" s="349"/>
      <c r="BE185" s="349"/>
      <c r="BF185" s="349"/>
      <c r="BG185" s="349"/>
      <c r="BH185" s="349"/>
      <c r="BI185" s="349"/>
      <c r="BJ185" s="349"/>
      <c r="BK185" s="349"/>
      <c r="BL185" s="349"/>
      <c r="BM185" s="349"/>
      <c r="BN185" s="349"/>
      <c r="BO185" s="349"/>
      <c r="BP185" s="349"/>
      <c r="BQ185" s="349"/>
      <c r="BR185" s="349"/>
      <c r="BS185" s="349"/>
      <c r="BT185" s="349"/>
      <c r="BU185" s="349"/>
      <c r="BV185" s="349"/>
      <c r="BW185" s="349"/>
      <c r="BX185" s="349"/>
      <c r="BY185" s="349"/>
      <c r="BZ185" s="349"/>
      <c r="CA185" s="349"/>
      <c r="CB185" s="349"/>
      <c r="CC185" s="349"/>
      <c r="CD185" s="349"/>
      <c r="CE185" s="349"/>
      <c r="CF185" s="349"/>
      <c r="CG185" s="349"/>
      <c r="CH185" s="349"/>
      <c r="CI185" s="349"/>
      <c r="CJ185" s="349"/>
      <c r="CK185" s="349"/>
      <c r="CL185" s="349"/>
      <c r="CM185" s="349"/>
      <c r="CN185" s="349"/>
      <c r="CO185" s="349"/>
      <c r="CP185" s="349"/>
      <c r="CQ185" s="349"/>
      <c r="CR185" s="349"/>
      <c r="CS185" s="349"/>
      <c r="CT185" s="349"/>
      <c r="CU185" s="349"/>
      <c r="CV185" s="349"/>
      <c r="CW185" s="349"/>
      <c r="CX185" s="349"/>
      <c r="CY185" s="349"/>
    </row>
    <row r="186" spans="1:103" ht="18.600000000000001" thickBot="1" x14ac:dyDescent="0.35">
      <c r="A186" s="344"/>
      <c r="B186" s="316" t="s">
        <v>338</v>
      </c>
      <c r="C186" s="317"/>
      <c r="D186" s="318"/>
      <c r="E186" s="316" t="s">
        <v>339</v>
      </c>
      <c r="F186" s="317"/>
      <c r="G186" s="318"/>
      <c r="H186" s="316" t="s">
        <v>340</v>
      </c>
      <c r="I186" s="317"/>
      <c r="J186" s="318"/>
      <c r="K186" s="316" t="s">
        <v>341</v>
      </c>
      <c r="L186" s="317"/>
      <c r="M186" s="318"/>
      <c r="N186" s="316" t="s">
        <v>342</v>
      </c>
      <c r="O186" s="317"/>
      <c r="P186" s="318"/>
      <c r="Q186" s="316" t="s">
        <v>343</v>
      </c>
      <c r="R186" s="317"/>
      <c r="S186" s="318"/>
      <c r="T186" s="316" t="s">
        <v>344</v>
      </c>
      <c r="U186" s="317"/>
      <c r="V186" s="318"/>
      <c r="W186" s="316" t="s">
        <v>345</v>
      </c>
      <c r="X186" s="317"/>
      <c r="Y186" s="318"/>
      <c r="Z186" s="316" t="s">
        <v>346</v>
      </c>
      <c r="AA186" s="317"/>
      <c r="AB186" s="318"/>
      <c r="AC186" s="316" t="s">
        <v>347</v>
      </c>
      <c r="AD186" s="317"/>
      <c r="AE186" s="318"/>
      <c r="AF186" s="316" t="s">
        <v>348</v>
      </c>
      <c r="AG186" s="317"/>
      <c r="AH186" s="318"/>
      <c r="AI186" s="316" t="s">
        <v>349</v>
      </c>
      <c r="AJ186" s="317"/>
      <c r="AK186" s="318"/>
      <c r="AL186" s="316" t="s">
        <v>350</v>
      </c>
      <c r="AM186" s="317"/>
      <c r="AN186" s="318"/>
      <c r="AO186" s="316" t="s">
        <v>351</v>
      </c>
      <c r="AP186" s="317"/>
      <c r="AQ186" s="318"/>
      <c r="AR186" s="316" t="s">
        <v>352</v>
      </c>
      <c r="AS186" s="317"/>
      <c r="AT186" s="318"/>
      <c r="AU186" s="316" t="s">
        <v>353</v>
      </c>
      <c r="AV186" s="317"/>
      <c r="AW186" s="318"/>
      <c r="AX186" s="316" t="s">
        <v>354</v>
      </c>
      <c r="AY186" s="317"/>
      <c r="AZ186" s="318"/>
      <c r="BA186" s="316" t="s">
        <v>355</v>
      </c>
      <c r="BB186" s="317"/>
      <c r="BC186" s="318"/>
      <c r="BD186" s="316" t="s">
        <v>356</v>
      </c>
      <c r="BE186" s="317"/>
      <c r="BF186" s="318"/>
      <c r="BG186" s="316" t="s">
        <v>357</v>
      </c>
      <c r="BH186" s="317"/>
      <c r="BI186" s="318"/>
      <c r="BJ186" s="316" t="s">
        <v>358</v>
      </c>
      <c r="BK186" s="317"/>
      <c r="BL186" s="318"/>
      <c r="BM186" s="316" t="s">
        <v>359</v>
      </c>
      <c r="BN186" s="317"/>
      <c r="BO186" s="318"/>
      <c r="BP186" s="316" t="s">
        <v>360</v>
      </c>
      <c r="BQ186" s="317"/>
      <c r="BR186" s="318"/>
      <c r="BS186" s="316" t="s">
        <v>361</v>
      </c>
      <c r="BT186" s="317"/>
      <c r="BU186" s="318"/>
      <c r="BV186" s="316" t="s">
        <v>362</v>
      </c>
      <c r="BW186" s="317"/>
      <c r="BX186" s="318"/>
      <c r="BY186" s="316" t="s">
        <v>363</v>
      </c>
      <c r="BZ186" s="317"/>
      <c r="CA186" s="318"/>
      <c r="CB186" s="316" t="s">
        <v>364</v>
      </c>
      <c r="CC186" s="317"/>
      <c r="CD186" s="318"/>
      <c r="CE186" s="316" t="s">
        <v>365</v>
      </c>
      <c r="CF186" s="317"/>
      <c r="CG186" s="318"/>
      <c r="CH186" s="316" t="s">
        <v>366</v>
      </c>
      <c r="CI186" s="317"/>
      <c r="CJ186" s="318"/>
      <c r="CK186" s="316" t="s">
        <v>367</v>
      </c>
      <c r="CL186" s="317"/>
      <c r="CM186" s="318"/>
      <c r="CN186" s="316" t="s">
        <v>368</v>
      </c>
      <c r="CO186" s="317"/>
      <c r="CP186" s="318"/>
      <c r="CQ186" s="316" t="s">
        <v>369</v>
      </c>
      <c r="CR186" s="317"/>
      <c r="CS186" s="318"/>
      <c r="CT186" s="316" t="s">
        <v>370</v>
      </c>
      <c r="CU186" s="317"/>
      <c r="CV186" s="318"/>
      <c r="CW186" s="316" t="s">
        <v>371</v>
      </c>
      <c r="CX186" s="317"/>
      <c r="CY186" s="318"/>
    </row>
    <row r="187" spans="1:103" ht="15" thickBot="1" x14ac:dyDescent="0.35">
      <c r="A187" s="290"/>
      <c r="B187" s="84" t="s">
        <v>18</v>
      </c>
      <c r="C187" s="85" t="s">
        <v>19</v>
      </c>
      <c r="D187" s="86" t="s">
        <v>20</v>
      </c>
      <c r="E187" s="84" t="s">
        <v>18</v>
      </c>
      <c r="F187" s="85" t="s">
        <v>19</v>
      </c>
      <c r="G187" s="86" t="s">
        <v>20</v>
      </c>
      <c r="H187" s="84" t="s">
        <v>18</v>
      </c>
      <c r="I187" s="85" t="s">
        <v>19</v>
      </c>
      <c r="J187" s="86" t="s">
        <v>20</v>
      </c>
      <c r="K187" s="84" t="s">
        <v>18</v>
      </c>
      <c r="L187" s="85" t="s">
        <v>19</v>
      </c>
      <c r="M187" s="86" t="s">
        <v>20</v>
      </c>
      <c r="N187" s="84" t="s">
        <v>18</v>
      </c>
      <c r="O187" s="85" t="s">
        <v>19</v>
      </c>
      <c r="P187" s="86" t="s">
        <v>20</v>
      </c>
      <c r="Q187" s="84" t="s">
        <v>18</v>
      </c>
      <c r="R187" s="85" t="s">
        <v>19</v>
      </c>
      <c r="S187" s="86" t="s">
        <v>20</v>
      </c>
      <c r="T187" s="84" t="s">
        <v>18</v>
      </c>
      <c r="U187" s="85" t="s">
        <v>19</v>
      </c>
      <c r="V187" s="86" t="s">
        <v>20</v>
      </c>
      <c r="W187" s="84" t="s">
        <v>18</v>
      </c>
      <c r="X187" s="85" t="s">
        <v>19</v>
      </c>
      <c r="Y187" s="86" t="s">
        <v>20</v>
      </c>
      <c r="Z187" s="84" t="s">
        <v>18</v>
      </c>
      <c r="AA187" s="85" t="s">
        <v>19</v>
      </c>
      <c r="AB187" s="86" t="s">
        <v>20</v>
      </c>
      <c r="AC187" s="84" t="s">
        <v>18</v>
      </c>
      <c r="AD187" s="85" t="s">
        <v>19</v>
      </c>
      <c r="AE187" s="86" t="s">
        <v>20</v>
      </c>
      <c r="AF187" s="84" t="s">
        <v>18</v>
      </c>
      <c r="AG187" s="85" t="s">
        <v>19</v>
      </c>
      <c r="AH187" s="86" t="s">
        <v>20</v>
      </c>
      <c r="AI187" s="84" t="s">
        <v>18</v>
      </c>
      <c r="AJ187" s="85" t="s">
        <v>19</v>
      </c>
      <c r="AK187" s="86" t="s">
        <v>20</v>
      </c>
      <c r="AL187" s="84" t="s">
        <v>18</v>
      </c>
      <c r="AM187" s="85" t="s">
        <v>19</v>
      </c>
      <c r="AN187" s="86" t="s">
        <v>20</v>
      </c>
      <c r="AO187" s="84" t="s">
        <v>18</v>
      </c>
      <c r="AP187" s="85" t="s">
        <v>19</v>
      </c>
      <c r="AQ187" s="86" t="s">
        <v>20</v>
      </c>
      <c r="AR187" s="84" t="s">
        <v>18</v>
      </c>
      <c r="AS187" s="85" t="s">
        <v>19</v>
      </c>
      <c r="AT187" s="86" t="s">
        <v>20</v>
      </c>
      <c r="AU187" s="84" t="s">
        <v>18</v>
      </c>
      <c r="AV187" s="85" t="s">
        <v>19</v>
      </c>
      <c r="AW187" s="86" t="s">
        <v>20</v>
      </c>
      <c r="AX187" s="84" t="s">
        <v>18</v>
      </c>
      <c r="AY187" s="85" t="s">
        <v>19</v>
      </c>
      <c r="AZ187" s="86" t="s">
        <v>20</v>
      </c>
      <c r="BA187" s="84" t="s">
        <v>18</v>
      </c>
      <c r="BB187" s="85" t="s">
        <v>19</v>
      </c>
      <c r="BC187" s="86" t="s">
        <v>20</v>
      </c>
      <c r="BD187" s="84" t="s">
        <v>18</v>
      </c>
      <c r="BE187" s="85" t="s">
        <v>19</v>
      </c>
      <c r="BF187" s="86" t="s">
        <v>20</v>
      </c>
      <c r="BG187" s="84" t="s">
        <v>18</v>
      </c>
      <c r="BH187" s="85" t="s">
        <v>19</v>
      </c>
      <c r="BI187" s="86" t="s">
        <v>20</v>
      </c>
      <c r="BJ187" s="84" t="s">
        <v>18</v>
      </c>
      <c r="BK187" s="85" t="s">
        <v>19</v>
      </c>
      <c r="BL187" s="86" t="s">
        <v>20</v>
      </c>
      <c r="BM187" s="84" t="s">
        <v>18</v>
      </c>
      <c r="BN187" s="85" t="s">
        <v>19</v>
      </c>
      <c r="BO187" s="86" t="s">
        <v>20</v>
      </c>
      <c r="BP187" s="84" t="s">
        <v>18</v>
      </c>
      <c r="BQ187" s="85" t="s">
        <v>19</v>
      </c>
      <c r="BR187" s="86" t="s">
        <v>20</v>
      </c>
      <c r="BS187" s="84" t="s">
        <v>18</v>
      </c>
      <c r="BT187" s="85" t="s">
        <v>19</v>
      </c>
      <c r="BU187" s="86" t="s">
        <v>20</v>
      </c>
      <c r="BV187" s="84" t="s">
        <v>18</v>
      </c>
      <c r="BW187" s="85" t="s">
        <v>19</v>
      </c>
      <c r="BX187" s="86" t="s">
        <v>20</v>
      </c>
      <c r="BY187" s="84" t="s">
        <v>18</v>
      </c>
      <c r="BZ187" s="85" t="s">
        <v>19</v>
      </c>
      <c r="CA187" s="86" t="s">
        <v>20</v>
      </c>
      <c r="CB187" s="84" t="s">
        <v>18</v>
      </c>
      <c r="CC187" s="85" t="s">
        <v>19</v>
      </c>
      <c r="CD187" s="86" t="s">
        <v>20</v>
      </c>
      <c r="CE187" s="84" t="s">
        <v>18</v>
      </c>
      <c r="CF187" s="85" t="s">
        <v>19</v>
      </c>
      <c r="CG187" s="86" t="s">
        <v>20</v>
      </c>
      <c r="CH187" s="84" t="s">
        <v>18</v>
      </c>
      <c r="CI187" s="85" t="s">
        <v>19</v>
      </c>
      <c r="CJ187" s="86" t="s">
        <v>20</v>
      </c>
      <c r="CK187" s="84" t="s">
        <v>18</v>
      </c>
      <c r="CL187" s="85" t="s">
        <v>19</v>
      </c>
      <c r="CM187" s="86" t="s">
        <v>20</v>
      </c>
      <c r="CN187" s="84" t="s">
        <v>18</v>
      </c>
      <c r="CO187" s="85" t="s">
        <v>19</v>
      </c>
      <c r="CP187" s="86" t="s">
        <v>20</v>
      </c>
      <c r="CQ187" s="84" t="s">
        <v>18</v>
      </c>
      <c r="CR187" s="85" t="s">
        <v>19</v>
      </c>
      <c r="CS187" s="86" t="s">
        <v>20</v>
      </c>
      <c r="CT187" s="84" t="s">
        <v>18</v>
      </c>
      <c r="CU187" s="85" t="s">
        <v>19</v>
      </c>
      <c r="CV187" s="86" t="s">
        <v>20</v>
      </c>
      <c r="CW187" s="84" t="s">
        <v>18</v>
      </c>
      <c r="CX187" s="85" t="s">
        <v>19</v>
      </c>
      <c r="CY187" s="86" t="s">
        <v>20</v>
      </c>
    </row>
    <row r="188" spans="1:103" x14ac:dyDescent="0.3">
      <c r="A188" s="41">
        <v>2001</v>
      </c>
      <c r="B188" s="81">
        <v>2301</v>
      </c>
      <c r="C188" s="82">
        <v>3093.0749999999998</v>
      </c>
      <c r="D188" s="88">
        <v>3885.15</v>
      </c>
      <c r="E188" s="82"/>
      <c r="F188" s="82"/>
      <c r="G188" s="88"/>
      <c r="H188" s="81"/>
      <c r="I188" s="82"/>
      <c r="J188" s="88"/>
      <c r="K188" s="81"/>
      <c r="L188" s="82"/>
      <c r="M188" s="88"/>
      <c r="N188" s="81"/>
      <c r="O188" s="82"/>
      <c r="P188" s="88"/>
      <c r="Q188" s="81"/>
      <c r="R188" s="82"/>
      <c r="S188" s="88"/>
      <c r="T188" s="81"/>
      <c r="U188" s="82"/>
      <c r="V188" s="88"/>
      <c r="W188" s="81"/>
      <c r="X188" s="82"/>
      <c r="Y188" s="88"/>
      <c r="Z188" s="81"/>
      <c r="AA188" s="82"/>
      <c r="AB188" s="88"/>
      <c r="AC188" s="81"/>
      <c r="AD188" s="82"/>
      <c r="AE188" s="88"/>
      <c r="AF188" s="81"/>
      <c r="AG188" s="82"/>
      <c r="AH188" s="88"/>
      <c r="AI188" s="81"/>
      <c r="AJ188" s="82"/>
      <c r="AK188" s="88"/>
      <c r="AL188" s="81"/>
      <c r="AM188" s="82"/>
      <c r="AN188" s="88"/>
      <c r="AO188" s="81"/>
      <c r="AP188" s="82"/>
      <c r="AQ188" s="88"/>
      <c r="AR188" s="81"/>
      <c r="AS188" s="82"/>
      <c r="AT188" s="88"/>
      <c r="AU188" s="81"/>
      <c r="AV188" s="82"/>
      <c r="AW188" s="88"/>
      <c r="AX188" s="81"/>
      <c r="AY188" s="82"/>
      <c r="AZ188" s="88"/>
      <c r="BA188" s="81"/>
      <c r="BB188" s="82"/>
      <c r="BC188" s="88"/>
      <c r="BD188" s="81"/>
      <c r="BE188" s="82"/>
      <c r="BF188" s="88"/>
      <c r="BG188" s="81"/>
      <c r="BH188" s="82"/>
      <c r="BI188" s="88"/>
      <c r="BJ188" s="81"/>
      <c r="BK188" s="82"/>
      <c r="BL188" s="88"/>
      <c r="BM188" s="81"/>
      <c r="BN188" s="82"/>
      <c r="BO188" s="88"/>
      <c r="BP188" s="81"/>
      <c r="BQ188" s="82"/>
      <c r="BR188" s="88"/>
      <c r="BS188" s="81"/>
      <c r="BT188" s="82"/>
      <c r="BU188" s="88"/>
      <c r="BV188" s="81"/>
      <c r="BW188" s="82"/>
      <c r="BX188" s="88"/>
      <c r="BY188" s="81"/>
      <c r="BZ188" s="82"/>
      <c r="CA188" s="88"/>
      <c r="CB188" s="81"/>
      <c r="CC188" s="82"/>
      <c r="CD188" s="88"/>
      <c r="CE188" s="81"/>
      <c r="CF188" s="82"/>
      <c r="CG188" s="88"/>
      <c r="CH188" s="81"/>
      <c r="CI188" s="82"/>
      <c r="CJ188" s="88"/>
      <c r="CK188" s="81"/>
      <c r="CL188" s="82"/>
      <c r="CM188" s="88"/>
      <c r="CN188" s="81"/>
      <c r="CO188" s="82"/>
      <c r="CP188" s="88"/>
      <c r="CQ188" s="81"/>
      <c r="CR188" s="82"/>
      <c r="CS188" s="88"/>
      <c r="CT188" s="81"/>
      <c r="CU188" s="82"/>
      <c r="CV188" s="88"/>
      <c r="CW188" s="81"/>
      <c r="CX188" s="82"/>
      <c r="CY188" s="88"/>
    </row>
    <row r="189" spans="1:103" x14ac:dyDescent="0.3">
      <c r="A189" s="41">
        <v>2002</v>
      </c>
      <c r="B189" s="83"/>
      <c r="C189" s="1"/>
      <c r="D189" s="89"/>
      <c r="E189" s="1">
        <v>2301</v>
      </c>
      <c r="F189" s="1">
        <v>3093.0749999999998</v>
      </c>
      <c r="G189" s="89">
        <v>3885.15</v>
      </c>
      <c r="H189" s="83"/>
      <c r="I189" s="1"/>
      <c r="J189" s="89"/>
      <c r="K189" s="83"/>
      <c r="L189" s="1"/>
      <c r="M189" s="89"/>
      <c r="N189" s="83"/>
      <c r="O189" s="1"/>
      <c r="P189" s="89"/>
      <c r="Q189" s="83"/>
      <c r="R189" s="1"/>
      <c r="S189" s="89"/>
      <c r="T189" s="83"/>
      <c r="U189" s="1"/>
      <c r="V189" s="89"/>
      <c r="W189" s="83"/>
      <c r="X189" s="1"/>
      <c r="Y189" s="89"/>
      <c r="Z189" s="83"/>
      <c r="AA189" s="1"/>
      <c r="AB189" s="89"/>
      <c r="AC189" s="83"/>
      <c r="AD189" s="1"/>
      <c r="AE189" s="89"/>
      <c r="AF189" s="83"/>
      <c r="AG189" s="1"/>
      <c r="AH189" s="89"/>
      <c r="AI189" s="83"/>
      <c r="AJ189" s="1"/>
      <c r="AK189" s="89"/>
      <c r="AL189" s="83"/>
      <c r="AM189" s="1"/>
      <c r="AN189" s="89"/>
      <c r="AO189" s="83"/>
      <c r="AP189" s="1"/>
      <c r="AQ189" s="89"/>
      <c r="AR189" s="83"/>
      <c r="AS189" s="1"/>
      <c r="AT189" s="89"/>
      <c r="AU189" s="83"/>
      <c r="AV189" s="1"/>
      <c r="AW189" s="89"/>
      <c r="AX189" s="83"/>
      <c r="AY189" s="1"/>
      <c r="AZ189" s="89"/>
      <c r="BA189" s="83"/>
      <c r="BB189" s="1"/>
      <c r="BC189" s="89"/>
      <c r="BD189" s="83"/>
      <c r="BE189" s="1"/>
      <c r="BF189" s="89"/>
      <c r="BG189" s="83"/>
      <c r="BH189" s="1"/>
      <c r="BI189" s="89"/>
      <c r="BJ189" s="83"/>
      <c r="BK189" s="1"/>
      <c r="BL189" s="89"/>
      <c r="BM189" s="83"/>
      <c r="BN189" s="1"/>
      <c r="BO189" s="89"/>
      <c r="BP189" s="83"/>
      <c r="BQ189" s="1"/>
      <c r="BR189" s="89"/>
      <c r="BS189" s="83"/>
      <c r="BT189" s="1"/>
      <c r="BU189" s="89"/>
      <c r="BV189" s="83"/>
      <c r="BW189" s="1"/>
      <c r="BX189" s="89"/>
      <c r="BY189" s="83"/>
      <c r="BZ189" s="1"/>
      <c r="CA189" s="89"/>
      <c r="CB189" s="83"/>
      <c r="CC189" s="1"/>
      <c r="CD189" s="89"/>
      <c r="CE189" s="83"/>
      <c r="CF189" s="1"/>
      <c r="CG189" s="89"/>
      <c r="CH189" s="83"/>
      <c r="CI189" s="1"/>
      <c r="CJ189" s="89"/>
      <c r="CK189" s="83"/>
      <c r="CL189" s="1"/>
      <c r="CM189" s="89"/>
      <c r="CN189" s="83"/>
      <c r="CO189" s="1"/>
      <c r="CP189" s="89"/>
      <c r="CQ189" s="83"/>
      <c r="CR189" s="1"/>
      <c r="CS189" s="89"/>
      <c r="CT189" s="83"/>
      <c r="CU189" s="1"/>
      <c r="CV189" s="89"/>
      <c r="CW189" s="83"/>
      <c r="CX189" s="1"/>
      <c r="CY189" s="89"/>
    </row>
    <row r="190" spans="1:103" x14ac:dyDescent="0.3">
      <c r="A190" s="41">
        <v>2003</v>
      </c>
      <c r="B190" s="83"/>
      <c r="C190" s="1"/>
      <c r="D190" s="89"/>
      <c r="E190" s="1"/>
      <c r="F190" s="1"/>
      <c r="G190" s="89"/>
      <c r="H190" s="83"/>
      <c r="I190" s="1">
        <v>2780.3669999999997</v>
      </c>
      <c r="J190" s="89"/>
      <c r="K190" s="83"/>
      <c r="L190" s="1"/>
      <c r="M190" s="89"/>
      <c r="N190" s="83"/>
      <c r="O190" s="1"/>
      <c r="P190" s="89"/>
      <c r="Q190" s="83"/>
      <c r="R190" s="1"/>
      <c r="S190" s="89"/>
      <c r="T190" s="83"/>
      <c r="U190" s="1"/>
      <c r="V190" s="89"/>
      <c r="W190" s="83"/>
      <c r="X190" s="1"/>
      <c r="Y190" s="89"/>
      <c r="Z190" s="83"/>
      <c r="AA190" s="1"/>
      <c r="AB190" s="89"/>
      <c r="AC190" s="83"/>
      <c r="AD190" s="1"/>
      <c r="AE190" s="89"/>
      <c r="AF190" s="83"/>
      <c r="AG190" s="1"/>
      <c r="AH190" s="89"/>
      <c r="AI190" s="83"/>
      <c r="AJ190" s="1"/>
      <c r="AK190" s="89"/>
      <c r="AL190" s="83"/>
      <c r="AM190" s="1"/>
      <c r="AN190" s="89"/>
      <c r="AO190" s="83"/>
      <c r="AP190" s="1"/>
      <c r="AQ190" s="89"/>
      <c r="AR190" s="83"/>
      <c r="AS190" s="1"/>
      <c r="AT190" s="89"/>
      <c r="AU190" s="83"/>
      <c r="AV190" s="1"/>
      <c r="AW190" s="89"/>
      <c r="AX190" s="83"/>
      <c r="AY190" s="1"/>
      <c r="AZ190" s="89"/>
      <c r="BA190" s="83"/>
      <c r="BB190" s="1"/>
      <c r="BC190" s="89"/>
      <c r="BD190" s="83"/>
      <c r="BE190" s="1"/>
      <c r="BF190" s="89"/>
      <c r="BG190" s="83"/>
      <c r="BH190" s="1"/>
      <c r="BI190" s="89"/>
      <c r="BJ190" s="83"/>
      <c r="BK190" s="1"/>
      <c r="BL190" s="89"/>
      <c r="BM190" s="83"/>
      <c r="BN190" s="1"/>
      <c r="BO190" s="89"/>
      <c r="BP190" s="83"/>
      <c r="BQ190" s="1"/>
      <c r="BR190" s="89"/>
      <c r="BS190" s="83"/>
      <c r="BT190" s="1"/>
      <c r="BU190" s="89"/>
      <c r="BV190" s="83"/>
      <c r="BW190" s="1"/>
      <c r="BX190" s="89"/>
      <c r="BY190" s="83"/>
      <c r="BZ190" s="1"/>
      <c r="CA190" s="89"/>
      <c r="CB190" s="83"/>
      <c r="CC190" s="1"/>
      <c r="CD190" s="89"/>
      <c r="CE190" s="83"/>
      <c r="CF190" s="1"/>
      <c r="CG190" s="89"/>
      <c r="CH190" s="83"/>
      <c r="CI190" s="1"/>
      <c r="CJ190" s="89"/>
      <c r="CK190" s="83"/>
      <c r="CL190" s="1"/>
      <c r="CM190" s="89"/>
      <c r="CN190" s="83"/>
      <c r="CO190" s="1"/>
      <c r="CP190" s="89"/>
      <c r="CQ190" s="83"/>
      <c r="CR190" s="1"/>
      <c r="CS190" s="89"/>
      <c r="CT190" s="83"/>
      <c r="CU190" s="1"/>
      <c r="CV190" s="89"/>
      <c r="CW190" s="83"/>
      <c r="CX190" s="1"/>
      <c r="CY190" s="89"/>
    </row>
    <row r="191" spans="1:103" x14ac:dyDescent="0.3">
      <c r="A191" s="41">
        <v>2004</v>
      </c>
      <c r="B191" s="83"/>
      <c r="C191" s="1"/>
      <c r="D191" s="89"/>
      <c r="E191" s="1"/>
      <c r="F191" s="1"/>
      <c r="G191" s="89"/>
      <c r="H191" s="83"/>
      <c r="I191" s="1"/>
      <c r="J191" s="89"/>
      <c r="K191" s="83"/>
      <c r="L191">
        <v>3143.0308</v>
      </c>
      <c r="M191" s="89"/>
      <c r="N191" s="83"/>
      <c r="O191" s="1"/>
      <c r="P191" s="89"/>
      <c r="Q191" s="83"/>
      <c r="R191" s="1"/>
      <c r="S191" s="89"/>
      <c r="T191" s="83"/>
      <c r="U191" s="1"/>
      <c r="V191" s="89"/>
      <c r="W191" s="83"/>
      <c r="X191" s="1"/>
      <c r="Y191" s="89"/>
      <c r="Z191" s="83"/>
      <c r="AA191" s="1"/>
      <c r="AB191" s="89"/>
      <c r="AC191" s="83"/>
      <c r="AD191" s="1"/>
      <c r="AE191" s="89"/>
      <c r="AF191" s="83"/>
      <c r="AG191" s="1"/>
      <c r="AH191" s="89"/>
      <c r="AI191" s="83"/>
      <c r="AJ191" s="1"/>
      <c r="AK191" s="89"/>
      <c r="AL191" s="83"/>
      <c r="AM191" s="1"/>
      <c r="AN191" s="89"/>
      <c r="AO191" s="83"/>
      <c r="AP191" s="1"/>
      <c r="AQ191" s="89"/>
      <c r="AR191" s="83"/>
      <c r="AS191" s="1"/>
      <c r="AT191" s="89"/>
      <c r="AU191" s="83"/>
      <c r="AV191" s="1"/>
      <c r="AW191" s="89"/>
      <c r="AX191" s="83"/>
      <c r="AY191" s="1"/>
      <c r="AZ191" s="89"/>
      <c r="BA191" s="83"/>
      <c r="BB191" s="1"/>
      <c r="BC191" s="89"/>
      <c r="BD191" s="83"/>
      <c r="BE191" s="1"/>
      <c r="BF191" s="89"/>
      <c r="BG191" s="83"/>
      <c r="BH191" s="1"/>
      <c r="BI191" s="89"/>
      <c r="BJ191" s="83"/>
      <c r="BK191" s="1"/>
      <c r="BL191" s="89"/>
      <c r="BM191" s="83"/>
      <c r="BN191" s="1"/>
      <c r="BO191" s="89"/>
      <c r="BP191" s="83"/>
      <c r="BQ191" s="1"/>
      <c r="BR191" s="89"/>
      <c r="BS191" s="83"/>
      <c r="BT191" s="1"/>
      <c r="BU191" s="89"/>
      <c r="BV191" s="83"/>
      <c r="BW191" s="1"/>
      <c r="BX191" s="89"/>
      <c r="BY191" s="83"/>
      <c r="BZ191" s="1"/>
      <c r="CA191" s="89"/>
      <c r="CB191" s="83"/>
      <c r="CC191" s="1"/>
      <c r="CD191" s="89"/>
      <c r="CE191" s="83"/>
      <c r="CF191" s="1"/>
      <c r="CG191" s="89"/>
      <c r="CH191" s="83"/>
      <c r="CI191" s="1"/>
      <c r="CJ191" s="89"/>
      <c r="CK191" s="83"/>
      <c r="CL191" s="1"/>
      <c r="CM191" s="89"/>
      <c r="CN191" s="83"/>
      <c r="CO191" s="1"/>
      <c r="CP191" s="89"/>
      <c r="CQ191" s="83"/>
      <c r="CR191" s="1"/>
      <c r="CS191" s="89"/>
      <c r="CT191" s="83"/>
      <c r="CU191" s="1"/>
      <c r="CV191" s="89"/>
      <c r="CW191" s="83"/>
      <c r="CX191" s="1"/>
      <c r="CY191" s="89"/>
    </row>
    <row r="192" spans="1:103" x14ac:dyDescent="0.3">
      <c r="A192" s="41">
        <v>2005</v>
      </c>
      <c r="B192" s="83"/>
      <c r="C192" s="1"/>
      <c r="D192" s="89"/>
      <c r="E192" s="1"/>
      <c r="F192" s="1"/>
      <c r="G192" s="89"/>
      <c r="H192" s="83"/>
      <c r="I192" s="1"/>
      <c r="J192" s="89"/>
      <c r="K192" s="83"/>
      <c r="L192" s="1"/>
      <c r="M192" s="89"/>
      <c r="N192" s="83"/>
      <c r="O192" s="1"/>
      <c r="P192" s="89"/>
      <c r="Q192" s="83"/>
      <c r="R192">
        <v>2716.875</v>
      </c>
      <c r="S192" s="89"/>
      <c r="T192" s="83"/>
      <c r="U192" s="1"/>
      <c r="V192" s="89"/>
      <c r="W192" s="83"/>
      <c r="X192" s="1"/>
      <c r="Y192" s="89"/>
      <c r="Z192" s="83"/>
      <c r="AA192" s="1"/>
      <c r="AB192" s="89"/>
      <c r="AC192" s="83"/>
      <c r="AD192" s="1"/>
      <c r="AE192" s="89"/>
      <c r="AF192" s="83"/>
      <c r="AG192" s="1"/>
      <c r="AH192" s="89"/>
      <c r="AI192" s="83"/>
      <c r="AJ192" s="1"/>
      <c r="AK192" s="89"/>
      <c r="AL192" s="83"/>
      <c r="AM192" s="1"/>
      <c r="AN192" s="89"/>
      <c r="AO192" s="83"/>
      <c r="AP192" s="1"/>
      <c r="AQ192" s="89"/>
      <c r="AR192" s="83"/>
      <c r="AS192" s="1"/>
      <c r="AT192" s="89"/>
      <c r="AU192" s="83"/>
      <c r="AV192" s="1"/>
      <c r="AW192" s="89"/>
      <c r="AX192" s="83"/>
      <c r="AY192" s="1"/>
      <c r="AZ192" s="89"/>
      <c r="BA192" s="83"/>
      <c r="BB192" s="1"/>
      <c r="BC192" s="89"/>
      <c r="BD192" s="83"/>
      <c r="BE192" s="1"/>
      <c r="BF192" s="89"/>
      <c r="BG192" s="83"/>
      <c r="BH192" s="1"/>
      <c r="BI192" s="89"/>
      <c r="BJ192" s="83"/>
      <c r="BK192" s="1"/>
      <c r="BL192" s="89"/>
      <c r="BM192" s="83"/>
      <c r="BN192" s="1"/>
      <c r="BO192" s="89"/>
      <c r="BP192" s="83"/>
      <c r="BQ192" s="1"/>
      <c r="BR192" s="89"/>
      <c r="BS192" s="83"/>
      <c r="BT192" s="1"/>
      <c r="BU192" s="89"/>
      <c r="BV192" s="83"/>
      <c r="BW192" s="1"/>
      <c r="BX192" s="89"/>
      <c r="BY192" s="83"/>
      <c r="BZ192" s="1"/>
      <c r="CA192" s="89"/>
      <c r="CB192" s="83"/>
      <c r="CC192" s="1"/>
      <c r="CD192" s="89"/>
      <c r="CE192" s="83"/>
      <c r="CF192" s="1"/>
      <c r="CG192" s="89"/>
      <c r="CH192" s="83"/>
      <c r="CI192" s="1"/>
      <c r="CJ192" s="89"/>
      <c r="CK192" s="83"/>
      <c r="CL192" s="1"/>
      <c r="CM192" s="89"/>
      <c r="CN192" s="83"/>
      <c r="CO192" s="1"/>
      <c r="CP192" s="89"/>
      <c r="CQ192" s="83"/>
      <c r="CR192" s="1"/>
      <c r="CS192" s="89"/>
      <c r="CT192" s="83"/>
      <c r="CU192" s="1"/>
      <c r="CV192" s="89"/>
      <c r="CW192" s="83"/>
      <c r="CX192" s="1"/>
      <c r="CY192" s="89"/>
    </row>
    <row r="193" spans="1:103" x14ac:dyDescent="0.3">
      <c r="A193" s="41">
        <v>2006</v>
      </c>
      <c r="B193" s="83"/>
      <c r="C193" s="1"/>
      <c r="D193" s="89"/>
      <c r="E193" s="1"/>
      <c r="F193" s="1"/>
      <c r="G193" s="89"/>
      <c r="H193" s="83"/>
      <c r="I193" s="1"/>
      <c r="J193" s="89"/>
      <c r="K193" s="83"/>
      <c r="L193" s="1"/>
      <c r="M193" s="89"/>
      <c r="N193" s="83"/>
      <c r="O193" s="1"/>
      <c r="P193" s="89"/>
      <c r="Q193" s="83"/>
      <c r="S193" s="89"/>
      <c r="T193" s="83"/>
      <c r="U193" s="1"/>
      <c r="V193" s="89"/>
      <c r="W193" s="83">
        <v>4369.0944</v>
      </c>
      <c r="X193" s="1">
        <v>4607.3572999999997</v>
      </c>
      <c r="Y193" s="89">
        <v>4845.6202000000003</v>
      </c>
      <c r="Z193" s="83"/>
      <c r="AA193" s="1"/>
      <c r="AB193" s="89"/>
      <c r="AC193" s="83"/>
      <c r="AD193" s="1"/>
      <c r="AE193" s="89"/>
      <c r="AF193" s="83"/>
      <c r="AG193" s="1"/>
      <c r="AH193" s="89"/>
      <c r="AI193" s="83"/>
      <c r="AJ193" s="1"/>
      <c r="AK193" s="89"/>
      <c r="AL193" s="83"/>
      <c r="AM193" s="1"/>
      <c r="AN193" s="89"/>
      <c r="AO193" s="83"/>
      <c r="AP193" s="1"/>
      <c r="AQ193" s="89"/>
      <c r="AR193" s="83"/>
      <c r="AS193" s="1"/>
      <c r="AT193" s="89"/>
      <c r="AU193" s="83"/>
      <c r="AV193" s="1"/>
      <c r="AW193" s="89"/>
      <c r="AX193" s="83"/>
      <c r="AY193" s="1"/>
      <c r="AZ193" s="89"/>
      <c r="BA193" s="83"/>
      <c r="BB193" s="1"/>
      <c r="BC193" s="89"/>
      <c r="BD193" s="83"/>
      <c r="BE193" s="1"/>
      <c r="BF193" s="89"/>
      <c r="BG193" s="83"/>
      <c r="BH193" s="1"/>
      <c r="BI193" s="89"/>
      <c r="BJ193" s="83"/>
      <c r="BK193" s="1"/>
      <c r="BL193" s="89"/>
      <c r="BM193" s="83"/>
      <c r="BN193" s="1"/>
      <c r="BO193" s="89"/>
      <c r="BP193" s="83"/>
      <c r="BQ193" s="1"/>
      <c r="BR193" s="89"/>
      <c r="BS193" s="83"/>
      <c r="BT193" s="1"/>
      <c r="BU193" s="89"/>
      <c r="BV193" s="83"/>
      <c r="BW193" s="1"/>
      <c r="BX193" s="89"/>
      <c r="BY193" s="83"/>
      <c r="BZ193" s="1"/>
      <c r="CA193" s="89"/>
      <c r="CB193" s="83"/>
      <c r="CC193" s="1"/>
      <c r="CD193" s="89"/>
      <c r="CE193" s="83"/>
      <c r="CF193" s="1"/>
      <c r="CG193" s="89"/>
      <c r="CH193" s="83"/>
      <c r="CI193" s="1"/>
      <c r="CJ193" s="89"/>
      <c r="CK193" s="83"/>
      <c r="CL193" s="1"/>
      <c r="CM193" s="89"/>
      <c r="CN193" s="83"/>
      <c r="CO193" s="1"/>
      <c r="CP193" s="89"/>
      <c r="CQ193" s="83"/>
      <c r="CR193" s="1"/>
      <c r="CS193" s="89"/>
      <c r="CT193" s="83"/>
      <c r="CU193" s="1"/>
      <c r="CV193" s="89"/>
      <c r="CW193" s="83"/>
      <c r="CX193" s="1"/>
      <c r="CY193" s="89"/>
    </row>
    <row r="194" spans="1:103" x14ac:dyDescent="0.3">
      <c r="A194" s="41">
        <v>2007</v>
      </c>
      <c r="B194" s="83"/>
      <c r="C194" s="1"/>
      <c r="D194" s="89"/>
      <c r="E194" s="1"/>
      <c r="F194" s="1"/>
      <c r="G194" s="89"/>
      <c r="H194" s="83"/>
      <c r="I194" s="1"/>
      <c r="J194" s="89"/>
      <c r="K194" s="83"/>
      <c r="L194" s="1"/>
      <c r="M194" s="89"/>
      <c r="N194" s="83"/>
      <c r="O194" s="1"/>
      <c r="P194" s="89"/>
      <c r="Q194" s="83"/>
      <c r="R194" s="1"/>
      <c r="S194" s="89"/>
      <c r="T194" s="83"/>
      <c r="U194" s="1"/>
      <c r="V194" s="89"/>
      <c r="W194" s="83"/>
      <c r="X194" s="1"/>
      <c r="Y194" s="89"/>
      <c r="Z194" s="83"/>
      <c r="AA194" s="1"/>
      <c r="AB194" s="89"/>
      <c r="AC194" s="83"/>
      <c r="AD194" s="1"/>
      <c r="AE194" s="89"/>
      <c r="AF194" s="83"/>
      <c r="AG194" s="1"/>
      <c r="AH194" s="89"/>
      <c r="AI194" s="83"/>
      <c r="AJ194" s="1"/>
      <c r="AK194" s="89"/>
      <c r="AL194" s="83"/>
      <c r="AM194" s="1"/>
      <c r="AN194" s="89"/>
      <c r="AO194" s="83"/>
      <c r="AP194" s="1"/>
      <c r="AQ194" s="89"/>
      <c r="AR194" s="83"/>
      <c r="AS194" s="1"/>
      <c r="AT194" s="89"/>
      <c r="AU194" s="83"/>
      <c r="AV194" s="1"/>
      <c r="AW194" s="89"/>
      <c r="AX194" s="83"/>
      <c r="AY194" s="1"/>
      <c r="AZ194" s="89"/>
      <c r="BA194" s="83"/>
      <c r="BB194" s="1"/>
      <c r="BC194" s="89"/>
      <c r="BD194" s="83"/>
      <c r="BE194" s="1"/>
      <c r="BF194" s="89"/>
      <c r="BG194" s="83"/>
      <c r="BH194" s="1"/>
      <c r="BI194" s="89"/>
      <c r="BJ194" s="83"/>
      <c r="BK194" s="1"/>
      <c r="BL194" s="89"/>
      <c r="BM194" s="83"/>
      <c r="BN194" s="1"/>
      <c r="BO194" s="89"/>
      <c r="BP194" s="83"/>
      <c r="BQ194" s="1"/>
      <c r="BR194" s="89"/>
      <c r="BS194" s="83"/>
      <c r="BT194" s="1"/>
      <c r="BU194" s="89"/>
      <c r="BV194" s="83"/>
      <c r="BW194" s="1"/>
      <c r="BX194" s="89"/>
      <c r="BY194" s="83"/>
      <c r="BZ194" s="1"/>
      <c r="CA194" s="89"/>
      <c r="CB194" s="83"/>
      <c r="CC194" s="1"/>
      <c r="CD194" s="89"/>
      <c r="CE194" s="83"/>
      <c r="CF194" s="1"/>
      <c r="CG194" s="89"/>
      <c r="CH194" s="83"/>
      <c r="CI194" s="1"/>
      <c r="CJ194" s="89"/>
      <c r="CK194" s="83"/>
      <c r="CL194" s="1"/>
      <c r="CM194" s="89"/>
      <c r="CN194" s="83"/>
      <c r="CO194" s="1"/>
      <c r="CP194" s="89"/>
      <c r="CQ194" s="83"/>
      <c r="CR194" s="1"/>
      <c r="CS194" s="89"/>
      <c r="CT194" s="83"/>
      <c r="CU194" s="1"/>
      <c r="CV194" s="89"/>
      <c r="CW194" s="83"/>
      <c r="CX194" s="1"/>
      <c r="CY194" s="89"/>
    </row>
    <row r="195" spans="1:103" x14ac:dyDescent="0.3">
      <c r="A195" s="41">
        <v>2008</v>
      </c>
      <c r="B195" s="83"/>
      <c r="C195" s="1"/>
      <c r="D195" s="89"/>
      <c r="E195" s="1"/>
      <c r="F195" s="1"/>
      <c r="G195" s="89"/>
      <c r="H195" s="83"/>
      <c r="I195" s="1"/>
      <c r="J195" s="89"/>
      <c r="K195" s="83"/>
      <c r="L195" s="1"/>
      <c r="M195" s="89"/>
      <c r="N195" s="83"/>
      <c r="O195" s="1"/>
      <c r="P195" s="89"/>
      <c r="Q195" s="83"/>
      <c r="R195" s="1"/>
      <c r="S195" s="89"/>
      <c r="T195" s="83"/>
      <c r="U195" s="1"/>
      <c r="V195" s="89"/>
      <c r="W195" s="83"/>
      <c r="X195" s="1"/>
      <c r="Y195" s="89"/>
      <c r="Z195" s="83">
        <v>4219.3999999999996</v>
      </c>
      <c r="AA195" s="1">
        <v>4445.7</v>
      </c>
      <c r="AB195" s="89">
        <v>4672</v>
      </c>
      <c r="AC195" s="83"/>
      <c r="AD195" s="1"/>
      <c r="AE195" s="89"/>
      <c r="AF195" s="83"/>
      <c r="AG195" s="1"/>
      <c r="AH195" s="89"/>
      <c r="AI195" s="83"/>
      <c r="AJ195" s="1"/>
      <c r="AK195" s="89"/>
      <c r="AL195" s="83"/>
      <c r="AM195" s="1"/>
      <c r="AN195" s="89"/>
      <c r="AO195" s="83"/>
      <c r="AP195" s="1"/>
      <c r="AQ195" s="89"/>
      <c r="AR195" s="83"/>
      <c r="AS195" s="1"/>
      <c r="AT195" s="89"/>
      <c r="AU195" s="83"/>
      <c r="AV195" s="1"/>
      <c r="AW195" s="89"/>
      <c r="AX195" s="83"/>
      <c r="AY195" s="1"/>
      <c r="AZ195" s="89"/>
      <c r="BA195" s="83"/>
      <c r="BB195" s="1"/>
      <c r="BC195" s="89"/>
      <c r="BD195" s="83"/>
      <c r="BE195" s="1"/>
      <c r="BF195" s="89"/>
      <c r="BG195" s="83"/>
      <c r="BH195" s="1"/>
      <c r="BI195" s="89"/>
      <c r="BJ195" s="83"/>
      <c r="BK195" s="1"/>
      <c r="BL195" s="89"/>
      <c r="BM195" s="83"/>
      <c r="BN195" s="1"/>
      <c r="BO195" s="89"/>
      <c r="BP195" s="83"/>
      <c r="BQ195" s="1"/>
      <c r="BR195" s="89"/>
      <c r="BS195" s="83"/>
      <c r="BT195" s="1"/>
      <c r="BU195" s="89"/>
      <c r="BV195" s="83"/>
      <c r="BW195" s="1"/>
      <c r="BX195" s="89"/>
      <c r="BY195" s="83"/>
      <c r="BZ195" s="1"/>
      <c r="CA195" s="89"/>
      <c r="CB195" s="83"/>
      <c r="CC195" s="1"/>
      <c r="CD195" s="89"/>
      <c r="CE195" s="83"/>
      <c r="CF195" s="1"/>
      <c r="CG195" s="89"/>
      <c r="CH195" s="83"/>
      <c r="CI195" s="1"/>
      <c r="CJ195" s="89"/>
      <c r="CK195" s="83"/>
      <c r="CL195" s="1"/>
      <c r="CM195" s="89"/>
      <c r="CN195" s="83"/>
      <c r="CO195" s="1"/>
      <c r="CP195" s="89"/>
      <c r="CQ195" s="83"/>
      <c r="CR195" s="1"/>
      <c r="CS195" s="89"/>
      <c r="CT195" s="83"/>
      <c r="CU195" s="1"/>
      <c r="CV195" s="89"/>
      <c r="CW195" s="83"/>
      <c r="CX195" s="1"/>
      <c r="CY195" s="89"/>
    </row>
    <row r="196" spans="1:103" x14ac:dyDescent="0.3">
      <c r="A196" s="41">
        <v>2009</v>
      </c>
      <c r="B196" s="83"/>
      <c r="C196" s="1"/>
      <c r="D196" s="89"/>
      <c r="E196" s="1"/>
      <c r="F196" s="1"/>
      <c r="G196" s="89"/>
      <c r="H196" s="83"/>
      <c r="I196" s="1"/>
      <c r="J196" s="89"/>
      <c r="K196" s="83"/>
      <c r="L196" s="1"/>
      <c r="M196" s="89"/>
      <c r="N196" s="83"/>
      <c r="O196" s="1"/>
      <c r="P196" s="89"/>
      <c r="Q196" s="83"/>
      <c r="R196" s="1"/>
      <c r="S196" s="89"/>
      <c r="T196" s="83"/>
      <c r="U196" s="1"/>
      <c r="V196" s="89"/>
      <c r="W196" s="83"/>
      <c r="X196" s="1"/>
      <c r="Y196" s="89"/>
      <c r="Z196" s="83"/>
      <c r="AA196" s="1"/>
      <c r="AB196" s="89"/>
      <c r="AC196" s="83"/>
      <c r="AD196" s="1"/>
      <c r="AE196" s="89"/>
      <c r="AF196" s="83"/>
      <c r="AG196" s="1"/>
      <c r="AH196" s="89"/>
      <c r="AI196" s="83"/>
      <c r="AJ196" s="1"/>
      <c r="AK196" s="89"/>
      <c r="AL196" s="83"/>
      <c r="AM196" s="1"/>
      <c r="AN196" s="89"/>
      <c r="AO196" s="83"/>
      <c r="AP196" s="1"/>
      <c r="AQ196" s="89"/>
      <c r="AR196" s="83"/>
      <c r="AS196" s="1"/>
      <c r="AT196" s="89"/>
      <c r="AU196" s="83"/>
      <c r="AV196" s="1"/>
      <c r="AW196" s="89"/>
      <c r="AX196" s="83"/>
      <c r="AY196" s="1"/>
      <c r="AZ196" s="89"/>
      <c r="BA196" s="83"/>
      <c r="BB196" s="1"/>
      <c r="BC196" s="89"/>
      <c r="BD196" s="83"/>
      <c r="BE196" s="1"/>
      <c r="BF196" s="89"/>
      <c r="BG196" s="83"/>
      <c r="BH196" s="1"/>
      <c r="BI196" s="89"/>
      <c r="BJ196" s="83"/>
      <c r="BK196" s="1"/>
      <c r="BL196" s="89"/>
      <c r="BM196" s="83"/>
      <c r="BN196" s="1"/>
      <c r="BO196" s="89"/>
      <c r="BP196" s="83"/>
      <c r="BQ196" s="1"/>
      <c r="BR196" s="89"/>
      <c r="BS196" s="83"/>
      <c r="BT196" s="1"/>
      <c r="BU196" s="89"/>
      <c r="BV196" s="83"/>
      <c r="BW196" s="1"/>
      <c r="BX196" s="89"/>
      <c r="BY196" s="83"/>
      <c r="BZ196" s="1"/>
      <c r="CA196" s="89"/>
      <c r="CB196" s="83"/>
      <c r="CC196" s="1"/>
      <c r="CD196" s="89"/>
      <c r="CE196" s="83"/>
      <c r="CF196" s="1"/>
      <c r="CG196" s="89"/>
      <c r="CH196" s="83"/>
      <c r="CI196" s="1"/>
      <c r="CJ196" s="89"/>
      <c r="CK196" s="83"/>
      <c r="CL196" s="1"/>
      <c r="CM196" s="89"/>
      <c r="CN196" s="83"/>
      <c r="CO196" s="1"/>
      <c r="CP196" s="89"/>
      <c r="CQ196" s="83"/>
      <c r="CR196" s="1"/>
      <c r="CS196" s="89"/>
      <c r="CT196" s="83"/>
      <c r="CU196" s="1"/>
      <c r="CV196" s="89"/>
      <c r="CW196" s="83"/>
      <c r="CX196" s="1"/>
      <c r="CY196" s="89"/>
    </row>
    <row r="197" spans="1:103" x14ac:dyDescent="0.3">
      <c r="A197" s="41">
        <v>2010</v>
      </c>
      <c r="B197" s="83"/>
      <c r="C197" s="1"/>
      <c r="D197" s="89"/>
      <c r="E197" s="1"/>
      <c r="F197" s="1"/>
      <c r="G197" s="89"/>
      <c r="H197" s="83"/>
      <c r="I197" s="1"/>
      <c r="J197" s="89"/>
      <c r="K197" s="83"/>
      <c r="L197" s="1"/>
      <c r="M197" s="89"/>
      <c r="N197" s="83"/>
      <c r="O197" s="1"/>
      <c r="P197" s="89"/>
      <c r="Q197" s="83"/>
      <c r="R197" s="1"/>
      <c r="S197" s="89"/>
      <c r="T197" s="83"/>
      <c r="U197" s="1"/>
      <c r="V197" s="89"/>
      <c r="W197" s="83"/>
      <c r="X197" s="1"/>
      <c r="Y197" s="89"/>
      <c r="Z197" s="83"/>
      <c r="AA197" s="1"/>
      <c r="AB197" s="89"/>
      <c r="AC197" s="83"/>
      <c r="AD197" s="1"/>
      <c r="AE197" s="89"/>
      <c r="AF197" s="83"/>
      <c r="AG197" s="1"/>
      <c r="AH197" s="89"/>
      <c r="AI197" s="83"/>
      <c r="AJ197" s="1"/>
      <c r="AK197" s="89"/>
      <c r="AL197" s="83"/>
      <c r="AM197" s="1"/>
      <c r="AN197" s="89"/>
      <c r="AO197" s="83"/>
      <c r="AP197" s="1"/>
      <c r="AQ197" s="89"/>
      <c r="AR197" s="83"/>
      <c r="AS197" s="1"/>
      <c r="AT197" s="89"/>
      <c r="AU197" s="83"/>
      <c r="AV197" s="1"/>
      <c r="AW197" s="89"/>
      <c r="AX197" s="83"/>
      <c r="AY197" s="1"/>
      <c r="AZ197" s="89"/>
      <c r="BA197" s="83"/>
      <c r="BB197" s="1"/>
      <c r="BC197" s="89"/>
      <c r="BD197" s="83"/>
      <c r="BE197" s="1"/>
      <c r="BF197" s="89"/>
      <c r="BG197" s="83"/>
      <c r="BH197" s="1"/>
      <c r="BI197" s="89"/>
      <c r="BJ197" s="83"/>
      <c r="BK197" s="1"/>
      <c r="BL197" s="89"/>
      <c r="BM197" s="83"/>
      <c r="BN197" s="1"/>
      <c r="BO197" s="89"/>
      <c r="BP197" s="83"/>
      <c r="BQ197" s="1"/>
      <c r="BR197" s="89"/>
      <c r="BS197" s="83"/>
      <c r="BT197" s="1"/>
      <c r="BU197" s="89"/>
      <c r="BV197" s="83"/>
      <c r="BW197" s="1"/>
      <c r="BX197" s="89"/>
      <c r="BY197" s="83"/>
      <c r="BZ197" s="1"/>
      <c r="CA197" s="89"/>
      <c r="CB197" s="83"/>
      <c r="CC197" s="1"/>
      <c r="CD197" s="89"/>
      <c r="CE197" s="83"/>
      <c r="CF197" s="1"/>
      <c r="CG197" s="89"/>
      <c r="CH197" s="83"/>
      <c r="CI197" s="1"/>
      <c r="CJ197" s="89"/>
      <c r="CK197" s="83"/>
      <c r="CL197" s="1"/>
      <c r="CM197" s="89"/>
      <c r="CN197" s="83"/>
      <c r="CO197" s="1"/>
      <c r="CP197" s="89"/>
      <c r="CQ197" s="83"/>
      <c r="CR197" s="1"/>
      <c r="CS197" s="89"/>
      <c r="CT197" s="83"/>
      <c r="CU197" s="1"/>
      <c r="CV197" s="89"/>
      <c r="CW197" s="83"/>
      <c r="CX197" s="1"/>
      <c r="CY197" s="89"/>
    </row>
    <row r="198" spans="1:103" x14ac:dyDescent="0.3">
      <c r="A198" s="41">
        <v>2011</v>
      </c>
      <c r="B198" s="83"/>
      <c r="C198" s="1"/>
      <c r="D198" s="89"/>
      <c r="E198" s="1"/>
      <c r="F198" s="1"/>
      <c r="G198" s="89"/>
      <c r="H198" s="83"/>
      <c r="I198" s="1"/>
      <c r="J198" s="89"/>
      <c r="K198" s="83"/>
      <c r="L198" s="1"/>
      <c r="M198" s="89"/>
      <c r="N198" s="83"/>
      <c r="O198" s="1"/>
      <c r="P198" s="89"/>
      <c r="Q198" s="83"/>
      <c r="R198" s="1"/>
      <c r="S198" s="89"/>
      <c r="T198" s="83"/>
      <c r="U198" s="1"/>
      <c r="V198" s="89"/>
      <c r="W198" s="83"/>
      <c r="X198" s="1"/>
      <c r="Y198" s="89"/>
      <c r="Z198" s="83"/>
      <c r="AA198" s="1"/>
      <c r="AB198" s="89"/>
      <c r="AC198" s="83"/>
      <c r="AD198" s="1"/>
      <c r="AE198" s="89"/>
      <c r="AF198" s="83"/>
      <c r="AG198" s="1"/>
      <c r="AH198" s="89"/>
      <c r="AI198" s="83"/>
      <c r="AJ198" s="1"/>
      <c r="AK198" s="89"/>
      <c r="AL198" s="83"/>
      <c r="AM198" s="1"/>
      <c r="AN198" s="89"/>
      <c r="AO198" s="83"/>
      <c r="AP198" s="1"/>
      <c r="AQ198" s="89"/>
      <c r="AR198" s="83"/>
      <c r="AS198" s="1"/>
      <c r="AT198" s="89"/>
      <c r="AU198" s="83"/>
      <c r="AV198" s="1"/>
      <c r="AW198" s="89"/>
      <c r="AX198" s="83"/>
      <c r="AY198" s="1"/>
      <c r="AZ198" s="89"/>
      <c r="BA198" s="83"/>
      <c r="BB198" s="1"/>
      <c r="BC198" s="89"/>
      <c r="BD198" s="83"/>
      <c r="BE198" s="1"/>
      <c r="BF198" s="89"/>
      <c r="BG198" s="83"/>
      <c r="BH198" s="1"/>
      <c r="BI198" s="89"/>
      <c r="BJ198" s="83"/>
      <c r="BK198" s="1"/>
      <c r="BL198" s="89"/>
      <c r="BM198" s="83"/>
      <c r="BN198" s="1"/>
      <c r="BO198" s="89"/>
      <c r="BP198" s="83"/>
      <c r="BQ198" s="1"/>
      <c r="BR198" s="89"/>
      <c r="BS198" s="83"/>
      <c r="BT198" s="1"/>
      <c r="BU198" s="89"/>
      <c r="BV198" s="83"/>
      <c r="BW198" s="1"/>
      <c r="BX198" s="89"/>
      <c r="BY198" s="83"/>
      <c r="BZ198" s="1"/>
      <c r="CA198" s="89"/>
      <c r="CB198" s="83"/>
      <c r="CC198" s="1"/>
      <c r="CD198" s="89"/>
      <c r="CE198" s="83"/>
      <c r="CF198" s="1"/>
      <c r="CG198" s="89"/>
      <c r="CH198" s="83"/>
      <c r="CI198" s="1"/>
      <c r="CJ198" s="89"/>
      <c r="CK198" s="83"/>
      <c r="CL198" s="1"/>
      <c r="CM198" s="89"/>
      <c r="CN198" s="83"/>
      <c r="CO198" s="1"/>
      <c r="CP198" s="89"/>
      <c r="CQ198" s="83"/>
      <c r="CR198" s="1"/>
      <c r="CS198" s="89"/>
      <c r="CT198" s="83"/>
      <c r="CU198" s="1"/>
      <c r="CV198" s="89"/>
      <c r="CW198" s="83"/>
      <c r="CX198" s="1"/>
      <c r="CY198" s="89"/>
    </row>
    <row r="199" spans="1:103" x14ac:dyDescent="0.3">
      <c r="A199" s="41">
        <v>2012</v>
      </c>
      <c r="B199" s="83"/>
      <c r="C199" s="1"/>
      <c r="D199" s="89"/>
      <c r="E199" s="1"/>
      <c r="F199" s="1"/>
      <c r="G199" s="89"/>
      <c r="H199" s="83"/>
      <c r="I199" s="1"/>
      <c r="J199" s="89"/>
      <c r="K199" s="83"/>
      <c r="L199" s="1"/>
      <c r="M199" s="89"/>
      <c r="N199" s="83"/>
      <c r="O199" s="1"/>
      <c r="P199" s="89"/>
      <c r="Q199" s="83"/>
      <c r="R199" s="1"/>
      <c r="S199" s="89"/>
      <c r="T199" s="83"/>
      <c r="U199" s="1"/>
      <c r="V199" s="89"/>
      <c r="W199" s="83"/>
      <c r="X199" s="1"/>
      <c r="Y199" s="89"/>
      <c r="Z199" s="83"/>
      <c r="AA199" s="1"/>
      <c r="AB199" s="89"/>
      <c r="AC199" s="83"/>
      <c r="AD199" s="1"/>
      <c r="AE199" s="89"/>
      <c r="AF199" s="83"/>
      <c r="AG199" s="1"/>
      <c r="AH199" s="89"/>
      <c r="AI199" s="83"/>
      <c r="AJ199" s="1"/>
      <c r="AK199" s="89"/>
      <c r="AL199" s="83">
        <v>4110</v>
      </c>
      <c r="AM199" s="1">
        <v>5137.5</v>
      </c>
      <c r="AN199" s="89">
        <v>6165.0000000000009</v>
      </c>
      <c r="AO199" s="83"/>
      <c r="AP199" s="1"/>
      <c r="AQ199" s="89"/>
      <c r="AR199" s="83"/>
      <c r="AS199" s="1"/>
      <c r="AT199" s="89"/>
      <c r="AU199" s="83"/>
      <c r="AV199" s="1"/>
      <c r="AW199" s="89"/>
      <c r="AX199" s="83"/>
      <c r="AY199" s="1"/>
      <c r="AZ199" s="89"/>
      <c r="BA199" s="83"/>
      <c r="BB199" s="1"/>
      <c r="BC199" s="89"/>
      <c r="BD199" s="83"/>
      <c r="BE199" s="1"/>
      <c r="BF199" s="89"/>
      <c r="BG199" s="83"/>
      <c r="BH199" s="1"/>
      <c r="BI199" s="89"/>
      <c r="BJ199" s="83"/>
      <c r="BK199" s="1"/>
      <c r="BL199" s="89"/>
      <c r="BM199" s="83"/>
      <c r="BN199" s="1"/>
      <c r="BO199" s="89"/>
      <c r="BP199" s="83"/>
      <c r="BQ199" s="1"/>
      <c r="BR199" s="89"/>
      <c r="BS199" s="83"/>
      <c r="BT199" s="1"/>
      <c r="BU199" s="89"/>
      <c r="BV199" s="83"/>
      <c r="BW199" s="1"/>
      <c r="BX199" s="89"/>
      <c r="BY199" s="83"/>
      <c r="BZ199" s="1"/>
      <c r="CA199" s="89"/>
      <c r="CB199" s="83"/>
      <c r="CC199" s="1"/>
      <c r="CD199" s="89"/>
      <c r="CE199" s="83"/>
      <c r="CF199" s="1"/>
      <c r="CG199" s="89"/>
      <c r="CH199" s="83"/>
      <c r="CI199" s="1"/>
      <c r="CJ199" s="89"/>
      <c r="CK199" s="83"/>
      <c r="CL199" s="1"/>
      <c r="CM199" s="89"/>
      <c r="CN199" s="83"/>
      <c r="CO199" s="1"/>
      <c r="CP199" s="89"/>
      <c r="CQ199" s="83"/>
      <c r="CR199" s="1"/>
      <c r="CS199" s="89"/>
      <c r="CT199" s="83"/>
      <c r="CU199" s="1"/>
      <c r="CV199" s="89"/>
      <c r="CW199" s="83"/>
      <c r="CX199" s="1"/>
      <c r="CY199" s="89"/>
    </row>
    <row r="200" spans="1:103" x14ac:dyDescent="0.3">
      <c r="A200" s="41">
        <v>2013</v>
      </c>
      <c r="B200" s="83"/>
      <c r="C200" s="1"/>
      <c r="D200" s="89"/>
      <c r="E200" s="1"/>
      <c r="F200" s="1"/>
      <c r="G200" s="89"/>
      <c r="H200" s="83"/>
      <c r="I200" s="1"/>
      <c r="J200" s="89"/>
      <c r="K200" s="83"/>
      <c r="L200" s="1"/>
      <c r="M200" s="89"/>
      <c r="N200" s="83"/>
      <c r="O200" s="1"/>
      <c r="P200" s="89"/>
      <c r="Q200" s="83"/>
      <c r="R200" s="1"/>
      <c r="S200" s="89"/>
      <c r="T200" s="83"/>
      <c r="U200" s="1"/>
      <c r="V200" s="89"/>
      <c r="W200" s="83"/>
      <c r="X200" s="1"/>
      <c r="Y200" s="89"/>
      <c r="Z200" s="83"/>
      <c r="AA200" s="1"/>
      <c r="AB200" s="89"/>
      <c r="AC200" s="83"/>
      <c r="AD200" s="1"/>
      <c r="AE200" s="89"/>
      <c r="AF200" s="83"/>
      <c r="AG200" s="1"/>
      <c r="AH200" s="89"/>
      <c r="AI200" s="83"/>
      <c r="AJ200" s="1"/>
      <c r="AK200" s="89"/>
      <c r="AL200" s="83"/>
      <c r="AM200" s="1"/>
      <c r="AN200" s="89"/>
      <c r="AO200" s="83"/>
      <c r="AP200" s="1"/>
      <c r="AQ200" s="89"/>
      <c r="AR200" s="83"/>
      <c r="AS200" s="1"/>
      <c r="AT200" s="89"/>
      <c r="AU200" s="83"/>
      <c r="AV200" s="1"/>
      <c r="AW200" s="89"/>
      <c r="AX200" s="83"/>
      <c r="AY200" s="1"/>
      <c r="AZ200" s="89"/>
      <c r="BA200" s="83"/>
      <c r="BB200" s="1"/>
      <c r="BC200" s="89"/>
      <c r="BD200" s="83"/>
      <c r="BE200" s="1"/>
      <c r="BF200" s="89"/>
      <c r="BG200" s="83"/>
      <c r="BH200" s="1"/>
      <c r="BI200" s="89"/>
      <c r="BJ200" s="83"/>
      <c r="BK200" s="1"/>
      <c r="BL200" s="89"/>
      <c r="BM200" s="83"/>
      <c r="BN200" s="1"/>
      <c r="BO200" s="89"/>
      <c r="BP200" s="83"/>
      <c r="BQ200" s="1"/>
      <c r="BR200" s="89"/>
      <c r="BS200" s="83"/>
      <c r="BT200" s="1"/>
      <c r="BU200" s="89"/>
      <c r="BV200" s="83"/>
      <c r="BW200" s="1"/>
      <c r="BX200" s="89"/>
      <c r="BY200" s="83"/>
      <c r="BZ200" s="1"/>
      <c r="CA200" s="89"/>
      <c r="CB200" s="83"/>
      <c r="CC200" s="1"/>
      <c r="CD200" s="89"/>
      <c r="CE200" s="83"/>
      <c r="CF200" s="1"/>
      <c r="CG200" s="89"/>
      <c r="CH200" s="83"/>
      <c r="CI200" s="1"/>
      <c r="CJ200" s="89"/>
      <c r="CK200" s="83"/>
      <c r="CL200" s="1"/>
      <c r="CM200" s="89"/>
      <c r="CN200" s="83"/>
      <c r="CO200" s="1"/>
      <c r="CP200" s="89"/>
      <c r="CQ200" s="83"/>
      <c r="CR200" s="1"/>
      <c r="CS200" s="89"/>
      <c r="CT200" s="83"/>
      <c r="CU200" s="1"/>
      <c r="CV200" s="89"/>
      <c r="CW200" s="83"/>
      <c r="CX200" s="1"/>
      <c r="CY200" s="89"/>
    </row>
    <row r="201" spans="1:103" x14ac:dyDescent="0.3">
      <c r="A201" s="41">
        <v>2014</v>
      </c>
      <c r="B201" s="83"/>
      <c r="C201" s="1"/>
      <c r="D201" s="89"/>
      <c r="E201" s="1"/>
      <c r="F201" s="1"/>
      <c r="G201" s="89"/>
      <c r="H201" s="83"/>
      <c r="I201" s="1"/>
      <c r="J201" s="89"/>
      <c r="K201" s="83"/>
      <c r="L201" s="1"/>
      <c r="M201" s="89"/>
      <c r="N201" s="83"/>
      <c r="O201" s="1"/>
      <c r="P201" s="89"/>
      <c r="Q201" s="83"/>
      <c r="R201" s="1"/>
      <c r="S201" s="89"/>
      <c r="T201" s="83"/>
      <c r="U201" s="1"/>
      <c r="V201" s="89"/>
      <c r="W201" s="83"/>
      <c r="X201" s="1"/>
      <c r="Y201" s="89"/>
      <c r="Z201" s="83"/>
      <c r="AA201" s="1"/>
      <c r="AB201" s="89"/>
      <c r="AC201" s="83"/>
      <c r="AD201" s="1"/>
      <c r="AE201" s="89"/>
      <c r="AF201" s="83"/>
      <c r="AG201" s="1"/>
      <c r="AH201" s="89"/>
      <c r="AI201" s="83"/>
      <c r="AJ201" s="1"/>
      <c r="AK201" s="89"/>
      <c r="AL201" s="83"/>
      <c r="AM201" s="1"/>
      <c r="AN201" s="89"/>
      <c r="AO201" s="83"/>
      <c r="AP201" s="1"/>
      <c r="AQ201" s="89"/>
      <c r="AR201" s="83"/>
      <c r="AS201" s="1"/>
      <c r="AT201" s="89"/>
      <c r="AU201" s="83"/>
      <c r="AV201" s="1"/>
      <c r="AW201" s="89"/>
      <c r="AX201" s="83"/>
      <c r="AY201" s="1"/>
      <c r="AZ201" s="89"/>
      <c r="BA201" s="83"/>
      <c r="BB201" s="1"/>
      <c r="BC201" s="89"/>
      <c r="BD201" s="83"/>
      <c r="BE201" s="1"/>
      <c r="BF201" s="89"/>
      <c r="BG201" s="83"/>
      <c r="BH201" s="1"/>
      <c r="BI201" s="89"/>
      <c r="BJ201" s="83"/>
      <c r="BK201" s="1"/>
      <c r="BL201" s="89"/>
      <c r="BM201" s="83"/>
      <c r="BN201" s="1"/>
      <c r="BO201" s="89"/>
      <c r="BP201" s="83"/>
      <c r="BQ201" s="1"/>
      <c r="BR201" s="89"/>
      <c r="BS201" s="83"/>
      <c r="BT201" s="1"/>
      <c r="BU201" s="89"/>
      <c r="BV201" s="83"/>
      <c r="BW201" s="1"/>
      <c r="BX201" s="89"/>
      <c r="BY201" s="83"/>
      <c r="BZ201" s="1"/>
      <c r="CA201" s="89"/>
      <c r="CB201" s="83"/>
      <c r="CC201" s="1"/>
      <c r="CD201" s="89"/>
      <c r="CE201" s="83"/>
      <c r="CF201" s="1"/>
      <c r="CG201" s="89"/>
      <c r="CH201" s="83"/>
      <c r="CI201" s="1"/>
      <c r="CJ201" s="89"/>
      <c r="CK201" s="83"/>
      <c r="CL201" s="1"/>
      <c r="CM201" s="89"/>
      <c r="CN201" s="83"/>
      <c r="CO201" s="1"/>
      <c r="CP201" s="89"/>
      <c r="CQ201" s="83"/>
      <c r="CR201" s="1"/>
      <c r="CS201" s="89"/>
      <c r="CT201" s="83"/>
      <c r="CU201" s="1"/>
      <c r="CV201" s="89"/>
      <c r="CW201" s="83"/>
      <c r="CX201" s="1"/>
      <c r="CY201" s="89"/>
    </row>
    <row r="202" spans="1:103" x14ac:dyDescent="0.3">
      <c r="A202" s="41">
        <v>2015</v>
      </c>
      <c r="B202" s="83"/>
      <c r="C202" s="1"/>
      <c r="D202" s="89"/>
      <c r="E202" s="1"/>
      <c r="F202" s="1"/>
      <c r="G202" s="89"/>
      <c r="H202" s="83"/>
      <c r="I202" s="1"/>
      <c r="J202" s="89"/>
      <c r="K202" s="83"/>
      <c r="L202" s="1"/>
      <c r="M202" s="89"/>
      <c r="N202" s="83"/>
      <c r="O202" s="1"/>
      <c r="P202" s="89"/>
      <c r="Q202" s="83"/>
      <c r="R202" s="1"/>
      <c r="S202" s="89"/>
      <c r="T202" s="83"/>
      <c r="U202" s="1"/>
      <c r="V202" s="89"/>
      <c r="W202" s="83">
        <v>3719.2961</v>
      </c>
      <c r="X202" s="1">
        <v>3892.5761499999999</v>
      </c>
      <c r="Y202" s="89">
        <v>4065.8561999999997</v>
      </c>
      <c r="Z202" s="83"/>
      <c r="AA202" s="1"/>
      <c r="AB202" s="89"/>
      <c r="AC202" s="83"/>
      <c r="AD202" s="1"/>
      <c r="AE202" s="89"/>
      <c r="AF202" s="83"/>
      <c r="AG202" s="1"/>
      <c r="AH202" s="89"/>
      <c r="AI202" s="83"/>
      <c r="AJ202" s="1"/>
      <c r="AK202" s="89"/>
      <c r="AL202" s="83"/>
      <c r="AM202" s="1"/>
      <c r="AN202" s="89"/>
      <c r="AO202" s="83"/>
      <c r="AP202" s="1"/>
      <c r="AQ202" s="89"/>
      <c r="AR202" s="83"/>
      <c r="AS202" s="1"/>
      <c r="AT202" s="89"/>
      <c r="AU202" s="83">
        <v>5940</v>
      </c>
      <c r="AV202" s="1">
        <v>6137.5704000000005</v>
      </c>
      <c r="AW202" s="89">
        <v>7485.8680000000004</v>
      </c>
      <c r="AX202" s="83"/>
      <c r="AY202" s="1"/>
      <c r="AZ202" s="89"/>
      <c r="BA202" s="83"/>
      <c r="BB202" s="1"/>
      <c r="BC202" s="89"/>
      <c r="BD202" s="83"/>
      <c r="BE202" s="1"/>
      <c r="BF202" s="89"/>
      <c r="BG202" s="83"/>
      <c r="BH202" s="1"/>
      <c r="BI202" s="89"/>
      <c r="BJ202" s="83"/>
      <c r="BK202" s="1"/>
      <c r="BL202" s="89"/>
      <c r="BM202" s="83"/>
      <c r="BN202" s="1"/>
      <c r="BO202" s="89"/>
      <c r="BP202" s="83"/>
      <c r="BQ202" s="1"/>
      <c r="BR202" s="89"/>
      <c r="BS202" s="83"/>
      <c r="BT202" s="1"/>
      <c r="BU202" s="89"/>
      <c r="BV202" s="83"/>
      <c r="BW202" s="1"/>
      <c r="BX202" s="89"/>
      <c r="BY202" s="83"/>
      <c r="BZ202" s="1"/>
      <c r="CA202" s="89"/>
      <c r="CB202" s="83"/>
      <c r="CC202" s="1"/>
      <c r="CD202" s="89"/>
      <c r="CE202" s="83"/>
      <c r="CF202" s="1"/>
      <c r="CG202" s="89"/>
      <c r="CH202" s="83"/>
      <c r="CI202" s="1"/>
      <c r="CJ202" s="89"/>
      <c r="CK202" s="83"/>
      <c r="CL202" s="1"/>
      <c r="CM202" s="89"/>
      <c r="CN202" s="83"/>
      <c r="CO202" s="1"/>
      <c r="CP202" s="89"/>
      <c r="CQ202" s="83"/>
      <c r="CR202" s="1"/>
      <c r="CS202" s="89"/>
      <c r="CT202" s="83"/>
      <c r="CU202" s="1"/>
      <c r="CV202" s="89"/>
      <c r="CW202" s="83"/>
      <c r="CX202" s="1"/>
      <c r="CY202" s="89"/>
    </row>
    <row r="203" spans="1:103" x14ac:dyDescent="0.3">
      <c r="A203" s="41">
        <v>2016</v>
      </c>
      <c r="B203" s="83"/>
      <c r="C203" s="1"/>
      <c r="D203" s="89"/>
      <c r="E203" s="1"/>
      <c r="F203" s="1"/>
      <c r="G203" s="89"/>
      <c r="H203" s="83"/>
      <c r="I203" s="1"/>
      <c r="J203" s="89"/>
      <c r="K203" s="83"/>
      <c r="L203" s="1"/>
      <c r="M203" s="89"/>
      <c r="N203" s="83"/>
      <c r="O203" s="1"/>
      <c r="P203" s="89"/>
      <c r="Q203" s="83"/>
      <c r="R203" s="1"/>
      <c r="S203" s="89"/>
      <c r="T203" s="83"/>
      <c r="U203" s="1"/>
      <c r="V203" s="89"/>
      <c r="W203" s="83"/>
      <c r="X203" s="1"/>
      <c r="Y203" s="89"/>
      <c r="Z203" s="83"/>
      <c r="AA203" s="1"/>
      <c r="AB203" s="89"/>
      <c r="AC203" s="83"/>
      <c r="AD203" s="1"/>
      <c r="AE203" s="89"/>
      <c r="AF203" s="83"/>
      <c r="AG203" s="1"/>
      <c r="AH203" s="89"/>
      <c r="AI203" s="83"/>
      <c r="AJ203" s="1"/>
      <c r="AK203" s="89"/>
      <c r="AL203" s="83"/>
      <c r="AM203" s="1"/>
      <c r="AN203" s="89"/>
      <c r="AO203" s="83"/>
      <c r="AP203" s="1"/>
      <c r="AQ203" s="89"/>
      <c r="AR203" s="83"/>
      <c r="AS203" s="1"/>
      <c r="AT203" s="89"/>
      <c r="AU203" s="83"/>
      <c r="AV203" s="1"/>
      <c r="AW203" s="89"/>
      <c r="AX203" s="83"/>
      <c r="AY203" s="1"/>
      <c r="AZ203" s="89"/>
      <c r="BA203" s="83"/>
      <c r="BB203" s="1"/>
      <c r="BC203" s="89"/>
      <c r="BD203" s="83"/>
      <c r="BE203" s="1"/>
      <c r="BF203" s="89"/>
      <c r="BG203" s="83"/>
      <c r="BH203" s="1"/>
      <c r="BI203" s="89"/>
      <c r="BJ203" s="83"/>
      <c r="BK203" s="1"/>
      <c r="BL203" s="89"/>
      <c r="BM203" s="83"/>
      <c r="BN203" s="1"/>
      <c r="BO203" s="89"/>
      <c r="BP203" s="83"/>
      <c r="BQ203" s="1"/>
      <c r="BR203" s="89"/>
      <c r="BS203" s="83"/>
      <c r="BT203" s="1"/>
      <c r="BU203" s="89"/>
      <c r="BV203" s="83"/>
      <c r="BW203" s="1"/>
      <c r="BX203" s="89"/>
      <c r="BY203" s="83"/>
      <c r="BZ203" s="1"/>
      <c r="CA203" s="89"/>
      <c r="CB203" s="83"/>
      <c r="CC203" s="1"/>
      <c r="CD203" s="89"/>
      <c r="CE203" s="83"/>
      <c r="CF203" s="1"/>
      <c r="CG203" s="89"/>
      <c r="CH203" s="83"/>
      <c r="CI203" s="1"/>
      <c r="CJ203" s="89"/>
      <c r="CK203" s="83"/>
      <c r="CL203" s="1"/>
      <c r="CM203" s="89"/>
      <c r="CN203" s="83"/>
      <c r="CO203" s="1"/>
      <c r="CP203" s="89"/>
      <c r="CQ203" s="83"/>
      <c r="CR203" s="1"/>
      <c r="CS203" s="89"/>
      <c r="CT203" s="83"/>
      <c r="CU203" s="1"/>
      <c r="CV203" s="89"/>
      <c r="CW203" s="83"/>
      <c r="CX203" s="1"/>
      <c r="CY203" s="89"/>
    </row>
    <row r="204" spans="1:103" x14ac:dyDescent="0.3">
      <c r="A204" s="41">
        <v>2017</v>
      </c>
      <c r="B204" s="83"/>
      <c r="C204" s="1"/>
      <c r="D204" s="89"/>
      <c r="E204" s="1"/>
      <c r="F204" s="1"/>
      <c r="G204" s="89"/>
      <c r="H204" s="83"/>
      <c r="I204" s="1"/>
      <c r="J204" s="89"/>
      <c r="K204" s="83"/>
      <c r="L204" s="1"/>
      <c r="M204" s="89"/>
      <c r="N204" s="83"/>
      <c r="O204" s="1"/>
      <c r="P204" s="89"/>
      <c r="Q204" s="83"/>
      <c r="R204" s="1"/>
      <c r="S204" s="89"/>
      <c r="T204" s="83"/>
      <c r="U204" s="1"/>
      <c r="V204" s="89"/>
      <c r="W204" s="83"/>
      <c r="X204" s="1"/>
      <c r="Y204" s="89"/>
      <c r="Z204" s="83"/>
      <c r="AA204" s="1"/>
      <c r="AB204" s="89"/>
      <c r="AC204" s="83"/>
      <c r="AD204" s="1"/>
      <c r="AE204" s="89"/>
      <c r="AF204" s="83"/>
      <c r="AG204" s="1"/>
      <c r="AH204" s="89"/>
      <c r="AI204" s="83"/>
      <c r="AJ204" s="1"/>
      <c r="AK204" s="89"/>
      <c r="AL204" s="83"/>
      <c r="AM204" s="1"/>
      <c r="AN204" s="89"/>
      <c r="AO204" s="83"/>
      <c r="AP204" s="1"/>
      <c r="AQ204" s="89"/>
      <c r="AR204" s="83"/>
      <c r="AS204" s="1"/>
      <c r="AT204" s="89"/>
      <c r="AU204" s="83"/>
      <c r="AV204" s="1"/>
      <c r="AW204" s="89"/>
      <c r="AX204" s="83"/>
      <c r="AZ204" s="89"/>
      <c r="BA204" s="83">
        <v>4282.8</v>
      </c>
      <c r="BB204" s="1">
        <v>5295.45</v>
      </c>
      <c r="BC204" s="89">
        <v>6088.8</v>
      </c>
      <c r="BD204" s="83"/>
      <c r="BE204" s="1"/>
      <c r="BF204" s="89"/>
      <c r="BG204" s="83"/>
      <c r="BH204" s="1"/>
      <c r="BI204" s="89"/>
      <c r="BJ204" s="83"/>
      <c r="BK204" s="1"/>
      <c r="BL204" s="89"/>
      <c r="BM204" s="83"/>
      <c r="BN204" s="1"/>
      <c r="BO204" s="89"/>
      <c r="BP204" s="83"/>
      <c r="BQ204" s="1"/>
      <c r="BR204" s="89"/>
      <c r="BS204" s="83"/>
      <c r="BT204" s="1"/>
      <c r="BU204" s="89"/>
      <c r="BV204" s="83"/>
      <c r="BW204" s="1"/>
      <c r="BX204" s="89"/>
      <c r="BY204" s="83"/>
      <c r="BZ204" s="1"/>
      <c r="CA204" s="89"/>
      <c r="CB204" s="83"/>
      <c r="CC204" s="1"/>
      <c r="CD204" s="89"/>
      <c r="CE204" s="83"/>
      <c r="CF204" s="1"/>
      <c r="CG204" s="89"/>
      <c r="CH204" s="83"/>
      <c r="CI204" s="1"/>
      <c r="CJ204" s="89"/>
      <c r="CK204" s="83"/>
      <c r="CL204" s="1"/>
      <c r="CM204" s="89"/>
      <c r="CN204" s="83"/>
      <c r="CO204" s="1"/>
      <c r="CP204" s="89"/>
      <c r="CQ204" s="83"/>
      <c r="CR204" s="1"/>
      <c r="CS204" s="89"/>
      <c r="CT204" s="83"/>
      <c r="CU204" s="1"/>
      <c r="CV204" s="89"/>
      <c r="CW204" s="83"/>
      <c r="CX204" s="1"/>
      <c r="CY204" s="89"/>
    </row>
    <row r="205" spans="1:103" x14ac:dyDescent="0.3">
      <c r="A205" s="41">
        <v>2018</v>
      </c>
      <c r="B205" s="83"/>
      <c r="C205" s="1"/>
      <c r="D205" s="89"/>
      <c r="E205" s="1"/>
      <c r="F205" s="1"/>
      <c r="G205" s="89"/>
      <c r="H205" s="83"/>
      <c r="I205" s="1"/>
      <c r="J205" s="89"/>
      <c r="K205" s="83"/>
      <c r="L205" s="1"/>
      <c r="M205" s="89"/>
      <c r="N205" s="83"/>
      <c r="O205" s="1"/>
      <c r="P205" s="89"/>
      <c r="Q205" s="83"/>
      <c r="R205" s="1"/>
      <c r="S205" s="89"/>
      <c r="T205" s="83"/>
      <c r="U205" s="1"/>
      <c r="V205" s="89"/>
      <c r="W205" s="83"/>
      <c r="X205" s="1"/>
      <c r="Y205" s="89"/>
      <c r="Z205" s="83"/>
      <c r="AA205" s="1"/>
      <c r="AB205" s="89"/>
      <c r="AC205" s="83"/>
      <c r="AD205" s="1"/>
      <c r="AE205" s="89"/>
      <c r="AF205" s="83"/>
      <c r="AG205" s="1"/>
      <c r="AH205" s="89"/>
      <c r="AI205" s="83"/>
      <c r="AJ205" s="1"/>
      <c r="AK205" s="89"/>
      <c r="AL205" s="83"/>
      <c r="AM205" s="1"/>
      <c r="AN205" s="89"/>
      <c r="AO205" s="83"/>
      <c r="AP205" s="1"/>
      <c r="AQ205" s="89"/>
      <c r="AR205" s="83"/>
      <c r="AS205" s="1"/>
      <c r="AT205" s="89"/>
      <c r="AU205" s="83"/>
      <c r="AV205" s="1"/>
      <c r="AW205" s="89"/>
      <c r="AX205" s="83"/>
      <c r="AZ205" s="89"/>
      <c r="BA205" s="83"/>
      <c r="BB205" s="1"/>
      <c r="BC205" s="89"/>
      <c r="BD205" s="83">
        <v>3502.8</v>
      </c>
      <c r="BE205" s="1">
        <v>4851</v>
      </c>
      <c r="BF205" s="89">
        <v>6199.2</v>
      </c>
      <c r="BG205" s="83"/>
      <c r="BH205" s="1"/>
      <c r="BI205" s="89"/>
      <c r="BJ205" s="83"/>
      <c r="BK205" s="1"/>
      <c r="BL205" s="89"/>
      <c r="BM205" s="83"/>
      <c r="BN205" s="1"/>
      <c r="BO205" s="89"/>
      <c r="BP205" s="83"/>
      <c r="BQ205" s="1"/>
      <c r="BR205" s="89"/>
      <c r="BS205" s="83"/>
      <c r="BT205" s="1"/>
      <c r="BU205" s="89"/>
      <c r="BV205" s="83"/>
      <c r="BW205" s="1"/>
      <c r="BX205" s="89"/>
      <c r="BY205" s="83"/>
      <c r="BZ205" s="1"/>
      <c r="CA205" s="89"/>
      <c r="CB205" s="83"/>
      <c r="CC205" s="1"/>
      <c r="CD205" s="89"/>
      <c r="CE205" s="83"/>
      <c r="CF205" s="1"/>
      <c r="CG205" s="89"/>
      <c r="CH205" s="83"/>
      <c r="CI205" s="1"/>
      <c r="CJ205" s="89"/>
      <c r="CK205" s="83"/>
      <c r="CL205" s="1"/>
      <c r="CM205" s="89"/>
      <c r="CN205" s="83"/>
      <c r="CO205" s="1"/>
      <c r="CP205" s="89"/>
      <c r="CQ205" s="83"/>
      <c r="CR205" s="1"/>
      <c r="CS205" s="89"/>
      <c r="CT205" s="83"/>
      <c r="CU205" s="1"/>
      <c r="CV205" s="89"/>
      <c r="CW205" s="83"/>
      <c r="CX205" s="1"/>
      <c r="CY205" s="89"/>
    </row>
    <row r="206" spans="1:103" x14ac:dyDescent="0.3">
      <c r="A206" s="41">
        <v>2019</v>
      </c>
      <c r="B206" s="83"/>
      <c r="C206" s="1"/>
      <c r="D206" s="89"/>
      <c r="E206" s="1"/>
      <c r="F206" s="1"/>
      <c r="G206" s="89"/>
      <c r="H206" s="83"/>
      <c r="I206" s="1"/>
      <c r="J206" s="89"/>
      <c r="K206" s="83"/>
      <c r="L206" s="1"/>
      <c r="M206" s="89"/>
      <c r="N206" s="83"/>
      <c r="O206" s="1"/>
      <c r="P206" s="89"/>
      <c r="Q206" s="83"/>
      <c r="R206" s="1"/>
      <c r="S206" s="89"/>
      <c r="T206" s="83"/>
      <c r="U206" s="1"/>
      <c r="V206" s="89"/>
      <c r="W206" s="83"/>
      <c r="X206" s="1"/>
      <c r="Y206" s="89"/>
      <c r="Z206" s="83"/>
      <c r="AA206" s="1"/>
      <c r="AB206" s="89"/>
      <c r="AC206" s="83"/>
      <c r="AD206" s="1"/>
      <c r="AE206" s="89"/>
      <c r="AF206" s="83"/>
      <c r="AG206" s="1"/>
      <c r="AH206" s="89"/>
      <c r="AI206" s="83"/>
      <c r="AJ206" s="1"/>
      <c r="AK206" s="89"/>
      <c r="AL206" s="83"/>
      <c r="AM206" s="1"/>
      <c r="AN206" s="89"/>
      <c r="AO206" s="83"/>
      <c r="AP206" s="1"/>
      <c r="AQ206" s="89"/>
      <c r="AR206" s="83"/>
      <c r="AS206" s="1"/>
      <c r="AT206" s="89"/>
      <c r="AU206" s="83"/>
      <c r="AV206" s="1"/>
      <c r="AW206" s="89"/>
      <c r="AX206" s="83"/>
      <c r="AZ206" s="89"/>
      <c r="BA206" s="83"/>
      <c r="BB206" s="1"/>
      <c r="BC206" s="89"/>
      <c r="BD206" s="83"/>
      <c r="BE206" s="1"/>
      <c r="BF206" s="89"/>
      <c r="BG206" s="83">
        <v>3690</v>
      </c>
      <c r="BH206" s="1">
        <v>4464.8999999999996</v>
      </c>
      <c r="BI206" s="89">
        <v>5239.8</v>
      </c>
      <c r="BJ206" s="83">
        <v>3690</v>
      </c>
      <c r="BK206" s="1">
        <v>4464.8999999999996</v>
      </c>
      <c r="BL206" s="89">
        <v>5239.8</v>
      </c>
      <c r="BM206" s="83"/>
      <c r="BN206" s="1"/>
      <c r="BO206" s="89"/>
      <c r="BP206" s="83"/>
      <c r="BQ206" s="1"/>
      <c r="BR206" s="89"/>
      <c r="BS206" s="83"/>
      <c r="BT206" s="1"/>
      <c r="BU206" s="89"/>
      <c r="BV206" s="83"/>
      <c r="BW206" s="1"/>
      <c r="BX206" s="89"/>
      <c r="BY206" s="83"/>
      <c r="BZ206" s="1"/>
      <c r="CA206" s="89"/>
      <c r="CB206" s="83"/>
      <c r="CC206" s="1"/>
      <c r="CD206" s="89"/>
      <c r="CE206" s="83"/>
      <c r="CF206" s="1"/>
      <c r="CG206" s="89"/>
      <c r="CH206" s="83"/>
      <c r="CI206" s="1"/>
      <c r="CJ206" s="89"/>
      <c r="CK206" s="83"/>
      <c r="CL206" s="1"/>
      <c r="CM206" s="89"/>
      <c r="CN206" s="83"/>
      <c r="CO206" s="1"/>
      <c r="CP206" s="89"/>
      <c r="CQ206" s="83"/>
      <c r="CR206" s="1"/>
      <c r="CS206" s="89"/>
      <c r="CT206" s="83"/>
      <c r="CU206" s="1"/>
      <c r="CV206" s="89"/>
      <c r="CW206" s="83"/>
      <c r="CX206" s="1"/>
      <c r="CY206" s="89"/>
    </row>
    <row r="207" spans="1:103" x14ac:dyDescent="0.3">
      <c r="A207" s="41">
        <v>2020</v>
      </c>
      <c r="B207" s="83">
        <v>1610.6999999999998</v>
      </c>
      <c r="C207" s="1">
        <v>2359.41</v>
      </c>
      <c r="D207" s="89">
        <v>3108.1200000000003</v>
      </c>
      <c r="H207" s="83"/>
      <c r="I207" s="1"/>
      <c r="J207" s="89"/>
      <c r="K207" s="83"/>
      <c r="L207" s="1"/>
      <c r="M207" s="89"/>
      <c r="N207" s="83"/>
      <c r="O207" s="1"/>
      <c r="P207" s="89"/>
      <c r="Q207" s="83"/>
      <c r="R207" s="1"/>
      <c r="S207" s="89"/>
      <c r="T207" s="83"/>
      <c r="U207" s="1"/>
      <c r="V207" s="89"/>
      <c r="W207" s="83"/>
      <c r="X207" s="1"/>
      <c r="Y207" s="89"/>
      <c r="Z207" s="83"/>
      <c r="AA207" s="1"/>
      <c r="AB207" s="89"/>
      <c r="AC207" s="83"/>
      <c r="AD207" s="1"/>
      <c r="AE207" s="89"/>
      <c r="AF207" s="83"/>
      <c r="AG207" s="1"/>
      <c r="AH207" s="89"/>
      <c r="AI207" s="83"/>
      <c r="AJ207" s="1"/>
      <c r="AK207" s="89"/>
      <c r="AL207" s="83"/>
      <c r="AM207" s="1"/>
      <c r="AN207" s="89"/>
      <c r="AO207" s="83"/>
      <c r="AP207" s="1"/>
      <c r="AQ207" s="89"/>
      <c r="AR207" s="83"/>
      <c r="AS207" s="1"/>
      <c r="AT207" s="89"/>
      <c r="AU207" s="83"/>
      <c r="AV207" s="1"/>
      <c r="AW207" s="89"/>
      <c r="AX207" s="83"/>
      <c r="AZ207" s="89"/>
      <c r="BA207" s="83"/>
      <c r="BB207" s="1"/>
      <c r="BC207" s="89"/>
      <c r="BD207" s="83"/>
      <c r="BE207" s="1"/>
      <c r="BF207" s="89"/>
      <c r="BG207" s="83"/>
      <c r="BH207" s="1"/>
      <c r="BI207" s="89"/>
      <c r="BJ207" s="83"/>
      <c r="BK207" s="1"/>
      <c r="BL207" s="89"/>
      <c r="BM207" s="83">
        <v>3635.6</v>
      </c>
      <c r="BN207" s="1">
        <v>4105.2999999999993</v>
      </c>
      <c r="BO207" s="89">
        <v>4928.8</v>
      </c>
      <c r="BP207" s="83">
        <v>3635.6</v>
      </c>
      <c r="BQ207" s="1">
        <v>4105.2999999999993</v>
      </c>
      <c r="BR207" s="89">
        <v>4928.8</v>
      </c>
      <c r="BS207" s="83">
        <v>3635.6</v>
      </c>
      <c r="BT207" s="1">
        <v>4105.2999999999993</v>
      </c>
      <c r="BU207" s="89">
        <v>4928.8</v>
      </c>
      <c r="BV207" s="83">
        <v>3635.6</v>
      </c>
      <c r="BW207" s="1">
        <v>4105.2999999999993</v>
      </c>
      <c r="BX207" s="89">
        <v>4928.8</v>
      </c>
      <c r="BY207" s="83"/>
      <c r="BZ207" s="1"/>
      <c r="CA207" s="89"/>
      <c r="CB207" s="83"/>
      <c r="CC207" s="1"/>
      <c r="CD207" s="89"/>
      <c r="CE207" s="83"/>
      <c r="CF207" s="1"/>
      <c r="CG207" s="89"/>
      <c r="CH207" s="83"/>
      <c r="CI207" s="1"/>
      <c r="CJ207" s="89"/>
      <c r="CK207" s="83"/>
      <c r="CL207" s="1"/>
      <c r="CM207" s="89"/>
      <c r="CN207" s="83"/>
      <c r="CO207" s="1"/>
      <c r="CP207" s="89"/>
      <c r="CQ207" s="83"/>
      <c r="CR207" s="1"/>
      <c r="CS207" s="89"/>
      <c r="CT207" s="83"/>
      <c r="CU207" s="1"/>
      <c r="CV207" s="89"/>
      <c r="CW207" s="83"/>
      <c r="CX207" s="1"/>
      <c r="CY207" s="89"/>
    </row>
    <row r="208" spans="1:103" x14ac:dyDescent="0.3">
      <c r="A208" s="41">
        <v>2021</v>
      </c>
      <c r="B208" s="83"/>
      <c r="C208" s="1"/>
      <c r="D208" s="89"/>
      <c r="E208" s="1"/>
      <c r="F208" s="1"/>
      <c r="G208" s="89"/>
      <c r="H208" s="83"/>
      <c r="I208" s="1"/>
      <c r="J208" s="89"/>
      <c r="K208" s="83"/>
      <c r="L208" s="1"/>
      <c r="M208" s="89"/>
      <c r="N208" s="83"/>
      <c r="O208" s="1"/>
      <c r="P208" s="89"/>
      <c r="Q208" s="83"/>
      <c r="R208" s="1"/>
      <c r="S208" s="89"/>
      <c r="T208" s="83"/>
      <c r="U208" s="1"/>
      <c r="V208" s="89"/>
      <c r="W208" s="83"/>
      <c r="X208" s="1"/>
      <c r="Y208" s="89"/>
      <c r="Z208" s="83"/>
      <c r="AA208" s="1"/>
      <c r="AB208" s="89"/>
      <c r="AC208" s="83"/>
      <c r="AD208" s="1"/>
      <c r="AE208" s="89"/>
      <c r="AF208" s="83"/>
      <c r="AG208" s="1"/>
      <c r="AH208" s="89"/>
      <c r="AI208" s="83"/>
      <c r="AJ208" s="1"/>
      <c r="AK208" s="89"/>
      <c r="AL208" s="83"/>
      <c r="AM208" s="1"/>
      <c r="AN208" s="89"/>
      <c r="AO208" s="83"/>
      <c r="AP208" s="1"/>
      <c r="AQ208" s="89"/>
      <c r="AR208" s="83"/>
      <c r="AS208" s="1"/>
      <c r="AT208" s="89"/>
      <c r="AU208" s="83"/>
      <c r="AV208" s="1"/>
      <c r="AW208" s="89"/>
      <c r="AX208" s="83"/>
      <c r="AY208" s="1"/>
      <c r="AZ208" s="89"/>
      <c r="BA208" s="83"/>
      <c r="BB208" s="1"/>
      <c r="BC208" s="89"/>
      <c r="BD208" s="83"/>
      <c r="BE208" s="1"/>
      <c r="BF208" s="89"/>
      <c r="BG208" s="83"/>
      <c r="BH208" s="1"/>
      <c r="BI208" s="89"/>
      <c r="BJ208" s="83"/>
      <c r="BK208" s="1"/>
      <c r="BL208" s="89"/>
      <c r="BM208" s="83"/>
      <c r="BN208" s="1"/>
      <c r="BO208" s="89"/>
      <c r="BP208" s="83"/>
      <c r="BQ208" s="1"/>
      <c r="BR208" s="89"/>
      <c r="BS208" s="83"/>
      <c r="BT208" s="1"/>
      <c r="BU208" s="89"/>
      <c r="BV208" s="83"/>
      <c r="BW208" s="1"/>
      <c r="BX208" s="89"/>
      <c r="BY208" s="83">
        <v>3391.6</v>
      </c>
      <c r="BZ208" s="1">
        <v>3879.6</v>
      </c>
      <c r="CA208" s="89">
        <v>4928.8</v>
      </c>
      <c r="CB208" s="83">
        <v>3391.6</v>
      </c>
      <c r="CC208" s="1">
        <v>3879.6</v>
      </c>
      <c r="CD208" s="89">
        <v>4928.8</v>
      </c>
      <c r="CE208" s="83">
        <v>3391.6</v>
      </c>
      <c r="CF208" s="1">
        <v>3879.6</v>
      </c>
      <c r="CG208" s="89">
        <v>4928.8</v>
      </c>
      <c r="CH208" s="83"/>
      <c r="CI208" s="1"/>
      <c r="CJ208" s="89"/>
      <c r="CK208" s="83"/>
      <c r="CL208" s="1"/>
      <c r="CM208" s="89"/>
      <c r="CN208" s="83"/>
      <c r="CO208" s="1"/>
      <c r="CP208" s="89"/>
      <c r="CQ208" s="83"/>
      <c r="CR208" s="1"/>
      <c r="CS208" s="89"/>
      <c r="CT208" s="83"/>
      <c r="CU208" s="1"/>
      <c r="CV208" s="89"/>
      <c r="CW208" s="83"/>
      <c r="CX208" s="1"/>
      <c r="CY208" s="89"/>
    </row>
    <row r="209" spans="1:103" x14ac:dyDescent="0.3">
      <c r="A209" s="41">
        <v>2022</v>
      </c>
      <c r="B209" s="83"/>
      <c r="C209" s="1"/>
      <c r="D209" s="89"/>
      <c r="E209" s="1"/>
      <c r="F209" s="1"/>
      <c r="G209" s="89"/>
      <c r="H209" s="83"/>
      <c r="I209" s="1"/>
      <c r="J209" s="89"/>
      <c r="K209" s="83"/>
      <c r="L209" s="1"/>
      <c r="M209" s="89"/>
      <c r="N209" s="83"/>
      <c r="O209" s="1"/>
      <c r="P209" s="89"/>
      <c r="Q209" s="83"/>
      <c r="R209" s="1"/>
      <c r="S209" s="89"/>
      <c r="T209" s="83"/>
      <c r="U209" s="1"/>
      <c r="V209" s="89"/>
      <c r="W209" s="83"/>
      <c r="X209" s="1"/>
      <c r="Y209" s="89"/>
      <c r="Z209" s="83"/>
      <c r="AA209" s="1"/>
      <c r="AB209" s="89"/>
      <c r="AC209" s="83"/>
      <c r="AD209" s="1"/>
      <c r="AE209" s="89"/>
      <c r="AF209" s="83"/>
      <c r="AG209" s="1"/>
      <c r="AH209" s="89"/>
      <c r="AI209" s="83"/>
      <c r="AJ209" s="1"/>
      <c r="AK209" s="89"/>
      <c r="AL209" s="83"/>
      <c r="AM209" s="1"/>
      <c r="AN209" s="89"/>
      <c r="AO209" s="83"/>
      <c r="AP209" s="1"/>
      <c r="AQ209" s="89"/>
      <c r="AR209" s="83"/>
      <c r="AS209" s="1"/>
      <c r="AT209" s="89"/>
      <c r="AU209" s="83"/>
      <c r="AV209" s="1"/>
      <c r="AW209" s="89"/>
      <c r="AX209" s="83"/>
      <c r="AY209" s="1"/>
      <c r="AZ209" s="89"/>
      <c r="BA209" s="83"/>
      <c r="BB209" s="1"/>
      <c r="BC209" s="89"/>
      <c r="BD209" s="83"/>
      <c r="BE209" s="1"/>
      <c r="BF209" s="89"/>
      <c r="BG209" s="83"/>
      <c r="BH209" s="1"/>
      <c r="BI209" s="89"/>
      <c r="BJ209" s="83"/>
      <c r="BK209" s="1"/>
      <c r="BL209" s="89"/>
      <c r="BM209" s="83"/>
      <c r="BN209" s="1"/>
      <c r="BO209" s="89"/>
      <c r="BP209" s="83"/>
      <c r="BQ209" s="1"/>
      <c r="BR209" s="89"/>
      <c r="BS209" s="83"/>
      <c r="BT209" s="1"/>
      <c r="BU209" s="89"/>
      <c r="BV209" s="83"/>
      <c r="BW209" s="1"/>
      <c r="BX209" s="89"/>
      <c r="BY209" s="83"/>
      <c r="BZ209" s="1"/>
      <c r="CA209" s="89"/>
      <c r="CB209" s="83"/>
      <c r="CC209" s="1"/>
      <c r="CD209" s="89"/>
      <c r="CE209" s="83"/>
      <c r="CF209" s="1"/>
      <c r="CG209" s="89"/>
      <c r="CH209" s="83">
        <v>2932.8</v>
      </c>
      <c r="CI209" s="1">
        <v>3473.6</v>
      </c>
      <c r="CJ209" s="89">
        <v>4222.4000000000005</v>
      </c>
      <c r="CK209" s="83">
        <v>2932.8</v>
      </c>
      <c r="CL209" s="1">
        <v>3473.6</v>
      </c>
      <c r="CM209" s="89">
        <v>4222.4000000000005</v>
      </c>
      <c r="CN209" s="83">
        <v>2932.8</v>
      </c>
      <c r="CO209" s="1">
        <v>3473.6</v>
      </c>
      <c r="CP209" s="89">
        <v>4222.4000000000005</v>
      </c>
      <c r="CQ209" s="83">
        <v>2380</v>
      </c>
      <c r="CR209" s="1">
        <v>3045</v>
      </c>
      <c r="CS209" s="89">
        <v>4060</v>
      </c>
      <c r="CT209" s="83">
        <v>2380</v>
      </c>
      <c r="CU209" s="1">
        <v>3045</v>
      </c>
      <c r="CV209" s="89">
        <v>4060</v>
      </c>
      <c r="CW209" s="83">
        <v>2380</v>
      </c>
      <c r="CX209" s="1">
        <v>3045</v>
      </c>
      <c r="CY209" s="89">
        <v>4060</v>
      </c>
    </row>
    <row r="210" spans="1:103" x14ac:dyDescent="0.3">
      <c r="A210" s="41">
        <v>2023</v>
      </c>
      <c r="B210" s="83"/>
      <c r="C210" s="1"/>
      <c r="D210" s="89"/>
      <c r="E210" s="1"/>
      <c r="F210" s="1"/>
      <c r="G210" s="89"/>
      <c r="H210" s="83"/>
      <c r="I210" s="1"/>
      <c r="J210" s="89"/>
      <c r="K210" s="83"/>
      <c r="L210" s="1"/>
      <c r="M210" s="89"/>
      <c r="N210" s="83"/>
      <c r="O210" s="1"/>
      <c r="P210" s="89"/>
      <c r="Q210" s="83"/>
      <c r="S210" s="89"/>
      <c r="T210" s="83"/>
      <c r="U210" s="1"/>
      <c r="V210" s="89"/>
      <c r="W210" s="83"/>
      <c r="X210" s="1"/>
      <c r="Y210" s="89"/>
      <c r="Z210" s="83"/>
      <c r="AA210" s="1"/>
      <c r="AB210" s="89"/>
      <c r="AC210" s="83"/>
      <c r="AD210" s="1"/>
      <c r="AE210" s="89"/>
      <c r="AF210" s="83"/>
      <c r="AG210" s="1"/>
      <c r="AH210" s="89"/>
      <c r="AI210" s="83"/>
      <c r="AJ210" s="1"/>
      <c r="AK210" s="89"/>
      <c r="AL210" s="83"/>
      <c r="AM210" s="1"/>
      <c r="AN210" s="89"/>
      <c r="AO210" s="83"/>
      <c r="AP210" s="1"/>
      <c r="AQ210" s="89"/>
      <c r="AR210" s="83"/>
      <c r="AS210" s="1"/>
      <c r="AT210" s="89"/>
      <c r="AU210" s="83"/>
      <c r="AV210" s="1"/>
      <c r="AW210" s="89"/>
      <c r="AX210" s="83"/>
      <c r="AY210" s="1"/>
      <c r="AZ210" s="89"/>
      <c r="BA210" s="83"/>
      <c r="BB210" s="1"/>
      <c r="BC210" s="89"/>
      <c r="BD210" s="83"/>
      <c r="BE210" s="1"/>
      <c r="BF210" s="89"/>
      <c r="BG210" s="83"/>
      <c r="BH210" s="1"/>
      <c r="BI210" s="89"/>
      <c r="BJ210" s="83"/>
      <c r="BK210" s="1"/>
      <c r="BL210" s="89"/>
      <c r="BM210" s="83"/>
      <c r="BN210" s="1"/>
      <c r="BO210" s="89"/>
      <c r="BP210" s="83"/>
      <c r="BQ210" s="1"/>
      <c r="BR210" s="89"/>
      <c r="BS210" s="83"/>
      <c r="BT210" s="1"/>
      <c r="BU210" s="89"/>
      <c r="BV210" s="83"/>
      <c r="BW210" s="1"/>
      <c r="BX210" s="89"/>
      <c r="BY210" s="83"/>
      <c r="BZ210" s="1"/>
      <c r="CA210" s="89"/>
      <c r="CB210" s="83"/>
      <c r="CC210" s="1"/>
      <c r="CD210" s="89"/>
      <c r="CE210" s="83"/>
      <c r="CF210" s="1"/>
      <c r="CG210" s="89"/>
      <c r="CH210" s="83"/>
      <c r="CI210" s="1"/>
      <c r="CJ210" s="89"/>
      <c r="CK210" s="83"/>
      <c r="CL210" s="1"/>
      <c r="CM210" s="89"/>
      <c r="CN210" s="83"/>
      <c r="CO210" s="1"/>
      <c r="CP210" s="89"/>
      <c r="CQ210" s="83"/>
      <c r="CR210" s="1"/>
      <c r="CS210" s="89"/>
      <c r="CT210" s="83"/>
      <c r="CU210" s="1"/>
      <c r="CV210" s="89"/>
      <c r="CW210" s="83"/>
      <c r="CX210" s="1"/>
      <c r="CY210" s="89"/>
    </row>
    <row r="211" spans="1:103" x14ac:dyDescent="0.3">
      <c r="A211" s="41">
        <v>2024</v>
      </c>
      <c r="B211" s="83"/>
      <c r="C211" s="1"/>
      <c r="D211" s="89"/>
      <c r="E211" s="1"/>
      <c r="F211" s="1"/>
      <c r="G211" s="89"/>
      <c r="H211" s="83"/>
      <c r="I211" s="1"/>
      <c r="J211" s="89"/>
      <c r="K211" s="83"/>
      <c r="L211" s="1"/>
      <c r="M211" s="89"/>
      <c r="N211" s="83"/>
      <c r="O211" s="1"/>
      <c r="P211" s="89"/>
      <c r="Q211" s="83"/>
      <c r="S211" s="89"/>
      <c r="T211" s="83"/>
      <c r="U211" s="1"/>
      <c r="V211" s="89"/>
      <c r="W211" s="83"/>
      <c r="X211" s="1"/>
      <c r="Y211" s="89"/>
      <c r="Z211" s="83"/>
      <c r="AA211" s="1"/>
      <c r="AB211" s="89"/>
      <c r="AC211" s="83"/>
      <c r="AD211" s="1"/>
      <c r="AE211" s="89"/>
      <c r="AF211" s="83"/>
      <c r="AG211" s="1"/>
      <c r="AH211" s="89"/>
      <c r="AI211" s="83"/>
      <c r="AJ211" s="1"/>
      <c r="AK211" s="89"/>
      <c r="AL211" s="83"/>
      <c r="AM211" s="1"/>
      <c r="AN211" s="89"/>
      <c r="AO211" s="83"/>
      <c r="AP211" s="1"/>
      <c r="AQ211" s="89"/>
      <c r="AR211" s="83"/>
      <c r="AS211" s="1"/>
      <c r="AT211" s="89"/>
      <c r="AU211" s="83"/>
      <c r="AV211" s="1"/>
      <c r="AW211" s="89"/>
      <c r="AX211" s="83"/>
      <c r="AY211" s="1"/>
      <c r="AZ211" s="89"/>
      <c r="BA211" s="83"/>
      <c r="BB211" s="1"/>
      <c r="BC211" s="89"/>
      <c r="BD211" s="83"/>
      <c r="BE211" s="1"/>
      <c r="BF211" s="89"/>
      <c r="BG211" s="83"/>
      <c r="BH211" s="1"/>
      <c r="BI211" s="89"/>
      <c r="BJ211" s="83"/>
      <c r="BK211" s="1"/>
      <c r="BL211" s="89"/>
      <c r="BM211" s="83"/>
      <c r="BN211" s="1"/>
      <c r="BO211" s="89"/>
      <c r="BP211" s="83"/>
      <c r="BQ211" s="1"/>
      <c r="BR211" s="89"/>
      <c r="BS211" s="83"/>
      <c r="BT211" s="1"/>
      <c r="BU211" s="89"/>
      <c r="BV211" s="83"/>
      <c r="BW211" s="1"/>
      <c r="BX211" s="89"/>
      <c r="BY211" s="83"/>
      <c r="BZ211" s="1"/>
      <c r="CA211" s="89"/>
      <c r="CB211" s="83"/>
      <c r="CC211" s="1"/>
      <c r="CD211" s="89"/>
      <c r="CE211" s="83"/>
      <c r="CF211" s="1"/>
      <c r="CG211" s="89"/>
      <c r="CH211" s="83"/>
      <c r="CI211" s="1"/>
      <c r="CJ211" s="89"/>
      <c r="CK211" s="83"/>
      <c r="CL211" s="1"/>
      <c r="CM211" s="89"/>
      <c r="CN211" s="83"/>
      <c r="CO211" s="1"/>
      <c r="CP211" s="89"/>
      <c r="CQ211" s="83"/>
      <c r="CR211" s="1"/>
      <c r="CS211" s="89"/>
      <c r="CT211" s="83"/>
      <c r="CU211" s="1"/>
      <c r="CV211" s="89"/>
      <c r="CW211" s="83"/>
      <c r="CX211" s="1"/>
      <c r="CY211" s="89"/>
    </row>
    <row r="212" spans="1:103" x14ac:dyDescent="0.3">
      <c r="A212" s="41">
        <v>2025</v>
      </c>
      <c r="B212" s="83"/>
      <c r="C212" s="1"/>
      <c r="D212" s="89"/>
      <c r="E212" s="1"/>
      <c r="F212" s="1"/>
      <c r="G212" s="89"/>
      <c r="H212" s="83"/>
      <c r="I212" s="1"/>
      <c r="J212" s="89"/>
      <c r="K212" s="83"/>
      <c r="L212" s="1"/>
      <c r="M212" s="89"/>
      <c r="N212" s="83"/>
      <c r="O212" s="1"/>
      <c r="P212" s="89"/>
      <c r="Q212" s="83"/>
      <c r="R212" s="1"/>
      <c r="S212" s="89"/>
      <c r="T212" s="83"/>
      <c r="U212" s="1"/>
      <c r="V212" s="89"/>
      <c r="W212" s="83"/>
      <c r="X212" s="1"/>
      <c r="Y212" s="89"/>
      <c r="Z212" s="83"/>
      <c r="AA212" s="1"/>
      <c r="AB212" s="89"/>
      <c r="AC212" s="83"/>
      <c r="AD212" s="1"/>
      <c r="AE212" s="89"/>
      <c r="AF212" s="83"/>
      <c r="AG212" s="1"/>
      <c r="AH212" s="89"/>
      <c r="AI212" s="83"/>
      <c r="AJ212" s="1"/>
      <c r="AK212" s="89"/>
      <c r="AL212" s="83"/>
      <c r="AM212" s="1"/>
      <c r="AN212" s="89"/>
      <c r="AO212" s="83"/>
      <c r="AP212" s="1"/>
      <c r="AQ212" s="89"/>
      <c r="AR212" s="83"/>
      <c r="AS212" s="1"/>
      <c r="AT212" s="89"/>
      <c r="AU212" s="83"/>
      <c r="AV212" s="1"/>
      <c r="AW212" s="89"/>
      <c r="AX212" s="83"/>
      <c r="AZ212" s="89"/>
      <c r="BA212" s="83"/>
      <c r="BB212" s="1"/>
      <c r="BC212" s="89"/>
      <c r="BD212" s="83"/>
      <c r="BE212" s="1"/>
      <c r="BF212" s="89"/>
      <c r="BG212" s="83"/>
      <c r="BH212" s="1"/>
      <c r="BI212" s="89"/>
      <c r="BJ212" s="83"/>
      <c r="BK212" s="1"/>
      <c r="BL212" s="89"/>
      <c r="BM212" s="83"/>
      <c r="BN212" s="1"/>
      <c r="BO212" s="89"/>
      <c r="BP212" s="83"/>
      <c r="BQ212" s="1"/>
      <c r="BR212" s="89"/>
      <c r="BS212" s="83"/>
      <c r="BT212" s="1"/>
      <c r="BU212" s="89"/>
      <c r="BV212" s="83"/>
      <c r="BW212" s="1"/>
      <c r="BX212" s="89"/>
      <c r="BY212" s="83"/>
      <c r="BZ212" s="1"/>
      <c r="CA212" s="89"/>
      <c r="CB212" s="83"/>
      <c r="CC212" s="1"/>
      <c r="CD212" s="89"/>
      <c r="CE212" s="83"/>
      <c r="CF212" s="1"/>
      <c r="CG212" s="89"/>
      <c r="CH212" s="83"/>
      <c r="CI212" s="1"/>
      <c r="CJ212" s="89"/>
      <c r="CK212" s="83"/>
      <c r="CL212" s="1"/>
      <c r="CM212" s="89"/>
      <c r="CN212" s="83"/>
      <c r="CO212" s="1"/>
      <c r="CP212" s="89"/>
      <c r="CQ212" s="83"/>
      <c r="CR212" s="1"/>
      <c r="CS212" s="89"/>
      <c r="CT212" s="83"/>
      <c r="CU212" s="1"/>
      <c r="CV212" s="89"/>
      <c r="CW212" s="83"/>
      <c r="CX212" s="1"/>
      <c r="CY212" s="89"/>
    </row>
    <row r="213" spans="1:103" x14ac:dyDescent="0.3">
      <c r="A213" s="41">
        <v>2026</v>
      </c>
      <c r="B213" s="83"/>
      <c r="C213" s="1"/>
      <c r="D213" s="89"/>
      <c r="E213" s="1"/>
      <c r="F213" s="1"/>
      <c r="G213" s="89"/>
      <c r="H213" s="83"/>
      <c r="I213" s="1"/>
      <c r="J213" s="89"/>
      <c r="K213" s="83"/>
      <c r="L213" s="1"/>
      <c r="M213" s="89"/>
      <c r="N213" s="83"/>
      <c r="O213" s="1"/>
      <c r="P213" s="89"/>
      <c r="Q213" s="83"/>
      <c r="R213" s="1"/>
      <c r="S213" s="89"/>
      <c r="T213" s="83"/>
      <c r="U213" s="1"/>
      <c r="V213" s="89"/>
      <c r="W213" s="83"/>
      <c r="X213" s="1"/>
      <c r="Y213" s="89"/>
      <c r="Z213" s="83"/>
      <c r="AA213" s="1"/>
      <c r="AB213" s="89"/>
      <c r="AC213" s="83"/>
      <c r="AD213" s="1"/>
      <c r="AE213" s="89"/>
      <c r="AF213" s="83"/>
      <c r="AG213" s="1"/>
      <c r="AH213" s="89"/>
      <c r="AI213" s="83"/>
      <c r="AJ213" s="1"/>
      <c r="AK213" s="89"/>
      <c r="AL213" s="83"/>
      <c r="AM213" s="1"/>
      <c r="AN213" s="89"/>
      <c r="AO213" s="83"/>
      <c r="AP213" s="1"/>
      <c r="AQ213" s="89"/>
      <c r="AR213" s="83"/>
      <c r="AS213" s="1"/>
      <c r="AT213" s="89"/>
      <c r="AU213" s="83"/>
      <c r="AV213" s="1"/>
      <c r="AW213" s="89"/>
      <c r="AX213" s="83"/>
      <c r="AZ213" s="89"/>
      <c r="BA213" s="83"/>
      <c r="BB213" s="1"/>
      <c r="BC213" s="89"/>
      <c r="BD213" s="83"/>
      <c r="BE213" s="1"/>
      <c r="BF213" s="89"/>
      <c r="BG213" s="83"/>
      <c r="BH213" s="1"/>
      <c r="BI213" s="89"/>
      <c r="BJ213" s="83"/>
      <c r="BK213" s="1"/>
      <c r="BL213" s="89"/>
      <c r="BM213" s="83"/>
      <c r="BN213" s="1"/>
      <c r="BO213" s="89"/>
      <c r="BP213" s="83"/>
      <c r="BQ213" s="1"/>
      <c r="BR213" s="89"/>
      <c r="BS213" s="83"/>
      <c r="BT213" s="1"/>
      <c r="BU213" s="89"/>
      <c r="BV213" s="83"/>
      <c r="BW213" s="1"/>
      <c r="BX213" s="89"/>
      <c r="BY213" s="83"/>
      <c r="BZ213" s="1"/>
      <c r="CA213" s="89"/>
      <c r="CB213" s="83"/>
      <c r="CC213" s="1"/>
      <c r="CD213" s="89"/>
      <c r="CE213" s="83"/>
      <c r="CF213" s="1"/>
      <c r="CG213" s="89"/>
      <c r="CH213" s="83"/>
      <c r="CI213" s="1"/>
      <c r="CJ213" s="89"/>
      <c r="CK213" s="83"/>
      <c r="CL213" s="1"/>
      <c r="CM213" s="89"/>
      <c r="CN213" s="83"/>
      <c r="CO213" s="1"/>
      <c r="CP213" s="89"/>
      <c r="CQ213" s="83"/>
      <c r="CR213" s="1"/>
      <c r="CS213" s="89"/>
      <c r="CT213" s="83"/>
      <c r="CU213" s="1"/>
      <c r="CV213" s="89"/>
      <c r="CW213" s="83"/>
      <c r="CX213" s="1"/>
      <c r="CY213" s="89"/>
    </row>
    <row r="214" spans="1:103" x14ac:dyDescent="0.3">
      <c r="A214" s="41">
        <v>2027</v>
      </c>
      <c r="B214" s="83"/>
      <c r="C214" s="1"/>
      <c r="D214" s="89"/>
      <c r="E214" s="1"/>
      <c r="F214" s="1"/>
      <c r="G214" s="89"/>
      <c r="H214" s="83"/>
      <c r="I214" s="1"/>
      <c r="J214" s="89"/>
      <c r="K214" s="83"/>
      <c r="L214" s="1"/>
      <c r="M214" s="89"/>
      <c r="N214" s="83"/>
      <c r="O214" s="1"/>
      <c r="P214" s="89"/>
      <c r="Q214" s="83"/>
      <c r="R214" s="1"/>
      <c r="S214" s="89"/>
      <c r="T214" s="83"/>
      <c r="U214" s="1"/>
      <c r="V214" s="89"/>
      <c r="W214" s="83"/>
      <c r="X214" s="1"/>
      <c r="Y214" s="89"/>
      <c r="Z214" s="83"/>
      <c r="AA214" s="1"/>
      <c r="AB214" s="89"/>
      <c r="AC214" s="83"/>
      <c r="AD214" s="1"/>
      <c r="AE214" s="89"/>
      <c r="AF214" s="83"/>
      <c r="AG214" s="1"/>
      <c r="AH214" s="89"/>
      <c r="AI214" s="83"/>
      <c r="AJ214" s="1"/>
      <c r="AK214" s="89"/>
      <c r="AL214" s="83"/>
      <c r="AM214" s="1"/>
      <c r="AN214" s="89"/>
      <c r="AO214" s="83"/>
      <c r="AP214" s="1"/>
      <c r="AQ214" s="89"/>
      <c r="AR214" s="83"/>
      <c r="AS214" s="1"/>
      <c r="AT214" s="89"/>
      <c r="AU214" s="83"/>
      <c r="AV214" s="1"/>
      <c r="AW214" s="89"/>
      <c r="AX214" s="83"/>
      <c r="AY214" s="1"/>
      <c r="AZ214" s="89"/>
      <c r="BA214" s="83"/>
      <c r="BB214" s="1"/>
      <c r="BC214" s="89"/>
      <c r="BD214" s="83"/>
      <c r="BE214" s="1"/>
      <c r="BF214" s="89"/>
      <c r="BG214" s="83"/>
      <c r="BH214" s="1"/>
      <c r="BI214" s="89"/>
      <c r="BJ214" s="83"/>
      <c r="BK214" s="1"/>
      <c r="BL214" s="89"/>
      <c r="BM214" s="83"/>
      <c r="BN214" s="1"/>
      <c r="BO214" s="89"/>
      <c r="BP214" s="83"/>
      <c r="BQ214" s="1"/>
      <c r="BR214" s="89"/>
      <c r="BS214" s="83"/>
      <c r="BT214" s="1"/>
      <c r="BU214" s="89"/>
      <c r="BV214" s="83"/>
      <c r="BW214" s="1"/>
      <c r="BX214" s="89"/>
      <c r="BY214" s="83"/>
      <c r="BZ214" s="1"/>
      <c r="CA214" s="89"/>
      <c r="CB214" s="83"/>
      <c r="CC214" s="1"/>
      <c r="CD214" s="89"/>
      <c r="CE214" s="83"/>
      <c r="CF214" s="1"/>
      <c r="CG214" s="89"/>
      <c r="CH214" s="83"/>
      <c r="CI214" s="1"/>
      <c r="CJ214" s="89"/>
      <c r="CK214" s="83"/>
      <c r="CL214" s="1"/>
      <c r="CM214" s="89"/>
      <c r="CN214" s="83"/>
      <c r="CO214" s="1"/>
      <c r="CP214" s="89"/>
      <c r="CQ214" s="83"/>
      <c r="CR214" s="1"/>
      <c r="CS214" s="89"/>
      <c r="CT214" s="83"/>
      <c r="CU214" s="1"/>
      <c r="CV214" s="89"/>
      <c r="CW214" s="83"/>
      <c r="CX214" s="1"/>
      <c r="CY214" s="89"/>
    </row>
    <row r="215" spans="1:103" x14ac:dyDescent="0.3">
      <c r="A215" s="41">
        <v>2028</v>
      </c>
      <c r="B215" s="83"/>
      <c r="C215" s="1"/>
      <c r="D215" s="89"/>
      <c r="E215" s="1"/>
      <c r="F215" s="1"/>
      <c r="G215" s="89"/>
      <c r="H215" s="83"/>
      <c r="I215" s="1"/>
      <c r="J215" s="89"/>
      <c r="K215" s="83"/>
      <c r="L215" s="1"/>
      <c r="M215" s="89"/>
      <c r="N215" s="83"/>
      <c r="O215" s="1"/>
      <c r="P215" s="89"/>
      <c r="Q215" s="83"/>
      <c r="R215" s="1"/>
      <c r="S215" s="89"/>
      <c r="T215" s="83"/>
      <c r="U215" s="1"/>
      <c r="V215" s="89"/>
      <c r="W215" s="83"/>
      <c r="X215" s="1"/>
      <c r="Y215" s="89"/>
      <c r="Z215" s="83"/>
      <c r="AA215" s="1"/>
      <c r="AB215" s="89"/>
      <c r="AC215" s="83"/>
      <c r="AD215" s="1"/>
      <c r="AE215" s="89"/>
      <c r="AF215" s="83"/>
      <c r="AG215" s="1"/>
      <c r="AH215" s="89"/>
      <c r="AI215" s="83"/>
      <c r="AJ215" s="1"/>
      <c r="AK215" s="89"/>
      <c r="AL215" s="83"/>
      <c r="AM215" s="1"/>
      <c r="AN215" s="89"/>
      <c r="AO215" s="83"/>
      <c r="AP215" s="1"/>
      <c r="AQ215" s="89"/>
      <c r="AR215" s="83"/>
      <c r="AS215" s="1"/>
      <c r="AT215" s="89"/>
      <c r="AU215" s="83"/>
      <c r="AV215" s="1"/>
      <c r="AW215" s="89"/>
      <c r="AX215" s="83"/>
      <c r="AY215" s="1"/>
      <c r="AZ215" s="89"/>
      <c r="BA215" s="83"/>
      <c r="BB215" s="1"/>
      <c r="BC215" s="89"/>
      <c r="BD215" s="83"/>
      <c r="BE215" s="1"/>
      <c r="BF215" s="89"/>
      <c r="BG215" s="83"/>
      <c r="BH215" s="1"/>
      <c r="BI215" s="89"/>
      <c r="BJ215" s="83"/>
      <c r="BK215" s="1"/>
      <c r="BL215" s="89"/>
      <c r="BM215" s="83"/>
      <c r="BN215" s="1"/>
      <c r="BO215" s="89"/>
      <c r="BP215" s="83"/>
      <c r="BQ215" s="1"/>
      <c r="BR215" s="89"/>
      <c r="BS215" s="83"/>
      <c r="BT215" s="1"/>
      <c r="BU215" s="89"/>
      <c r="BV215" s="83"/>
      <c r="BW215" s="1"/>
      <c r="BX215" s="89"/>
      <c r="BY215" s="83"/>
      <c r="BZ215" s="1"/>
      <c r="CA215" s="89"/>
      <c r="CB215" s="83"/>
      <c r="CC215" s="1"/>
      <c r="CD215" s="89"/>
      <c r="CE215" s="83"/>
      <c r="CF215" s="1"/>
      <c r="CG215" s="89"/>
      <c r="CH215" s="83"/>
      <c r="CI215" s="1"/>
      <c r="CJ215" s="89"/>
      <c r="CK215" s="83"/>
      <c r="CL215" s="1"/>
      <c r="CM215" s="89"/>
      <c r="CN215" s="83"/>
      <c r="CO215" s="1"/>
      <c r="CP215" s="89"/>
      <c r="CQ215" s="83"/>
      <c r="CR215" s="1"/>
      <c r="CS215" s="89"/>
      <c r="CT215" s="83"/>
      <c r="CU215" s="1"/>
      <c r="CV215" s="89"/>
      <c r="CW215" s="83"/>
      <c r="CX215" s="1"/>
      <c r="CY215" s="89"/>
    </row>
    <row r="216" spans="1:103" x14ac:dyDescent="0.3">
      <c r="A216" s="41">
        <v>2029</v>
      </c>
      <c r="B216" s="83"/>
      <c r="C216" s="1"/>
      <c r="D216" s="89"/>
      <c r="E216" s="1"/>
      <c r="F216" s="1"/>
      <c r="G216" s="89"/>
      <c r="H216" s="83"/>
      <c r="I216" s="1"/>
      <c r="J216" s="89"/>
      <c r="K216" s="83"/>
      <c r="M216" s="89"/>
      <c r="N216" s="83"/>
      <c r="O216" s="1"/>
      <c r="P216" s="89"/>
      <c r="Q216" s="83"/>
      <c r="R216" s="1"/>
      <c r="S216" s="89"/>
      <c r="T216" s="83"/>
      <c r="U216" s="1"/>
      <c r="V216" s="89"/>
      <c r="W216" s="83"/>
      <c r="X216" s="1"/>
      <c r="Y216" s="89"/>
      <c r="Z216" s="83"/>
      <c r="AA216" s="1"/>
      <c r="AB216" s="89"/>
      <c r="AC216" s="83"/>
      <c r="AD216" s="1"/>
      <c r="AE216" s="89"/>
      <c r="AF216" s="83"/>
      <c r="AG216" s="1"/>
      <c r="AH216" s="89"/>
      <c r="AI216" s="83"/>
      <c r="AJ216" s="1"/>
      <c r="AK216" s="89"/>
      <c r="AL216" s="83"/>
      <c r="AM216" s="1"/>
      <c r="AN216" s="89"/>
      <c r="AO216" s="83"/>
      <c r="AP216" s="1"/>
      <c r="AQ216" s="89"/>
      <c r="AR216" s="83"/>
      <c r="AS216" s="1"/>
      <c r="AT216" s="89"/>
      <c r="AU216" s="83"/>
      <c r="AV216" s="1"/>
      <c r="AW216" s="89"/>
      <c r="AX216" s="83"/>
      <c r="AZ216" s="89"/>
      <c r="BA216" s="83"/>
      <c r="BB216" s="1"/>
      <c r="BC216" s="89"/>
      <c r="BD216" s="83"/>
      <c r="BE216" s="1"/>
      <c r="BF216" s="89"/>
      <c r="BG216" s="83"/>
      <c r="BH216" s="1"/>
      <c r="BI216" s="89"/>
      <c r="BJ216" s="83"/>
      <c r="BK216" s="1"/>
      <c r="BL216" s="89"/>
      <c r="BM216" s="83"/>
      <c r="BN216" s="1"/>
      <c r="BO216" s="89"/>
      <c r="BP216" s="83"/>
      <c r="BQ216" s="1"/>
      <c r="BR216" s="89"/>
      <c r="BS216" s="83"/>
      <c r="BT216" s="1"/>
      <c r="BU216" s="89"/>
      <c r="BV216" s="83"/>
      <c r="BW216" s="1"/>
      <c r="BX216" s="89"/>
      <c r="BY216" s="83"/>
      <c r="BZ216" s="1"/>
      <c r="CA216" s="89"/>
      <c r="CB216" s="83"/>
      <c r="CC216" s="1"/>
      <c r="CD216" s="89"/>
      <c r="CE216" s="83"/>
      <c r="CF216" s="1"/>
      <c r="CG216" s="89"/>
      <c r="CH216" s="83"/>
      <c r="CI216" s="1"/>
      <c r="CJ216" s="89"/>
      <c r="CK216" s="83"/>
      <c r="CL216" s="1"/>
      <c r="CM216" s="89"/>
      <c r="CN216" s="83"/>
      <c r="CO216" s="1"/>
      <c r="CP216" s="89"/>
      <c r="CQ216" s="83"/>
      <c r="CR216" s="1"/>
      <c r="CS216" s="89"/>
      <c r="CT216" s="83"/>
      <c r="CU216" s="1"/>
      <c r="CV216" s="89"/>
      <c r="CW216" s="83"/>
      <c r="CX216" s="1"/>
      <c r="CY216" s="89"/>
    </row>
    <row r="217" spans="1:103" x14ac:dyDescent="0.3">
      <c r="A217" s="41">
        <v>2030</v>
      </c>
      <c r="B217" s="83"/>
      <c r="C217" s="1"/>
      <c r="D217" s="89"/>
      <c r="E217" s="1">
        <v>1380.6</v>
      </c>
      <c r="F217" s="1">
        <v>2050.1025</v>
      </c>
      <c r="G217" s="89">
        <v>2719.605</v>
      </c>
      <c r="H217" s="83">
        <v>1445.7938999999999</v>
      </c>
      <c r="I217" s="1">
        <v>1519.9376999999999</v>
      </c>
      <c r="J217" s="89">
        <v>1594.0815</v>
      </c>
      <c r="K217" s="83"/>
      <c r="L217">
        <v>2337.1166000000003</v>
      </c>
      <c r="M217" s="89"/>
      <c r="N217" s="83"/>
      <c r="O217" s="1"/>
      <c r="P217" s="89"/>
      <c r="Q217" s="83"/>
      <c r="R217">
        <v>2003.3552</v>
      </c>
      <c r="S217" s="89"/>
      <c r="T217" s="83"/>
      <c r="U217" s="1"/>
      <c r="V217" s="89"/>
      <c r="W217" s="83">
        <v>3762.6180000000004</v>
      </c>
      <c r="X217" s="1">
        <v>3957.5590000000002</v>
      </c>
      <c r="Y217" s="89">
        <v>4152.5</v>
      </c>
      <c r="Z217" s="83">
        <v>3328.7999999999997</v>
      </c>
      <c r="AA217" s="1">
        <v>3511.2999999999997</v>
      </c>
      <c r="AB217" s="89">
        <v>3693.7999999999997</v>
      </c>
      <c r="AC217" s="83"/>
      <c r="AD217" s="1"/>
      <c r="AE217" s="89"/>
      <c r="AF217" s="83"/>
      <c r="AG217" s="1"/>
      <c r="AH217" s="89"/>
      <c r="AI217" s="83"/>
      <c r="AJ217" s="1"/>
      <c r="AK217" s="89"/>
      <c r="AL217" s="83">
        <v>2740</v>
      </c>
      <c r="AM217" s="1">
        <v>3425</v>
      </c>
      <c r="AN217" s="89">
        <v>4110</v>
      </c>
      <c r="AO217" s="83"/>
      <c r="AP217" s="1"/>
      <c r="AQ217" s="89"/>
      <c r="AR217" s="83"/>
      <c r="AS217" s="1"/>
      <c r="AT217" s="89"/>
      <c r="AU217" s="83"/>
      <c r="AV217" s="1"/>
      <c r="AW217" s="89"/>
      <c r="AX217" s="83"/>
      <c r="AZ217" s="89"/>
      <c r="BA217" s="83"/>
      <c r="BB217" s="1"/>
      <c r="BC217" s="89"/>
      <c r="BD217" s="83"/>
      <c r="BE217" s="1"/>
      <c r="BF217" s="89"/>
      <c r="BG217" s="83"/>
      <c r="BH217" s="1"/>
      <c r="BI217" s="89"/>
      <c r="BJ217" s="83"/>
      <c r="BK217" s="1"/>
      <c r="BL217" s="89"/>
      <c r="BM217" s="83">
        <v>2391.1999999999998</v>
      </c>
      <c r="BN217" s="1">
        <v>2635.2</v>
      </c>
      <c r="BO217" s="89">
        <v>3123.2</v>
      </c>
      <c r="BP217" s="83">
        <v>2293.6</v>
      </c>
      <c r="BQ217" s="1">
        <v>2555.9</v>
      </c>
      <c r="BR217" s="89">
        <v>2976.7999999999997</v>
      </c>
      <c r="BS217" s="83">
        <v>2196</v>
      </c>
      <c r="BT217" s="1">
        <v>2501</v>
      </c>
      <c r="BU217" s="89">
        <v>2952.4</v>
      </c>
      <c r="BV217" s="83">
        <v>2049.6</v>
      </c>
      <c r="BW217" s="1">
        <v>2238.6999999999998</v>
      </c>
      <c r="BX217" s="89">
        <v>2537.6</v>
      </c>
      <c r="BY217" s="83">
        <v>2220.4</v>
      </c>
      <c r="BZ217" s="1">
        <v>2476.6</v>
      </c>
      <c r="CA217" s="89">
        <v>3001.2</v>
      </c>
      <c r="CB217" s="83">
        <v>2122.7999999999997</v>
      </c>
      <c r="CC217" s="1">
        <v>2379</v>
      </c>
      <c r="CD217" s="89">
        <v>2879.2</v>
      </c>
      <c r="CE217" s="83">
        <v>1903.2</v>
      </c>
      <c r="CF217" s="1">
        <v>2196</v>
      </c>
      <c r="CG217" s="89">
        <v>2684</v>
      </c>
      <c r="CH217" s="83">
        <v>1955.2</v>
      </c>
      <c r="CI217" s="1">
        <v>2272.4</v>
      </c>
      <c r="CJ217" s="89">
        <v>2620.8000000000002</v>
      </c>
      <c r="CK217" s="83">
        <v>1892.8</v>
      </c>
      <c r="CL217" s="1">
        <v>2194.4</v>
      </c>
      <c r="CM217" s="89">
        <v>2537.6</v>
      </c>
      <c r="CN217" s="83">
        <v>1830.4</v>
      </c>
      <c r="CO217" s="1">
        <v>2106</v>
      </c>
      <c r="CP217" s="89">
        <v>2454.4</v>
      </c>
      <c r="CQ217" s="83">
        <v>1720</v>
      </c>
      <c r="CR217" s="1">
        <v>2180</v>
      </c>
      <c r="CS217" s="89">
        <v>2760</v>
      </c>
      <c r="CT217" s="83">
        <v>1660</v>
      </c>
      <c r="CU217" s="1">
        <v>2105</v>
      </c>
      <c r="CV217" s="89">
        <v>2660</v>
      </c>
      <c r="CW217" s="83">
        <v>1600</v>
      </c>
      <c r="CX217" s="1">
        <v>2010</v>
      </c>
      <c r="CY217" s="89">
        <v>2560</v>
      </c>
    </row>
    <row r="218" spans="1:103" x14ac:dyDescent="0.3">
      <c r="A218" s="41">
        <v>2031</v>
      </c>
      <c r="B218" s="83"/>
      <c r="C218" s="1"/>
      <c r="D218" s="89"/>
      <c r="E218" s="1"/>
      <c r="F218" s="1"/>
      <c r="G218" s="89"/>
      <c r="H218" s="83"/>
      <c r="I218" s="1"/>
      <c r="J218" s="89"/>
      <c r="K218" s="83"/>
      <c r="L218" s="1"/>
      <c r="M218" s="89"/>
      <c r="N218" s="83"/>
      <c r="O218" s="1"/>
      <c r="P218" s="89"/>
      <c r="Q218" s="83"/>
      <c r="R218" s="1"/>
      <c r="S218" s="89"/>
      <c r="T218" s="83"/>
      <c r="U218" s="1"/>
      <c r="V218" s="89"/>
      <c r="W218" s="83"/>
      <c r="X218" s="1"/>
      <c r="Y218" s="89"/>
      <c r="Z218" s="83"/>
      <c r="AA218" s="1"/>
      <c r="AB218" s="89"/>
      <c r="AC218" s="83"/>
      <c r="AD218" s="1"/>
      <c r="AE218" s="89"/>
      <c r="AF218" s="83"/>
      <c r="AG218" s="1"/>
      <c r="AH218" s="89"/>
      <c r="AI218" s="83"/>
      <c r="AJ218" s="1"/>
      <c r="AK218" s="89"/>
      <c r="AL218" s="83"/>
      <c r="AM218" s="1"/>
      <c r="AN218" s="89"/>
      <c r="AO218" s="83"/>
      <c r="AP218" s="1"/>
      <c r="AQ218" s="89"/>
      <c r="AR218" s="83"/>
      <c r="AS218" s="1"/>
      <c r="AT218" s="89"/>
      <c r="AU218" s="83"/>
      <c r="AV218" s="1"/>
      <c r="AW218" s="89"/>
      <c r="AX218" s="83"/>
      <c r="AY218" s="1"/>
      <c r="AZ218" s="89"/>
      <c r="BA218" s="83"/>
      <c r="BB218" s="1"/>
      <c r="BC218" s="89"/>
      <c r="BD218" s="83"/>
      <c r="BE218" s="1"/>
      <c r="BF218" s="89"/>
      <c r="BG218" s="83"/>
      <c r="BH218" s="1"/>
      <c r="BI218" s="89"/>
      <c r="BJ218" s="83"/>
      <c r="BK218" s="1"/>
      <c r="BL218" s="89"/>
      <c r="BM218" s="83"/>
      <c r="BN218" s="1"/>
      <c r="BO218" s="89"/>
      <c r="BP218" s="83"/>
      <c r="BQ218" s="1"/>
      <c r="BR218" s="89"/>
      <c r="BS218" s="83"/>
      <c r="BT218" s="1"/>
      <c r="BU218" s="89"/>
      <c r="BV218" s="83"/>
      <c r="BW218" s="1"/>
      <c r="BX218" s="89"/>
      <c r="BY218" s="83"/>
      <c r="BZ218" s="1"/>
      <c r="CA218" s="89"/>
      <c r="CB218" s="83"/>
      <c r="CC218" s="1"/>
      <c r="CD218" s="89"/>
      <c r="CE218" s="83"/>
      <c r="CF218" s="1"/>
      <c r="CG218" s="89"/>
      <c r="CH218" s="83"/>
      <c r="CI218" s="1"/>
      <c r="CJ218" s="89"/>
      <c r="CK218" s="83"/>
      <c r="CL218" s="1"/>
      <c r="CM218" s="89"/>
      <c r="CN218" s="83"/>
      <c r="CO218" s="1"/>
      <c r="CP218" s="89"/>
      <c r="CQ218" s="83"/>
      <c r="CR218" s="1"/>
      <c r="CS218" s="89"/>
      <c r="CT218" s="83"/>
      <c r="CU218" s="1"/>
      <c r="CV218" s="89"/>
      <c r="CW218" s="83"/>
      <c r="CX218" s="1"/>
      <c r="CY218" s="89"/>
    </row>
    <row r="219" spans="1:103" x14ac:dyDescent="0.3">
      <c r="A219" s="41">
        <v>2032</v>
      </c>
      <c r="B219" s="83"/>
      <c r="C219" s="1"/>
      <c r="D219" s="89"/>
      <c r="E219" s="1"/>
      <c r="F219" s="1"/>
      <c r="G219" s="89"/>
      <c r="H219" s="83"/>
      <c r="I219" s="1"/>
      <c r="J219" s="89"/>
      <c r="K219" s="83"/>
      <c r="L219" s="1"/>
      <c r="M219" s="89"/>
      <c r="N219" s="83"/>
      <c r="O219" s="1"/>
      <c r="P219" s="89"/>
      <c r="Q219" s="83"/>
      <c r="R219" s="1"/>
      <c r="S219" s="89"/>
      <c r="T219" s="83"/>
      <c r="U219" s="1"/>
      <c r="V219" s="89"/>
      <c r="W219" s="83"/>
      <c r="X219" s="1"/>
      <c r="Y219" s="89"/>
      <c r="Z219" s="83"/>
      <c r="AA219" s="1"/>
      <c r="AB219" s="89"/>
      <c r="AC219" s="83"/>
      <c r="AD219" s="1"/>
      <c r="AE219" s="89"/>
      <c r="AF219" s="83"/>
      <c r="AG219" s="1"/>
      <c r="AH219" s="89"/>
      <c r="AI219" s="83"/>
      <c r="AJ219" s="1"/>
      <c r="AK219" s="89"/>
      <c r="AL219" s="83"/>
      <c r="AM219" s="1"/>
      <c r="AN219" s="89"/>
      <c r="AO219" s="83"/>
      <c r="AP219" s="1"/>
      <c r="AQ219" s="89"/>
      <c r="AR219" s="83"/>
      <c r="AS219" s="1"/>
      <c r="AT219" s="89"/>
      <c r="AU219" s="83"/>
      <c r="AV219" s="1"/>
      <c r="AW219" s="89"/>
      <c r="AX219" s="83"/>
      <c r="AY219" s="1"/>
      <c r="AZ219" s="89"/>
      <c r="BA219" s="83"/>
      <c r="BB219" s="1"/>
      <c r="BC219" s="89"/>
      <c r="BD219" s="83"/>
      <c r="BE219" s="1"/>
      <c r="BF219" s="89"/>
      <c r="BG219" s="83"/>
      <c r="BH219" s="1"/>
      <c r="BI219" s="89"/>
      <c r="BJ219" s="83"/>
      <c r="BK219" s="1"/>
      <c r="BL219" s="89"/>
      <c r="BM219" s="83"/>
      <c r="BN219" s="1"/>
      <c r="BO219" s="89"/>
      <c r="BP219" s="83"/>
      <c r="BQ219" s="1"/>
      <c r="BR219" s="89"/>
      <c r="BS219" s="83"/>
      <c r="BT219" s="1"/>
      <c r="BU219" s="89"/>
      <c r="BV219" s="83"/>
      <c r="BW219" s="1"/>
      <c r="BX219" s="89"/>
      <c r="BY219" s="83"/>
      <c r="BZ219" s="1"/>
      <c r="CA219" s="89"/>
      <c r="CB219" s="83"/>
      <c r="CC219" s="1"/>
      <c r="CD219" s="89"/>
      <c r="CE219" s="83"/>
      <c r="CF219" s="1"/>
      <c r="CG219" s="89"/>
      <c r="CH219" s="83"/>
      <c r="CI219" s="1"/>
      <c r="CJ219" s="89"/>
      <c r="CK219" s="83"/>
      <c r="CL219" s="1"/>
      <c r="CM219" s="89"/>
      <c r="CN219" s="83"/>
      <c r="CO219" s="1"/>
      <c r="CP219" s="89"/>
      <c r="CQ219" s="83"/>
      <c r="CR219" s="1"/>
      <c r="CS219" s="89"/>
      <c r="CT219" s="83"/>
      <c r="CU219" s="1"/>
      <c r="CV219" s="89"/>
      <c r="CW219" s="83"/>
      <c r="CX219" s="1"/>
      <c r="CY219" s="89"/>
    </row>
    <row r="220" spans="1:103" x14ac:dyDescent="0.3">
      <c r="A220" s="41">
        <v>2033</v>
      </c>
      <c r="B220" s="83"/>
      <c r="C220" s="1"/>
      <c r="D220" s="89"/>
      <c r="E220" s="1"/>
      <c r="F220" s="1"/>
      <c r="G220" s="89"/>
      <c r="H220" s="83"/>
      <c r="I220" s="1"/>
      <c r="J220" s="89"/>
      <c r="K220" s="83"/>
      <c r="L220" s="1"/>
      <c r="M220" s="89"/>
      <c r="N220" s="83"/>
      <c r="O220" s="1"/>
      <c r="P220" s="89"/>
      <c r="Q220" s="83"/>
      <c r="R220" s="1"/>
      <c r="S220" s="89"/>
      <c r="T220" s="83"/>
      <c r="U220" s="1"/>
      <c r="V220" s="89"/>
      <c r="W220" s="83"/>
      <c r="X220" s="1"/>
      <c r="Y220" s="89"/>
      <c r="Z220" s="83"/>
      <c r="AA220" s="1"/>
      <c r="AB220" s="89"/>
      <c r="AC220" s="83"/>
      <c r="AD220" s="1"/>
      <c r="AE220" s="89"/>
      <c r="AF220" s="83"/>
      <c r="AG220" s="1"/>
      <c r="AH220" s="89"/>
      <c r="AI220" s="83"/>
      <c r="AJ220" s="1"/>
      <c r="AK220" s="89"/>
      <c r="AL220" s="83"/>
      <c r="AM220" s="1"/>
      <c r="AN220" s="89"/>
      <c r="AO220" s="83"/>
      <c r="AP220" s="1"/>
      <c r="AQ220" s="89"/>
      <c r="AR220" s="83"/>
      <c r="AS220" s="1"/>
      <c r="AT220" s="89"/>
      <c r="AU220" s="83"/>
      <c r="AV220" s="1"/>
      <c r="AW220" s="89"/>
      <c r="AX220" s="83"/>
      <c r="AZ220" s="89"/>
      <c r="BA220" s="83"/>
      <c r="BB220" s="1"/>
      <c r="BC220" s="89"/>
      <c r="BD220" s="83"/>
      <c r="BE220" s="1"/>
      <c r="BF220" s="89"/>
      <c r="BG220" s="83"/>
      <c r="BH220" s="1"/>
      <c r="BI220" s="89"/>
      <c r="BJ220" s="83"/>
      <c r="BK220" s="1"/>
      <c r="BL220" s="89"/>
      <c r="BM220" s="83"/>
      <c r="BN220" s="1"/>
      <c r="BO220" s="89"/>
      <c r="BP220" s="83"/>
      <c r="BQ220" s="1"/>
      <c r="BR220" s="89"/>
      <c r="BS220" s="83"/>
      <c r="BT220" s="1"/>
      <c r="BU220" s="89"/>
      <c r="BV220" s="83"/>
      <c r="BW220" s="1"/>
      <c r="BX220" s="89"/>
      <c r="BY220" s="83"/>
      <c r="BZ220" s="1"/>
      <c r="CA220" s="89"/>
      <c r="CB220" s="83"/>
      <c r="CC220" s="1"/>
      <c r="CD220" s="89"/>
      <c r="CE220" s="83"/>
      <c r="CF220" s="1"/>
      <c r="CG220" s="89"/>
      <c r="CH220" s="83"/>
      <c r="CI220" s="1"/>
      <c r="CJ220" s="89"/>
      <c r="CK220" s="83"/>
      <c r="CL220" s="1"/>
      <c r="CM220" s="89"/>
      <c r="CN220" s="83"/>
      <c r="CO220" s="1"/>
      <c r="CP220" s="89"/>
      <c r="CQ220" s="83"/>
      <c r="CR220" s="1"/>
      <c r="CS220" s="89"/>
      <c r="CT220" s="83"/>
      <c r="CU220" s="1"/>
      <c r="CV220" s="89"/>
      <c r="CW220" s="83"/>
      <c r="CX220" s="1"/>
      <c r="CY220" s="89"/>
    </row>
    <row r="221" spans="1:103" x14ac:dyDescent="0.3">
      <c r="A221" s="41">
        <v>2034</v>
      </c>
      <c r="B221" s="83"/>
      <c r="C221" s="1"/>
      <c r="D221" s="89"/>
      <c r="E221" s="1"/>
      <c r="F221" s="1"/>
      <c r="G221" s="89"/>
      <c r="H221" s="83"/>
      <c r="I221" s="1"/>
      <c r="J221" s="89"/>
      <c r="K221" s="83"/>
      <c r="L221" s="1"/>
      <c r="M221" s="89"/>
      <c r="N221" s="83"/>
      <c r="O221" s="1"/>
      <c r="P221" s="89"/>
      <c r="Q221" s="83"/>
      <c r="R221" s="1"/>
      <c r="S221" s="89"/>
      <c r="T221" s="83"/>
      <c r="U221" s="1"/>
      <c r="V221" s="89"/>
      <c r="W221" s="83"/>
      <c r="X221" s="1"/>
      <c r="Y221" s="89"/>
      <c r="Z221" s="83"/>
      <c r="AA221" s="1"/>
      <c r="AB221" s="89"/>
      <c r="AC221" s="83"/>
      <c r="AD221" s="1"/>
      <c r="AE221" s="89"/>
      <c r="AF221" s="83"/>
      <c r="AG221" s="1"/>
      <c r="AH221" s="89"/>
      <c r="AI221" s="83"/>
      <c r="AJ221" s="1"/>
      <c r="AK221" s="89"/>
      <c r="AL221" s="83"/>
      <c r="AM221" s="1"/>
      <c r="AN221" s="89"/>
      <c r="AO221" s="83"/>
      <c r="AP221" s="1"/>
      <c r="AQ221" s="89"/>
      <c r="AR221" s="83"/>
      <c r="AS221" s="1"/>
      <c r="AT221" s="89"/>
      <c r="AU221" s="83"/>
      <c r="AV221" s="1"/>
      <c r="AW221" s="89"/>
      <c r="AX221" s="83"/>
      <c r="AY221" s="1"/>
      <c r="AZ221" s="89"/>
      <c r="BA221" s="83"/>
      <c r="BB221" s="1"/>
      <c r="BC221" s="89"/>
      <c r="BD221" s="83"/>
      <c r="BE221" s="1"/>
      <c r="BF221" s="89"/>
      <c r="BG221" s="83"/>
      <c r="BH221" s="1"/>
      <c r="BI221" s="89"/>
      <c r="BJ221" s="83"/>
      <c r="BK221" s="1"/>
      <c r="BL221" s="89"/>
      <c r="BM221" s="83"/>
      <c r="BN221" s="1"/>
      <c r="BO221" s="89"/>
      <c r="BP221" s="83"/>
      <c r="BQ221" s="1"/>
      <c r="BR221" s="89"/>
      <c r="BS221" s="83"/>
      <c r="BT221" s="1"/>
      <c r="BU221" s="89"/>
      <c r="BV221" s="83"/>
      <c r="BW221" s="1"/>
      <c r="BX221" s="89"/>
      <c r="BY221" s="83"/>
      <c r="BZ221" s="1"/>
      <c r="CA221" s="89"/>
      <c r="CB221" s="83"/>
      <c r="CC221" s="1"/>
      <c r="CD221" s="89"/>
      <c r="CE221" s="83"/>
      <c r="CF221" s="1"/>
      <c r="CG221" s="89"/>
      <c r="CH221" s="83"/>
      <c r="CI221" s="1"/>
      <c r="CJ221" s="89"/>
      <c r="CK221" s="83"/>
      <c r="CL221" s="1"/>
      <c r="CM221" s="89"/>
      <c r="CN221" s="83"/>
      <c r="CO221" s="1"/>
      <c r="CP221" s="89"/>
      <c r="CQ221" s="83"/>
      <c r="CR221" s="1"/>
      <c r="CS221" s="89"/>
      <c r="CT221" s="83"/>
      <c r="CU221" s="1"/>
      <c r="CV221" s="89"/>
      <c r="CW221" s="83"/>
      <c r="CX221" s="1"/>
      <c r="CY221" s="89"/>
    </row>
    <row r="222" spans="1:103" x14ac:dyDescent="0.3">
      <c r="A222" s="41">
        <v>2035</v>
      </c>
      <c r="B222" s="83"/>
      <c r="C222" s="1"/>
      <c r="D222" s="89"/>
      <c r="E222" s="1"/>
      <c r="F222" s="1"/>
      <c r="G222" s="89"/>
      <c r="H222" s="83"/>
      <c r="I222" s="1"/>
      <c r="J222" s="89"/>
      <c r="K222" s="83"/>
      <c r="L222" s="1"/>
      <c r="M222" s="89"/>
      <c r="N222" s="83"/>
      <c r="O222" s="1"/>
      <c r="P222" s="89"/>
      <c r="Q222" s="83"/>
      <c r="R222" s="1"/>
      <c r="S222" s="89"/>
      <c r="T222" s="83"/>
      <c r="U222" s="1"/>
      <c r="V222" s="89"/>
      <c r="W222" s="83"/>
      <c r="X222" s="1"/>
      <c r="Y222" s="89"/>
      <c r="Z222" s="83"/>
      <c r="AA222" s="1"/>
      <c r="AB222" s="89"/>
      <c r="AC222" s="83"/>
      <c r="AD222" s="1"/>
      <c r="AE222" s="89"/>
      <c r="AF222" s="83"/>
      <c r="AG222" s="1"/>
      <c r="AH222" s="89"/>
      <c r="AI222" s="83"/>
      <c r="AJ222" s="1"/>
      <c r="AK222" s="89"/>
      <c r="AO222" s="83"/>
      <c r="AP222" s="1"/>
      <c r="AQ222" s="89"/>
      <c r="AR222" s="83"/>
      <c r="AS222" s="1"/>
      <c r="AT222" s="89"/>
      <c r="AU222" s="83"/>
      <c r="AV222" s="1"/>
      <c r="AW222" s="89"/>
      <c r="AX222" s="83"/>
      <c r="AY222" s="1"/>
      <c r="AZ222" s="89"/>
      <c r="BA222" s="83"/>
      <c r="BB222" s="1"/>
      <c r="BC222" s="89"/>
      <c r="BD222" s="83"/>
      <c r="BE222" s="1"/>
      <c r="BF222" s="89"/>
      <c r="BG222" s="83"/>
      <c r="BH222" s="1"/>
      <c r="BI222" s="89"/>
      <c r="BJ222" s="83"/>
      <c r="BK222" s="1"/>
      <c r="BL222" s="89"/>
      <c r="BM222" s="83"/>
      <c r="BN222" s="1"/>
      <c r="BO222" s="89"/>
      <c r="BP222" s="83"/>
      <c r="BQ222" s="1"/>
      <c r="BR222" s="89"/>
      <c r="BS222" s="83"/>
      <c r="BT222" s="1"/>
      <c r="BU222" s="89"/>
      <c r="BV222" s="83"/>
      <c r="BW222" s="1"/>
      <c r="BX222" s="89"/>
      <c r="BY222" s="83"/>
      <c r="BZ222" s="1"/>
      <c r="CA222" s="89"/>
      <c r="CB222" s="83"/>
      <c r="CC222" s="1"/>
      <c r="CD222" s="89"/>
      <c r="CE222" s="83"/>
      <c r="CF222" s="1"/>
      <c r="CG222" s="89"/>
      <c r="CH222" s="83"/>
      <c r="CI222" s="1"/>
      <c r="CJ222" s="89"/>
      <c r="CK222" s="83"/>
      <c r="CL222" s="1"/>
      <c r="CM222" s="89"/>
      <c r="CN222" s="83"/>
      <c r="CO222" s="1"/>
      <c r="CP222" s="89"/>
      <c r="CQ222" s="83"/>
      <c r="CR222" s="1"/>
      <c r="CS222" s="89"/>
      <c r="CT222" s="83"/>
      <c r="CU222" s="1"/>
      <c r="CV222" s="89"/>
      <c r="CW222" s="83"/>
      <c r="CX222" s="1"/>
      <c r="CY222" s="89"/>
    </row>
    <row r="223" spans="1:103" x14ac:dyDescent="0.3">
      <c r="A223" s="41">
        <v>2036</v>
      </c>
      <c r="B223" s="83"/>
      <c r="C223" s="1"/>
      <c r="D223" s="89"/>
      <c r="E223" s="1"/>
      <c r="F223" s="1"/>
      <c r="G223" s="89"/>
      <c r="H223" s="83"/>
      <c r="I223" s="1"/>
      <c r="J223" s="89"/>
      <c r="K223" s="83"/>
      <c r="L223" s="1"/>
      <c r="M223" s="89"/>
      <c r="N223" s="83"/>
      <c r="O223" s="1"/>
      <c r="P223" s="89"/>
      <c r="Q223" s="83"/>
      <c r="R223" s="1"/>
      <c r="S223" s="89"/>
      <c r="T223" s="83"/>
      <c r="U223" s="1"/>
      <c r="V223" s="89"/>
      <c r="W223" s="83"/>
      <c r="X223" s="1"/>
      <c r="Y223" s="89"/>
      <c r="Z223" s="83"/>
      <c r="AA223" s="1"/>
      <c r="AB223" s="89"/>
      <c r="AC223" s="83"/>
      <c r="AD223" s="1"/>
      <c r="AE223" s="89"/>
      <c r="AF223" s="83"/>
      <c r="AG223" s="1"/>
      <c r="AH223" s="89"/>
      <c r="AI223" s="83"/>
      <c r="AJ223" s="1"/>
      <c r="AK223" s="89"/>
      <c r="AL223" s="83"/>
      <c r="AM223" s="1"/>
      <c r="AN223" s="89"/>
      <c r="AO223" s="83"/>
      <c r="AP223" s="1"/>
      <c r="AQ223" s="89"/>
      <c r="AR223" s="83"/>
      <c r="AS223" s="1"/>
      <c r="AT223" s="89"/>
      <c r="AU223" s="83"/>
      <c r="AV223" s="1"/>
      <c r="AW223" s="89"/>
      <c r="AX223" s="83"/>
      <c r="AY223" s="1"/>
      <c r="AZ223" s="89"/>
      <c r="BA223" s="83"/>
      <c r="BB223" s="1"/>
      <c r="BC223" s="89"/>
      <c r="BD223" s="83"/>
      <c r="BE223" s="1"/>
      <c r="BF223" s="89"/>
      <c r="BG223" s="83"/>
      <c r="BH223" s="1"/>
      <c r="BI223" s="89"/>
      <c r="BJ223" s="83"/>
      <c r="BK223" s="1"/>
      <c r="BL223" s="89"/>
      <c r="BM223" s="83"/>
      <c r="BN223" s="1"/>
      <c r="BO223" s="89"/>
      <c r="BP223" s="83"/>
      <c r="BQ223" s="1"/>
      <c r="BR223" s="89"/>
      <c r="BS223" s="83"/>
      <c r="BT223" s="1"/>
      <c r="BU223" s="89"/>
      <c r="BV223" s="83"/>
      <c r="BW223" s="1"/>
      <c r="BX223" s="89"/>
      <c r="BY223" s="83"/>
      <c r="BZ223" s="1"/>
      <c r="CA223" s="89"/>
      <c r="CB223" s="83"/>
      <c r="CC223" s="1"/>
      <c r="CD223" s="89"/>
      <c r="CE223" s="83"/>
      <c r="CF223" s="1"/>
      <c r="CG223" s="89"/>
      <c r="CH223" s="83"/>
      <c r="CI223" s="1"/>
      <c r="CJ223" s="89"/>
      <c r="CK223" s="83"/>
      <c r="CL223" s="1"/>
      <c r="CM223" s="89"/>
      <c r="CN223" s="83"/>
      <c r="CO223" s="1"/>
      <c r="CP223" s="89"/>
      <c r="CQ223" s="83"/>
      <c r="CR223" s="1"/>
      <c r="CS223" s="89"/>
      <c r="CT223" s="83"/>
      <c r="CU223" s="1"/>
      <c r="CV223" s="89"/>
      <c r="CW223" s="83"/>
      <c r="CX223" s="1"/>
      <c r="CY223" s="89"/>
    </row>
    <row r="224" spans="1:103" x14ac:dyDescent="0.3">
      <c r="A224" s="41">
        <v>2037</v>
      </c>
      <c r="B224" s="83"/>
      <c r="C224" s="1"/>
      <c r="D224" s="89"/>
      <c r="E224" s="1"/>
      <c r="F224" s="1"/>
      <c r="G224" s="89"/>
      <c r="H224" s="83"/>
      <c r="I224" s="1"/>
      <c r="J224" s="89"/>
      <c r="K224" s="83"/>
      <c r="L224" s="1"/>
      <c r="M224" s="89"/>
      <c r="N224" s="83"/>
      <c r="O224" s="1"/>
      <c r="P224" s="89"/>
      <c r="Q224" s="83"/>
      <c r="R224" s="1"/>
      <c r="S224" s="89"/>
      <c r="T224" s="83"/>
      <c r="U224" s="1"/>
      <c r="V224" s="89"/>
      <c r="W224" s="83"/>
      <c r="X224" s="1"/>
      <c r="Y224" s="89"/>
      <c r="Z224" s="83"/>
      <c r="AA224" s="1"/>
      <c r="AB224" s="89"/>
      <c r="AC224" s="83"/>
      <c r="AD224" s="1"/>
      <c r="AE224" s="89"/>
      <c r="AF224" s="83"/>
      <c r="AG224" s="1"/>
      <c r="AH224" s="89"/>
      <c r="AI224" s="83"/>
      <c r="AJ224" s="1"/>
      <c r="AK224" s="89"/>
      <c r="AL224" s="83"/>
      <c r="AM224" s="1"/>
      <c r="AN224" s="89"/>
      <c r="AO224" s="83"/>
      <c r="AP224" s="1"/>
      <c r="AQ224" s="89"/>
      <c r="AR224" s="83"/>
      <c r="AS224" s="1"/>
      <c r="AT224" s="89"/>
      <c r="AU224" s="83"/>
      <c r="AV224" s="1"/>
      <c r="AW224" s="89"/>
      <c r="AX224" s="83"/>
      <c r="AY224" s="1"/>
      <c r="AZ224" s="89"/>
      <c r="BA224" s="83"/>
      <c r="BB224" s="1"/>
      <c r="BC224" s="89"/>
      <c r="BD224" s="83"/>
      <c r="BE224" s="1"/>
      <c r="BF224" s="89"/>
      <c r="BG224" s="83"/>
      <c r="BH224" s="1"/>
      <c r="BI224" s="89"/>
      <c r="BJ224" s="83"/>
      <c r="BK224" s="1"/>
      <c r="BL224" s="89"/>
      <c r="BM224" s="83"/>
      <c r="BN224" s="1"/>
      <c r="BO224" s="89"/>
      <c r="BP224" s="83"/>
      <c r="BQ224" s="1"/>
      <c r="BR224" s="89"/>
      <c r="BS224" s="83"/>
      <c r="BT224" s="1"/>
      <c r="BU224" s="89"/>
      <c r="BV224" s="83"/>
      <c r="BW224" s="1"/>
      <c r="BX224" s="89"/>
      <c r="BY224" s="83"/>
      <c r="BZ224" s="1"/>
      <c r="CA224" s="89"/>
      <c r="CB224" s="83"/>
      <c r="CC224" s="1"/>
      <c r="CD224" s="89"/>
      <c r="CE224" s="83"/>
      <c r="CF224" s="1"/>
      <c r="CG224" s="89"/>
      <c r="CH224" s="83"/>
      <c r="CI224" s="1"/>
      <c r="CJ224" s="89"/>
      <c r="CK224" s="83"/>
      <c r="CL224" s="1"/>
      <c r="CM224" s="89"/>
      <c r="CN224" s="83"/>
      <c r="CO224" s="1"/>
      <c r="CP224" s="89"/>
      <c r="CQ224" s="83"/>
      <c r="CR224" s="1"/>
      <c r="CS224" s="89"/>
      <c r="CT224" s="83"/>
      <c r="CU224" s="1"/>
      <c r="CV224" s="89"/>
      <c r="CW224" s="83"/>
      <c r="CX224" s="1"/>
      <c r="CY224" s="89"/>
    </row>
    <row r="225" spans="1:103" x14ac:dyDescent="0.3">
      <c r="A225" s="41">
        <v>2038</v>
      </c>
      <c r="B225" s="83"/>
      <c r="C225" s="1"/>
      <c r="D225" s="89"/>
      <c r="E225" s="1"/>
      <c r="F225" s="1"/>
      <c r="G225" s="89"/>
      <c r="H225" s="83"/>
      <c r="I225" s="1"/>
      <c r="J225" s="89"/>
      <c r="K225" s="83"/>
      <c r="L225" s="1"/>
      <c r="M225" s="89"/>
      <c r="N225" s="83"/>
      <c r="O225" s="1"/>
      <c r="P225" s="89"/>
      <c r="Q225" s="83"/>
      <c r="R225" s="1"/>
      <c r="S225" s="89"/>
      <c r="T225" s="83"/>
      <c r="U225" s="1"/>
      <c r="V225" s="89"/>
      <c r="W225" s="83"/>
      <c r="X225" s="1"/>
      <c r="Y225" s="89"/>
      <c r="Z225" s="83"/>
      <c r="AA225" s="1"/>
      <c r="AB225" s="89"/>
      <c r="AC225" s="83"/>
      <c r="AD225" s="1"/>
      <c r="AE225" s="89"/>
      <c r="AF225" s="83"/>
      <c r="AG225" s="1"/>
      <c r="AH225" s="89"/>
      <c r="AI225" s="83"/>
      <c r="AJ225" s="1"/>
      <c r="AK225" s="89"/>
      <c r="AL225" s="83"/>
      <c r="AM225" s="1"/>
      <c r="AN225" s="89"/>
      <c r="AO225" s="83"/>
      <c r="AP225" s="1"/>
      <c r="AQ225" s="89"/>
      <c r="AR225" s="83"/>
      <c r="AS225" s="1"/>
      <c r="AT225" s="89"/>
      <c r="AU225" s="83"/>
      <c r="AV225" s="1"/>
      <c r="AW225" s="89"/>
      <c r="AX225" s="83"/>
      <c r="AZ225" s="89"/>
      <c r="BA225" s="83"/>
      <c r="BB225" s="1"/>
      <c r="BC225" s="89"/>
      <c r="BD225" s="83"/>
      <c r="BE225" s="1"/>
      <c r="BF225" s="89"/>
      <c r="BG225" s="83"/>
      <c r="BH225" s="1"/>
      <c r="BI225" s="89"/>
      <c r="BJ225" s="83"/>
      <c r="BK225" s="1"/>
      <c r="BL225" s="89"/>
      <c r="BM225" s="83"/>
      <c r="BN225" s="1"/>
      <c r="BO225" s="89"/>
      <c r="BP225" s="83"/>
      <c r="BQ225" s="1"/>
      <c r="BR225" s="89"/>
      <c r="BS225" s="83"/>
      <c r="BT225" s="1"/>
      <c r="BU225" s="89"/>
      <c r="BV225" s="83"/>
      <c r="BW225" s="1"/>
      <c r="BX225" s="89"/>
      <c r="BY225" s="83"/>
      <c r="BZ225" s="1"/>
      <c r="CA225" s="89"/>
      <c r="CB225" s="83"/>
      <c r="CC225" s="1"/>
      <c r="CD225" s="89"/>
      <c r="CE225" s="83"/>
      <c r="CF225" s="1"/>
      <c r="CG225" s="89"/>
      <c r="CH225" s="83"/>
      <c r="CI225" s="1"/>
      <c r="CJ225" s="89"/>
      <c r="CK225" s="83"/>
      <c r="CL225" s="1"/>
      <c r="CM225" s="89"/>
      <c r="CN225" s="83"/>
      <c r="CO225" s="1"/>
      <c r="CP225" s="89"/>
      <c r="CQ225" s="83"/>
      <c r="CR225" s="1"/>
      <c r="CS225" s="89"/>
      <c r="CT225" s="83"/>
      <c r="CU225" s="1"/>
      <c r="CV225" s="89"/>
      <c r="CW225" s="83"/>
      <c r="CX225" s="1"/>
      <c r="CY225" s="89"/>
    </row>
    <row r="226" spans="1:103" x14ac:dyDescent="0.3">
      <c r="A226" s="41">
        <v>2039</v>
      </c>
      <c r="B226" s="83"/>
      <c r="C226" s="1"/>
      <c r="D226" s="89"/>
      <c r="E226" s="1"/>
      <c r="F226" s="1"/>
      <c r="G226" s="89"/>
      <c r="H226" s="83"/>
      <c r="I226" s="1"/>
      <c r="J226" s="89"/>
      <c r="K226" s="83"/>
      <c r="L226" s="1"/>
      <c r="M226" s="89"/>
      <c r="N226" s="83"/>
      <c r="O226" s="1"/>
      <c r="P226" s="89"/>
      <c r="Q226" s="83"/>
      <c r="R226" s="1"/>
      <c r="S226" s="89"/>
      <c r="T226" s="83"/>
      <c r="U226" s="1"/>
      <c r="V226" s="89"/>
      <c r="W226" s="83"/>
      <c r="X226" s="1"/>
      <c r="Y226" s="89"/>
      <c r="Z226" s="83"/>
      <c r="AA226" s="1"/>
      <c r="AB226" s="89"/>
      <c r="AC226" s="83"/>
      <c r="AD226" s="1"/>
      <c r="AE226" s="89"/>
      <c r="AF226" s="83"/>
      <c r="AG226" s="1"/>
      <c r="AH226" s="89"/>
      <c r="AI226" s="83"/>
      <c r="AJ226" s="1"/>
      <c r="AK226" s="89"/>
      <c r="AL226" s="83"/>
      <c r="AM226" s="1"/>
      <c r="AN226" s="89"/>
      <c r="AO226" s="83"/>
      <c r="AP226" s="1"/>
      <c r="AQ226" s="89"/>
      <c r="AR226" s="83"/>
      <c r="AS226" s="1"/>
      <c r="AT226" s="89"/>
      <c r="AU226" s="83"/>
      <c r="AV226" s="1"/>
      <c r="AW226" s="89"/>
      <c r="AX226" s="83"/>
      <c r="AZ226" s="89"/>
      <c r="BA226" s="83"/>
      <c r="BB226" s="1"/>
      <c r="BC226" s="89"/>
      <c r="BD226" s="83"/>
      <c r="BE226" s="1"/>
      <c r="BF226" s="89"/>
      <c r="BG226" s="83"/>
      <c r="BH226" s="1"/>
      <c r="BI226" s="89"/>
      <c r="BJ226" s="83"/>
      <c r="BK226" s="1"/>
      <c r="BL226" s="89"/>
      <c r="BM226" s="83"/>
      <c r="BN226" s="1"/>
      <c r="BO226" s="89"/>
      <c r="BP226" s="83"/>
      <c r="BQ226" s="1"/>
      <c r="BR226" s="89"/>
      <c r="BS226" s="83"/>
      <c r="BT226" s="1"/>
      <c r="BU226" s="89"/>
      <c r="BV226" s="83"/>
      <c r="BW226" s="1"/>
      <c r="BX226" s="89"/>
      <c r="BY226" s="83"/>
      <c r="BZ226" s="1"/>
      <c r="CA226" s="89"/>
      <c r="CB226" s="83"/>
      <c r="CC226" s="1"/>
      <c r="CD226" s="89"/>
      <c r="CE226" s="83"/>
      <c r="CF226" s="1"/>
      <c r="CG226" s="89"/>
      <c r="CH226" s="83"/>
      <c r="CI226" s="1"/>
      <c r="CJ226" s="89"/>
      <c r="CK226" s="83"/>
      <c r="CL226" s="1"/>
      <c r="CM226" s="89"/>
      <c r="CN226" s="83"/>
      <c r="CO226" s="1"/>
      <c r="CP226" s="89"/>
      <c r="CQ226" s="83"/>
      <c r="CR226" s="1"/>
      <c r="CS226" s="89"/>
      <c r="CT226" s="83"/>
      <c r="CU226" s="1"/>
      <c r="CV226" s="89"/>
      <c r="CW226" s="83"/>
      <c r="CX226" s="1"/>
      <c r="CY226" s="89"/>
    </row>
    <row r="227" spans="1:103" x14ac:dyDescent="0.3">
      <c r="A227" s="41">
        <v>2040</v>
      </c>
      <c r="B227" s="83"/>
      <c r="C227" s="1"/>
      <c r="D227" s="89"/>
      <c r="E227" s="1"/>
      <c r="F227" s="1"/>
      <c r="G227" s="89"/>
      <c r="H227" s="83"/>
      <c r="I227" s="1"/>
      <c r="J227" s="89"/>
      <c r="K227" s="83"/>
      <c r="L227" s="1"/>
      <c r="M227" s="89"/>
      <c r="N227" s="83"/>
      <c r="O227" s="1"/>
      <c r="P227" s="89"/>
      <c r="Q227" s="83"/>
      <c r="R227" s="1"/>
      <c r="S227" s="89"/>
      <c r="T227" s="83"/>
      <c r="U227" s="1"/>
      <c r="V227" s="89"/>
      <c r="W227" s="83"/>
      <c r="X227" s="1"/>
      <c r="Y227" s="89"/>
      <c r="Z227" s="83"/>
      <c r="AA227" s="1"/>
      <c r="AB227" s="89"/>
      <c r="AC227" s="83"/>
      <c r="AD227" s="1"/>
      <c r="AE227" s="89"/>
      <c r="AF227" s="83"/>
      <c r="AG227" s="1"/>
      <c r="AH227" s="89"/>
      <c r="AI227" s="83"/>
      <c r="AJ227" s="1"/>
      <c r="AK227" s="89"/>
      <c r="AL227" s="83"/>
      <c r="AM227" s="1"/>
      <c r="AN227" s="89"/>
      <c r="AO227" s="83"/>
      <c r="AP227" s="1"/>
      <c r="AQ227" s="89"/>
      <c r="AR227" s="83"/>
      <c r="AS227" s="1"/>
      <c r="AT227" s="89"/>
      <c r="AU227" s="83">
        <v>2316.6</v>
      </c>
      <c r="AV227" s="1">
        <v>3828</v>
      </c>
      <c r="AW227" s="89">
        <v>4641.2381599999999</v>
      </c>
      <c r="AX227" s="83"/>
      <c r="AZ227" s="89"/>
      <c r="BA227" s="83">
        <v>2863.8</v>
      </c>
      <c r="BB227" s="1">
        <v>3463.65</v>
      </c>
      <c r="BC227" s="89">
        <v>3818.4</v>
      </c>
      <c r="BD227" s="83">
        <v>1839.6</v>
      </c>
      <c r="BE227" s="1">
        <v>2463.3000000000002</v>
      </c>
      <c r="BF227" s="89">
        <v>3250.8</v>
      </c>
      <c r="BG227" s="83">
        <v>2017.2</v>
      </c>
      <c r="BH227" s="1">
        <v>2337</v>
      </c>
      <c r="BI227" s="89">
        <v>2656.8</v>
      </c>
      <c r="BJ227" s="83">
        <v>1820.3999999999999</v>
      </c>
      <c r="BK227" s="1">
        <v>2115.6</v>
      </c>
      <c r="BL227" s="89">
        <v>2410.8000000000002</v>
      </c>
      <c r="BM227" s="83"/>
      <c r="BN227" s="1"/>
      <c r="BO227" s="89"/>
      <c r="BP227" s="83"/>
      <c r="BQ227" s="1"/>
      <c r="BR227" s="89"/>
      <c r="BS227" s="83"/>
      <c r="BT227" s="1"/>
      <c r="BU227" s="89"/>
      <c r="BV227" s="83"/>
      <c r="BW227" s="1"/>
      <c r="BX227" s="89"/>
      <c r="BY227" s="83"/>
      <c r="BZ227" s="1"/>
      <c r="CA227" s="89"/>
      <c r="CB227" s="83"/>
      <c r="CC227" s="1"/>
      <c r="CD227" s="89"/>
      <c r="CE227" s="83"/>
      <c r="CF227" s="1"/>
      <c r="CG227" s="89"/>
      <c r="CH227" s="83"/>
      <c r="CI227" s="1"/>
      <c r="CJ227" s="89"/>
      <c r="CK227" s="83"/>
      <c r="CL227" s="1"/>
      <c r="CM227" s="89"/>
      <c r="CN227" s="83"/>
      <c r="CO227" s="1"/>
      <c r="CP227" s="89"/>
      <c r="CQ227" s="83"/>
      <c r="CR227" s="1"/>
      <c r="CS227" s="89"/>
      <c r="CT227" s="83"/>
      <c r="CU227" s="1"/>
      <c r="CV227" s="89"/>
      <c r="CW227" s="83"/>
      <c r="CX227" s="1"/>
      <c r="CY227" s="89"/>
    </row>
    <row r="228" spans="1:103" x14ac:dyDescent="0.3">
      <c r="A228" s="41">
        <v>2041</v>
      </c>
      <c r="B228" s="83"/>
      <c r="C228" s="1"/>
      <c r="D228" s="89"/>
      <c r="E228" s="1"/>
      <c r="F228" s="1"/>
      <c r="G228" s="89"/>
      <c r="H228" s="83"/>
      <c r="I228" s="1"/>
      <c r="J228" s="89"/>
      <c r="K228" s="83"/>
      <c r="L228" s="1"/>
      <c r="M228" s="89"/>
      <c r="N228" s="83"/>
      <c r="O228" s="1"/>
      <c r="P228" s="89"/>
      <c r="Q228" s="83"/>
      <c r="R228" s="1"/>
      <c r="S228" s="89"/>
      <c r="T228" s="83"/>
      <c r="U228" s="1"/>
      <c r="V228" s="89"/>
      <c r="W228" s="83"/>
      <c r="X228" s="1"/>
      <c r="Y228" s="89"/>
      <c r="Z228" s="83"/>
      <c r="AA228" s="1"/>
      <c r="AB228" s="89"/>
      <c r="AC228" s="83"/>
      <c r="AD228" s="1"/>
      <c r="AE228" s="89"/>
      <c r="AF228" s="83"/>
      <c r="AG228" s="1"/>
      <c r="AH228" s="89"/>
      <c r="AI228" s="83"/>
      <c r="AJ228" s="1"/>
      <c r="AK228" s="89"/>
      <c r="AL228" s="83"/>
      <c r="AM228" s="1"/>
      <c r="AN228" s="89"/>
      <c r="AO228" s="83"/>
      <c r="AP228" s="1"/>
      <c r="AQ228" s="89"/>
      <c r="AR228" s="83"/>
      <c r="AS228" s="1"/>
      <c r="AT228" s="89"/>
      <c r="AU228" s="83"/>
      <c r="AV228" s="1"/>
      <c r="AW228" s="89"/>
      <c r="AX228" s="83"/>
      <c r="AY228" s="1"/>
      <c r="AZ228" s="89"/>
      <c r="BA228" s="83"/>
      <c r="BB228" s="1"/>
      <c r="BC228" s="89"/>
      <c r="BD228" s="83"/>
      <c r="BE228" s="1"/>
      <c r="BF228" s="89"/>
      <c r="BG228" s="83"/>
      <c r="BH228" s="1"/>
      <c r="BI228" s="89"/>
      <c r="BJ228" s="83"/>
      <c r="BK228" s="1"/>
      <c r="BL228" s="89"/>
      <c r="BM228" s="83"/>
      <c r="BN228" s="1"/>
      <c r="BO228" s="89"/>
      <c r="BP228" s="83"/>
      <c r="BQ228" s="1"/>
      <c r="BR228" s="89"/>
      <c r="BS228" s="83"/>
      <c r="BT228" s="1"/>
      <c r="BU228" s="89"/>
      <c r="BV228" s="83"/>
      <c r="BW228" s="1"/>
      <c r="BX228" s="89"/>
      <c r="BY228" s="83"/>
      <c r="BZ228" s="1"/>
      <c r="CA228" s="89"/>
      <c r="CB228" s="83"/>
      <c r="CC228" s="1"/>
      <c r="CD228" s="89"/>
      <c r="CE228" s="83"/>
      <c r="CF228" s="1"/>
      <c r="CG228" s="89"/>
      <c r="CH228" s="83"/>
      <c r="CI228" s="1"/>
      <c r="CJ228" s="89"/>
      <c r="CK228" s="83"/>
      <c r="CL228" s="1"/>
      <c r="CM228" s="89"/>
      <c r="CN228" s="83"/>
      <c r="CO228" s="1"/>
      <c r="CP228" s="89"/>
      <c r="CQ228" s="83"/>
      <c r="CR228" s="1"/>
      <c r="CS228" s="89"/>
      <c r="CT228" s="83"/>
      <c r="CU228" s="1"/>
      <c r="CV228" s="89"/>
      <c r="CW228" s="83"/>
      <c r="CX228" s="1"/>
      <c r="CY228" s="89"/>
    </row>
    <row r="229" spans="1:103" x14ac:dyDescent="0.3">
      <c r="A229" s="41">
        <v>2042</v>
      </c>
      <c r="B229" s="83"/>
      <c r="C229" s="1"/>
      <c r="D229" s="89"/>
      <c r="E229" s="1"/>
      <c r="F229" s="1"/>
      <c r="G229" s="89"/>
      <c r="H229" s="83"/>
      <c r="I229" s="1"/>
      <c r="J229" s="89"/>
      <c r="K229" s="83"/>
      <c r="L229" s="1"/>
      <c r="M229" s="89"/>
      <c r="N229" s="83"/>
      <c r="O229" s="1"/>
      <c r="P229" s="89"/>
      <c r="Q229" s="83"/>
      <c r="R229" s="1"/>
      <c r="S229" s="89"/>
      <c r="T229" s="83"/>
      <c r="U229" s="1"/>
      <c r="V229" s="89"/>
      <c r="W229" s="83"/>
      <c r="X229" s="1"/>
      <c r="Y229" s="89"/>
      <c r="Z229" s="83"/>
      <c r="AA229" s="1"/>
      <c r="AB229" s="89"/>
      <c r="AC229" s="83"/>
      <c r="AD229" s="1"/>
      <c r="AE229" s="89"/>
      <c r="AF229" s="83"/>
      <c r="AG229" s="1"/>
      <c r="AH229" s="89"/>
      <c r="AI229" s="83"/>
      <c r="AJ229" s="1"/>
      <c r="AK229" s="89"/>
      <c r="AL229" s="83"/>
      <c r="AM229" s="1"/>
      <c r="AN229" s="89"/>
      <c r="AO229" s="83"/>
      <c r="AP229" s="1"/>
      <c r="AQ229" s="89"/>
      <c r="AR229" s="83"/>
      <c r="AS229" s="1"/>
      <c r="AT229" s="89"/>
      <c r="AU229" s="83"/>
      <c r="AV229" s="1"/>
      <c r="AW229" s="89"/>
      <c r="AX229" s="83"/>
      <c r="AY229" s="1"/>
      <c r="AZ229" s="89"/>
      <c r="BA229" s="83"/>
      <c r="BB229" s="1"/>
      <c r="BC229" s="89"/>
      <c r="BD229" s="83"/>
      <c r="BE229" s="1"/>
      <c r="BF229" s="89"/>
      <c r="BG229" s="83"/>
      <c r="BH229" s="1"/>
      <c r="BI229" s="89"/>
      <c r="BJ229" s="83"/>
      <c r="BK229" s="1"/>
      <c r="BL229" s="89"/>
      <c r="BM229" s="83"/>
      <c r="BN229" s="1"/>
      <c r="BO229" s="89"/>
      <c r="BP229" s="83"/>
      <c r="BQ229" s="1"/>
      <c r="BR229" s="89"/>
      <c r="BS229" s="83"/>
      <c r="BT229" s="1"/>
      <c r="BU229" s="89"/>
      <c r="BV229" s="83"/>
      <c r="BW229" s="1"/>
      <c r="BX229" s="89"/>
      <c r="BY229" s="83"/>
      <c r="BZ229" s="1"/>
      <c r="CA229" s="89"/>
      <c r="CB229" s="83"/>
      <c r="CC229" s="1"/>
      <c r="CD229" s="89"/>
      <c r="CE229" s="83"/>
      <c r="CF229" s="1"/>
      <c r="CG229" s="89"/>
      <c r="CH229" s="83"/>
      <c r="CI229" s="1"/>
      <c r="CJ229" s="89"/>
      <c r="CK229" s="83"/>
      <c r="CL229" s="1"/>
      <c r="CM229" s="89"/>
      <c r="CN229" s="83"/>
      <c r="CO229" s="1"/>
      <c r="CP229" s="89"/>
      <c r="CQ229" s="83"/>
      <c r="CR229" s="1"/>
      <c r="CS229" s="89"/>
      <c r="CT229" s="83"/>
      <c r="CU229" s="1"/>
      <c r="CV229" s="89"/>
      <c r="CW229" s="83"/>
      <c r="CX229" s="1"/>
      <c r="CY229" s="89"/>
    </row>
    <row r="230" spans="1:103" x14ac:dyDescent="0.3">
      <c r="A230" s="41">
        <v>2043</v>
      </c>
      <c r="B230" s="83"/>
      <c r="C230" s="1"/>
      <c r="D230" s="89"/>
      <c r="E230" s="1"/>
      <c r="F230" s="1"/>
      <c r="G230" s="89"/>
      <c r="H230" s="83"/>
      <c r="I230" s="1"/>
      <c r="J230" s="89"/>
      <c r="K230" s="83"/>
      <c r="L230" s="1"/>
      <c r="M230" s="89"/>
      <c r="N230" s="83"/>
      <c r="O230" s="1"/>
      <c r="P230" s="89"/>
      <c r="Q230" s="83"/>
      <c r="R230" s="1"/>
      <c r="S230" s="89"/>
      <c r="T230" s="83"/>
      <c r="U230" s="1"/>
      <c r="V230" s="89"/>
      <c r="W230" s="83"/>
      <c r="X230" s="1"/>
      <c r="Y230" s="89"/>
      <c r="Z230" s="83"/>
      <c r="AA230" s="1"/>
      <c r="AB230" s="89"/>
      <c r="AC230" s="83"/>
      <c r="AD230" s="1"/>
      <c r="AE230" s="89"/>
      <c r="AF230" s="83"/>
      <c r="AG230" s="1"/>
      <c r="AH230" s="89"/>
      <c r="AI230" s="83"/>
      <c r="AJ230" s="1"/>
      <c r="AK230" s="89"/>
      <c r="AL230" s="83"/>
      <c r="AM230" s="1"/>
      <c r="AN230" s="89"/>
      <c r="AO230" s="83"/>
      <c r="AP230" s="1"/>
      <c r="AQ230" s="89"/>
      <c r="AR230" s="83"/>
      <c r="AS230" s="1"/>
      <c r="AT230" s="89"/>
      <c r="AU230" s="83"/>
      <c r="AV230" s="1"/>
      <c r="AW230" s="89"/>
      <c r="AX230" s="83"/>
      <c r="AY230" s="1"/>
      <c r="AZ230" s="89"/>
      <c r="BA230" s="83"/>
      <c r="BB230" s="1"/>
      <c r="BC230" s="89"/>
      <c r="BD230" s="83"/>
      <c r="BE230" s="1"/>
      <c r="BF230" s="89"/>
      <c r="BG230" s="83"/>
      <c r="BH230" s="1"/>
      <c r="BI230" s="89"/>
      <c r="BJ230" s="83"/>
      <c r="BK230" s="1"/>
      <c r="BL230" s="89"/>
      <c r="BM230" s="83"/>
      <c r="BN230" s="1"/>
      <c r="BO230" s="89"/>
      <c r="BP230" s="83"/>
      <c r="BQ230" s="1"/>
      <c r="BR230" s="89"/>
      <c r="BS230" s="83"/>
      <c r="BT230" s="1"/>
      <c r="BU230" s="89"/>
      <c r="BV230" s="83"/>
      <c r="BW230" s="1"/>
      <c r="BX230" s="89"/>
      <c r="BY230" s="83"/>
      <c r="BZ230" s="1"/>
      <c r="CA230" s="89"/>
      <c r="CB230" s="83"/>
      <c r="CC230" s="1"/>
      <c r="CD230" s="89"/>
      <c r="CE230" s="83"/>
      <c r="CF230" s="1"/>
      <c r="CG230" s="89"/>
      <c r="CH230" s="83"/>
      <c r="CI230" s="1"/>
      <c r="CJ230" s="89"/>
      <c r="CK230" s="83"/>
      <c r="CL230" s="1"/>
      <c r="CM230" s="89"/>
      <c r="CN230" s="83"/>
      <c r="CO230" s="1"/>
      <c r="CP230" s="89"/>
      <c r="CQ230" s="83"/>
      <c r="CR230" s="1"/>
      <c r="CS230" s="89"/>
      <c r="CT230" s="83"/>
      <c r="CU230" s="1"/>
      <c r="CV230" s="89"/>
      <c r="CW230" s="83"/>
      <c r="CX230" s="1"/>
      <c r="CY230" s="89"/>
    </row>
    <row r="231" spans="1:103" x14ac:dyDescent="0.3">
      <c r="A231" s="41">
        <v>2044</v>
      </c>
      <c r="B231" s="83"/>
      <c r="C231" s="1"/>
      <c r="D231" s="89"/>
      <c r="E231" s="1"/>
      <c r="F231" s="1"/>
      <c r="G231" s="89"/>
      <c r="H231" s="83"/>
      <c r="I231" s="1"/>
      <c r="J231" s="89"/>
      <c r="K231" s="83"/>
      <c r="L231" s="1"/>
      <c r="M231" s="89"/>
      <c r="N231" s="83"/>
      <c r="O231" s="1"/>
      <c r="P231" s="89"/>
      <c r="Q231" s="83"/>
      <c r="R231" s="1"/>
      <c r="S231" s="89"/>
      <c r="T231" s="83"/>
      <c r="U231" s="1"/>
      <c r="V231" s="89"/>
      <c r="W231" s="83"/>
      <c r="X231" s="1"/>
      <c r="Y231" s="89"/>
      <c r="Z231" s="83"/>
      <c r="AA231" s="1"/>
      <c r="AB231" s="89"/>
      <c r="AC231" s="83"/>
      <c r="AD231" s="1"/>
      <c r="AE231" s="89"/>
      <c r="AF231" s="83"/>
      <c r="AG231" s="1"/>
      <c r="AH231" s="89"/>
      <c r="AI231" s="83"/>
      <c r="AJ231" s="1"/>
      <c r="AK231" s="89"/>
      <c r="AL231" s="83"/>
      <c r="AM231" s="1"/>
      <c r="AN231" s="89"/>
      <c r="AO231" s="83"/>
      <c r="AP231" s="1"/>
      <c r="AQ231" s="89"/>
      <c r="AR231" s="83"/>
      <c r="AS231" s="1"/>
      <c r="AT231" s="89"/>
      <c r="AU231" s="83"/>
      <c r="AV231" s="1"/>
      <c r="AW231" s="89"/>
      <c r="AX231" s="83"/>
      <c r="AY231" s="1"/>
      <c r="AZ231" s="89"/>
      <c r="BA231" s="83"/>
      <c r="BB231" s="1"/>
      <c r="BC231" s="89"/>
      <c r="BD231" s="83"/>
      <c r="BE231" s="1"/>
      <c r="BF231" s="89"/>
      <c r="BG231" s="83"/>
      <c r="BH231" s="1"/>
      <c r="BI231" s="89"/>
      <c r="BJ231" s="83"/>
      <c r="BK231" s="1"/>
      <c r="BL231" s="89"/>
      <c r="BM231" s="83"/>
      <c r="BN231" s="1"/>
      <c r="BO231" s="89"/>
      <c r="BP231" s="83"/>
      <c r="BQ231" s="1"/>
      <c r="BR231" s="89"/>
      <c r="BS231" s="83"/>
      <c r="BT231" s="1"/>
      <c r="BU231" s="89"/>
      <c r="BV231" s="83"/>
      <c r="BW231" s="1"/>
      <c r="BX231" s="89"/>
      <c r="BY231" s="83"/>
      <c r="BZ231" s="1"/>
      <c r="CA231" s="89"/>
      <c r="CB231" s="83"/>
      <c r="CC231" s="1"/>
      <c r="CD231" s="89"/>
      <c r="CE231" s="83"/>
      <c r="CF231" s="1"/>
      <c r="CG231" s="89"/>
      <c r="CH231" s="83"/>
      <c r="CI231" s="1"/>
      <c r="CJ231" s="89"/>
      <c r="CK231" s="83"/>
      <c r="CL231" s="1"/>
      <c r="CM231" s="89"/>
      <c r="CN231" s="83"/>
      <c r="CO231" s="1"/>
      <c r="CP231" s="89"/>
      <c r="CQ231" s="83"/>
      <c r="CR231" s="1"/>
      <c r="CS231" s="89"/>
      <c r="CT231" s="83"/>
      <c r="CU231" s="1"/>
      <c r="CV231" s="89"/>
      <c r="CW231" s="83"/>
      <c r="CX231" s="1"/>
      <c r="CY231" s="89"/>
    </row>
    <row r="232" spans="1:103" x14ac:dyDescent="0.3">
      <c r="A232" s="41">
        <v>2045</v>
      </c>
      <c r="B232" s="83"/>
      <c r="C232" s="1"/>
      <c r="D232" s="89"/>
      <c r="E232" s="1"/>
      <c r="F232" s="1"/>
      <c r="G232" s="89"/>
      <c r="H232" s="83"/>
      <c r="I232" s="1"/>
      <c r="J232" s="89"/>
      <c r="K232" s="83"/>
      <c r="L232" s="1"/>
      <c r="M232" s="89"/>
      <c r="N232" s="83"/>
      <c r="O232" s="1"/>
      <c r="P232" s="89"/>
      <c r="Q232" s="83"/>
      <c r="R232" s="1"/>
      <c r="S232" s="89"/>
      <c r="T232" s="83"/>
      <c r="U232" s="1"/>
      <c r="V232" s="89"/>
      <c r="W232" s="83"/>
      <c r="X232" s="1"/>
      <c r="Y232" s="89"/>
      <c r="Z232" s="83"/>
      <c r="AA232" s="1"/>
      <c r="AB232" s="89"/>
      <c r="AC232" s="83"/>
      <c r="AD232" s="1"/>
      <c r="AE232" s="89"/>
      <c r="AF232" s="83"/>
      <c r="AG232" s="1"/>
      <c r="AH232" s="89"/>
      <c r="AI232" s="83"/>
      <c r="AJ232" s="1"/>
      <c r="AK232" s="89"/>
      <c r="AL232" s="83"/>
      <c r="AM232" s="1"/>
      <c r="AN232" s="89"/>
      <c r="AO232" s="83"/>
      <c r="AP232" s="1"/>
      <c r="AQ232" s="89"/>
      <c r="AR232" s="83"/>
      <c r="AS232" s="1"/>
      <c r="AT232" s="89"/>
      <c r="AU232" s="83"/>
      <c r="AV232" s="1"/>
      <c r="AW232" s="89"/>
      <c r="AX232" s="83"/>
      <c r="AY232" s="1"/>
      <c r="AZ232" s="89"/>
      <c r="BA232" s="83"/>
      <c r="BB232" s="1"/>
      <c r="BC232" s="89"/>
      <c r="BD232" s="83"/>
      <c r="BE232" s="1"/>
      <c r="BF232" s="89"/>
      <c r="BG232" s="83"/>
      <c r="BH232" s="1"/>
      <c r="BI232" s="89"/>
      <c r="BJ232" s="83"/>
      <c r="BK232" s="1"/>
      <c r="BL232" s="89"/>
      <c r="BM232" s="83"/>
      <c r="BN232" s="1"/>
      <c r="BO232" s="89"/>
      <c r="BP232" s="83"/>
      <c r="BQ232" s="1"/>
      <c r="BR232" s="89"/>
      <c r="BS232" s="83"/>
      <c r="BT232" s="1"/>
      <c r="BU232" s="89"/>
      <c r="BV232" s="83"/>
      <c r="BW232" s="1"/>
      <c r="BX232" s="89"/>
      <c r="BY232" s="83"/>
      <c r="BZ232" s="1"/>
      <c r="CA232" s="89"/>
      <c r="CB232" s="83"/>
      <c r="CC232" s="1"/>
      <c r="CD232" s="89"/>
      <c r="CE232" s="83"/>
      <c r="CF232" s="1"/>
      <c r="CG232" s="89"/>
      <c r="CH232" s="83"/>
      <c r="CI232" s="1"/>
      <c r="CJ232" s="89"/>
      <c r="CK232" s="83"/>
      <c r="CL232" s="1"/>
      <c r="CM232" s="89"/>
      <c r="CN232" s="83"/>
      <c r="CO232" s="1"/>
      <c r="CP232" s="89"/>
      <c r="CQ232" s="83"/>
      <c r="CR232" s="1"/>
      <c r="CS232" s="89"/>
      <c r="CT232" s="83"/>
      <c r="CU232" s="1"/>
      <c r="CV232" s="89"/>
      <c r="CW232" s="83"/>
      <c r="CX232" s="1"/>
      <c r="CY232" s="89"/>
    </row>
    <row r="233" spans="1:103" x14ac:dyDescent="0.3">
      <c r="A233" s="41">
        <v>2046</v>
      </c>
      <c r="B233" s="83"/>
      <c r="C233" s="1"/>
      <c r="D233" s="89"/>
      <c r="E233" s="1"/>
      <c r="F233" s="1"/>
      <c r="G233" s="89"/>
      <c r="H233" s="83"/>
      <c r="I233" s="1"/>
      <c r="J233" s="89"/>
      <c r="K233" s="83"/>
      <c r="L233" s="1"/>
      <c r="M233" s="89"/>
      <c r="N233" s="83"/>
      <c r="O233" s="1"/>
      <c r="P233" s="89"/>
      <c r="Q233" s="83"/>
      <c r="R233" s="1"/>
      <c r="S233" s="89"/>
      <c r="T233" s="83"/>
      <c r="U233" s="1"/>
      <c r="V233" s="89"/>
      <c r="W233" s="83"/>
      <c r="X233" s="1"/>
      <c r="Y233" s="89"/>
      <c r="Z233" s="83"/>
      <c r="AA233" s="1"/>
      <c r="AB233" s="89"/>
      <c r="AC233" s="83"/>
      <c r="AD233" s="1"/>
      <c r="AE233" s="89"/>
      <c r="AF233" s="83"/>
      <c r="AG233" s="1"/>
      <c r="AH233" s="89"/>
      <c r="AI233" s="83"/>
      <c r="AJ233" s="1"/>
      <c r="AK233" s="89"/>
      <c r="AL233" s="83"/>
      <c r="AM233" s="1"/>
      <c r="AN233" s="89"/>
      <c r="AO233" s="83"/>
      <c r="AP233" s="1"/>
      <c r="AQ233" s="89"/>
      <c r="AR233" s="83"/>
      <c r="AS233" s="1"/>
      <c r="AT233" s="89"/>
      <c r="AU233" s="83"/>
      <c r="AV233" s="1"/>
      <c r="AW233" s="89"/>
      <c r="AX233" s="83"/>
      <c r="AY233" s="1"/>
      <c r="AZ233" s="89"/>
      <c r="BA233" s="83"/>
      <c r="BB233" s="1"/>
      <c r="BC233" s="89"/>
      <c r="BD233" s="83"/>
      <c r="BE233" s="1"/>
      <c r="BF233" s="89"/>
      <c r="BG233" s="83"/>
      <c r="BH233" s="1"/>
      <c r="BI233" s="89"/>
      <c r="BJ233" s="83"/>
      <c r="BK233" s="1"/>
      <c r="BL233" s="89"/>
      <c r="BM233" s="83"/>
      <c r="BN233" s="1"/>
      <c r="BO233" s="89"/>
      <c r="BP233" s="83"/>
      <c r="BQ233" s="1"/>
      <c r="BR233" s="89"/>
      <c r="BS233" s="83"/>
      <c r="BT233" s="1"/>
      <c r="BU233" s="89"/>
      <c r="BV233" s="83"/>
      <c r="BW233" s="1"/>
      <c r="BX233" s="89"/>
      <c r="BY233" s="83"/>
      <c r="BZ233" s="1"/>
      <c r="CA233" s="89"/>
      <c r="CB233" s="83"/>
      <c r="CC233" s="1"/>
      <c r="CD233" s="89"/>
      <c r="CE233" s="83"/>
      <c r="CF233" s="1"/>
      <c r="CG233" s="89"/>
      <c r="CH233" s="83"/>
      <c r="CI233" s="1"/>
      <c r="CJ233" s="89"/>
      <c r="CK233" s="83"/>
      <c r="CL233" s="1"/>
      <c r="CM233" s="89"/>
      <c r="CN233" s="83"/>
      <c r="CO233" s="1"/>
      <c r="CP233" s="89"/>
      <c r="CQ233" s="83"/>
      <c r="CR233" s="1"/>
      <c r="CS233" s="89"/>
      <c r="CT233" s="83"/>
      <c r="CU233" s="1"/>
      <c r="CV233" s="89"/>
      <c r="CW233" s="83"/>
      <c r="CX233" s="1"/>
      <c r="CY233" s="89"/>
    </row>
    <row r="234" spans="1:103" x14ac:dyDescent="0.3">
      <c r="A234" s="41">
        <v>2047</v>
      </c>
      <c r="B234" s="83"/>
      <c r="C234" s="1"/>
      <c r="D234" s="89"/>
      <c r="E234" s="1"/>
      <c r="F234" s="1"/>
      <c r="G234" s="89"/>
      <c r="H234" s="83"/>
      <c r="I234" s="1"/>
      <c r="J234" s="89"/>
      <c r="K234" s="83"/>
      <c r="L234" s="1"/>
      <c r="M234" s="89"/>
      <c r="N234" s="83"/>
      <c r="O234" s="1"/>
      <c r="P234" s="89"/>
      <c r="Q234" s="83"/>
      <c r="R234" s="1"/>
      <c r="S234" s="89"/>
      <c r="T234" s="83"/>
      <c r="U234" s="1"/>
      <c r="V234" s="89"/>
      <c r="W234" s="83"/>
      <c r="X234" s="1"/>
      <c r="Y234" s="89"/>
      <c r="Z234" s="83"/>
      <c r="AA234" s="1"/>
      <c r="AB234" s="89"/>
      <c r="AC234" s="83"/>
      <c r="AD234" s="1"/>
      <c r="AE234" s="89"/>
      <c r="AF234" s="83"/>
      <c r="AG234" s="1"/>
      <c r="AH234" s="89"/>
      <c r="AI234" s="83"/>
      <c r="AJ234" s="1"/>
      <c r="AK234" s="89"/>
      <c r="AL234" s="83"/>
      <c r="AM234" s="1"/>
      <c r="AN234" s="89"/>
      <c r="AO234" s="83"/>
      <c r="AP234" s="1"/>
      <c r="AQ234" s="89"/>
      <c r="AR234" s="83"/>
      <c r="AS234" s="1"/>
      <c r="AT234" s="89"/>
      <c r="AU234" s="83"/>
      <c r="AV234" s="1"/>
      <c r="AW234" s="89"/>
      <c r="AX234" s="83"/>
      <c r="AY234" s="1"/>
      <c r="AZ234" s="89"/>
      <c r="BA234" s="83"/>
      <c r="BB234" s="1"/>
      <c r="BC234" s="89"/>
      <c r="BD234" s="83"/>
      <c r="BE234" s="1"/>
      <c r="BF234" s="89"/>
      <c r="BG234" s="83"/>
      <c r="BH234" s="1"/>
      <c r="BI234" s="89"/>
      <c r="BJ234" s="83"/>
      <c r="BK234" s="1"/>
      <c r="BL234" s="89"/>
      <c r="BM234" s="83"/>
      <c r="BN234" s="1"/>
      <c r="BO234" s="89"/>
      <c r="BP234" s="83"/>
      <c r="BQ234" s="1"/>
      <c r="BR234" s="89"/>
      <c r="BS234" s="83"/>
      <c r="BT234" s="1"/>
      <c r="BU234" s="89"/>
      <c r="BV234" s="83"/>
      <c r="BW234" s="1"/>
      <c r="BX234" s="89"/>
      <c r="BY234" s="83"/>
      <c r="BZ234" s="1"/>
      <c r="CA234" s="89"/>
      <c r="CB234" s="83"/>
      <c r="CC234" s="1"/>
      <c r="CD234" s="89"/>
      <c r="CE234" s="83"/>
      <c r="CF234" s="1"/>
      <c r="CG234" s="89"/>
      <c r="CH234" s="83"/>
      <c r="CI234" s="1"/>
      <c r="CJ234" s="89"/>
      <c r="CK234" s="83"/>
      <c r="CL234" s="1"/>
      <c r="CM234" s="89"/>
      <c r="CN234" s="83"/>
      <c r="CO234" s="1"/>
      <c r="CP234" s="89"/>
      <c r="CQ234" s="83"/>
      <c r="CR234" s="1"/>
      <c r="CS234" s="89"/>
      <c r="CT234" s="83"/>
      <c r="CU234" s="1"/>
      <c r="CV234" s="89"/>
      <c r="CW234" s="83"/>
      <c r="CX234" s="1"/>
      <c r="CY234" s="89"/>
    </row>
    <row r="235" spans="1:103" x14ac:dyDescent="0.3">
      <c r="A235" s="41">
        <v>2048</v>
      </c>
      <c r="B235" s="83"/>
      <c r="C235" s="1"/>
      <c r="D235" s="89"/>
      <c r="E235" s="1"/>
      <c r="F235" s="1"/>
      <c r="G235" s="89"/>
      <c r="H235" s="83"/>
      <c r="I235" s="1"/>
      <c r="J235" s="89"/>
      <c r="K235" s="83"/>
      <c r="L235" s="1"/>
      <c r="M235" s="89"/>
      <c r="N235" s="83"/>
      <c r="O235" s="1"/>
      <c r="P235" s="89"/>
      <c r="Q235" s="83"/>
      <c r="R235" s="1"/>
      <c r="S235" s="89"/>
      <c r="T235" s="83"/>
      <c r="U235" s="1"/>
      <c r="V235" s="89"/>
      <c r="W235" s="83"/>
      <c r="X235" s="1"/>
      <c r="Y235" s="89"/>
      <c r="Z235" s="83"/>
      <c r="AA235" s="1"/>
      <c r="AB235" s="89"/>
      <c r="AC235" s="83"/>
      <c r="AD235" s="1"/>
      <c r="AE235" s="89"/>
      <c r="AF235" s="83"/>
      <c r="AG235" s="1"/>
      <c r="AH235" s="89"/>
      <c r="AI235" s="83"/>
      <c r="AJ235" s="1"/>
      <c r="AK235" s="89"/>
      <c r="AL235" s="83"/>
      <c r="AM235" s="1"/>
      <c r="AN235" s="89"/>
      <c r="AO235" s="83"/>
      <c r="AP235" s="1"/>
      <c r="AQ235" s="89"/>
      <c r="AR235" s="83"/>
      <c r="AS235" s="1"/>
      <c r="AT235" s="89"/>
      <c r="AU235" s="83"/>
      <c r="AV235" s="1"/>
      <c r="AW235" s="89"/>
      <c r="AX235" s="83"/>
      <c r="AY235" s="1"/>
      <c r="AZ235" s="89"/>
      <c r="BA235" s="83"/>
      <c r="BB235" s="1"/>
      <c r="BC235" s="89"/>
      <c r="BD235" s="83"/>
      <c r="BE235" s="1"/>
      <c r="BF235" s="89"/>
      <c r="BG235" s="83"/>
      <c r="BH235" s="1"/>
      <c r="BI235" s="89"/>
      <c r="BJ235" s="83"/>
      <c r="BK235" s="1"/>
      <c r="BL235" s="89"/>
      <c r="BM235" s="83"/>
      <c r="BN235" s="1"/>
      <c r="BO235" s="89"/>
      <c r="BP235" s="83"/>
      <c r="BQ235" s="1"/>
      <c r="BR235" s="89"/>
      <c r="BS235" s="83"/>
      <c r="BT235" s="1"/>
      <c r="BU235" s="89"/>
      <c r="BV235" s="83"/>
      <c r="BW235" s="1"/>
      <c r="BX235" s="89"/>
      <c r="BY235" s="83"/>
      <c r="BZ235" s="1"/>
      <c r="CA235" s="89"/>
      <c r="CB235" s="83"/>
      <c r="CC235" s="1"/>
      <c r="CD235" s="89"/>
      <c r="CE235" s="83"/>
      <c r="CF235" s="1"/>
      <c r="CG235" s="89"/>
      <c r="CH235" s="83"/>
      <c r="CI235" s="1"/>
      <c r="CJ235" s="89"/>
      <c r="CK235" s="83"/>
      <c r="CL235" s="1"/>
      <c r="CM235" s="89"/>
      <c r="CN235" s="83"/>
      <c r="CO235" s="1"/>
      <c r="CP235" s="89"/>
      <c r="CQ235" s="83"/>
      <c r="CR235" s="1"/>
      <c r="CS235" s="89"/>
      <c r="CT235" s="83"/>
      <c r="CU235" s="1"/>
      <c r="CV235" s="89"/>
      <c r="CW235" s="83"/>
      <c r="CX235" s="1"/>
      <c r="CY235" s="89"/>
    </row>
    <row r="236" spans="1:103" x14ac:dyDescent="0.3">
      <c r="A236" s="41">
        <v>2049</v>
      </c>
      <c r="B236" s="83"/>
      <c r="C236" s="1"/>
      <c r="D236" s="89"/>
      <c r="E236" s="1"/>
      <c r="F236" s="1"/>
      <c r="G236" s="89"/>
      <c r="H236" s="83"/>
      <c r="I236" s="1"/>
      <c r="J236" s="89"/>
      <c r="K236" s="83"/>
      <c r="L236" s="1"/>
      <c r="M236" s="89"/>
      <c r="N236" s="83"/>
      <c r="O236" s="1"/>
      <c r="P236" s="89"/>
      <c r="Q236" s="83"/>
      <c r="R236" s="1"/>
      <c r="S236" s="89"/>
      <c r="T236" s="83"/>
      <c r="U236" s="1"/>
      <c r="V236" s="89"/>
      <c r="W236" s="83"/>
      <c r="X236" s="1"/>
      <c r="Y236" s="89"/>
      <c r="Z236" s="83"/>
      <c r="AA236" s="1"/>
      <c r="AB236" s="89"/>
      <c r="AC236" s="83"/>
      <c r="AD236" s="1"/>
      <c r="AE236" s="89"/>
      <c r="AF236" s="83"/>
      <c r="AG236" s="1"/>
      <c r="AH236" s="89"/>
      <c r="AI236" s="83"/>
      <c r="AJ236" s="1"/>
      <c r="AK236" s="89"/>
      <c r="AL236" s="83"/>
      <c r="AM236" s="1"/>
      <c r="AN236" s="89"/>
      <c r="AO236" s="83"/>
      <c r="AP236" s="1"/>
      <c r="AQ236" s="89"/>
      <c r="AR236" s="83"/>
      <c r="AS236" s="1"/>
      <c r="AT236" s="89"/>
      <c r="AU236" s="83"/>
      <c r="AV236" s="1"/>
      <c r="AW236" s="89"/>
      <c r="AX236" s="83"/>
      <c r="AY236" s="1"/>
      <c r="AZ236" s="89"/>
      <c r="BA236" s="83"/>
      <c r="BB236" s="1"/>
      <c r="BC236" s="89"/>
      <c r="BD236" s="83"/>
      <c r="BE236" s="1"/>
      <c r="BF236" s="89"/>
      <c r="BG236" s="83"/>
      <c r="BH236" s="1"/>
      <c r="BI236" s="89"/>
      <c r="BJ236" s="83"/>
      <c r="BK236" s="1"/>
      <c r="BL236" s="89"/>
      <c r="BM236" s="83"/>
      <c r="BN236" s="1"/>
      <c r="BO236" s="89"/>
      <c r="BP236" s="83"/>
      <c r="BQ236" s="1"/>
      <c r="BR236" s="89"/>
      <c r="BS236" s="83"/>
      <c r="BT236" s="1"/>
      <c r="BU236" s="89"/>
      <c r="BV236" s="83"/>
      <c r="BW236" s="1"/>
      <c r="BX236" s="89"/>
      <c r="BY236" s="83"/>
      <c r="BZ236" s="1"/>
      <c r="CA236" s="89"/>
      <c r="CB236" s="83"/>
      <c r="CC236" s="1"/>
      <c r="CD236" s="89"/>
      <c r="CE236" s="83"/>
      <c r="CF236" s="1"/>
      <c r="CG236" s="89"/>
      <c r="CH236" s="83"/>
      <c r="CI236" s="1"/>
      <c r="CJ236" s="89"/>
      <c r="CK236" s="83"/>
      <c r="CL236" s="1"/>
      <c r="CM236" s="89"/>
      <c r="CN236" s="83"/>
      <c r="CO236" s="1"/>
      <c r="CP236" s="89"/>
      <c r="CQ236" s="83"/>
      <c r="CR236" s="1"/>
      <c r="CS236" s="89"/>
      <c r="CT236" s="83"/>
      <c r="CU236" s="1"/>
      <c r="CV236" s="89"/>
      <c r="CW236" s="83"/>
      <c r="CX236" s="1"/>
      <c r="CY236" s="89"/>
    </row>
    <row r="237" spans="1:103" ht="15" thickBot="1" x14ac:dyDescent="0.35">
      <c r="A237" s="42">
        <v>2050</v>
      </c>
      <c r="B237" s="90"/>
      <c r="C237" s="91"/>
      <c r="D237" s="92"/>
      <c r="E237" s="91"/>
      <c r="F237" s="91"/>
      <c r="G237" s="92"/>
      <c r="H237" s="90"/>
      <c r="I237" s="91"/>
      <c r="J237" s="92"/>
      <c r="K237" s="90"/>
      <c r="L237" s="91"/>
      <c r="M237" s="92"/>
      <c r="N237" s="90"/>
      <c r="O237" s="91"/>
      <c r="P237" s="92"/>
      <c r="Q237" s="90"/>
      <c r="R237" s="91"/>
      <c r="S237" s="92"/>
      <c r="T237" s="90"/>
      <c r="U237" s="91"/>
      <c r="V237" s="92"/>
      <c r="W237" s="90"/>
      <c r="X237" s="91"/>
      <c r="Y237" s="92"/>
      <c r="Z237" s="90"/>
      <c r="AA237" s="91"/>
      <c r="AB237" s="92"/>
      <c r="AC237" s="90"/>
      <c r="AD237" s="91"/>
      <c r="AE237" s="92"/>
      <c r="AF237" s="90"/>
      <c r="AG237" s="91"/>
      <c r="AH237" s="92"/>
      <c r="AI237" s="90"/>
      <c r="AJ237" s="91"/>
      <c r="AK237" s="92"/>
      <c r="AL237" s="90"/>
      <c r="AM237" s="91"/>
      <c r="AN237" s="92"/>
      <c r="AO237" s="90"/>
      <c r="AP237" s="91"/>
      <c r="AQ237" s="92"/>
      <c r="AR237" s="90"/>
      <c r="AS237" s="91"/>
      <c r="AT237" s="92"/>
      <c r="AU237" s="90"/>
      <c r="AV237" s="91"/>
      <c r="AW237" s="92"/>
      <c r="AX237" s="90"/>
      <c r="AY237" s="91"/>
      <c r="AZ237" s="92"/>
      <c r="BA237" s="90"/>
      <c r="BB237" s="91"/>
      <c r="BC237" s="92"/>
      <c r="BD237" s="90"/>
      <c r="BE237" s="91"/>
      <c r="BF237" s="92"/>
      <c r="BG237" s="90"/>
      <c r="BH237" s="91"/>
      <c r="BI237" s="92"/>
      <c r="BJ237" s="90"/>
      <c r="BK237" s="91"/>
      <c r="BL237" s="92"/>
      <c r="BM237" s="90">
        <v>1756.8</v>
      </c>
      <c r="BN237" s="91">
        <v>1939.8</v>
      </c>
      <c r="BO237" s="92">
        <v>2342.4</v>
      </c>
      <c r="BP237" s="90">
        <v>1537.2</v>
      </c>
      <c r="BQ237" s="91">
        <v>1707.9999999999998</v>
      </c>
      <c r="BR237" s="92">
        <v>2049.6</v>
      </c>
      <c r="BS237" s="90">
        <v>1488.3999999999999</v>
      </c>
      <c r="BT237" s="91">
        <v>1677.5</v>
      </c>
      <c r="BU237" s="92">
        <v>2025.2</v>
      </c>
      <c r="BV237" s="90">
        <v>1439.6</v>
      </c>
      <c r="BW237" s="91">
        <v>1549.4</v>
      </c>
      <c r="BX237" s="92">
        <v>1805.6</v>
      </c>
      <c r="BY237" s="90">
        <v>1586</v>
      </c>
      <c r="BZ237" s="91">
        <v>1830</v>
      </c>
      <c r="CA237" s="92">
        <v>2220.4</v>
      </c>
      <c r="CB237" s="90">
        <v>1390.8</v>
      </c>
      <c r="CC237" s="91">
        <v>1610.3999999999999</v>
      </c>
      <c r="CD237" s="92">
        <v>1976.3999999999999</v>
      </c>
      <c r="CE237" s="90">
        <v>1317.6</v>
      </c>
      <c r="CF237" s="91">
        <v>1506.7</v>
      </c>
      <c r="CG237" s="92">
        <v>1830</v>
      </c>
      <c r="CH237" s="90">
        <v>1476.8</v>
      </c>
      <c r="CI237" s="91">
        <v>1705.6000000000001</v>
      </c>
      <c r="CJ237" s="92">
        <v>1976</v>
      </c>
      <c r="CK237" s="90">
        <v>1331.2</v>
      </c>
      <c r="CL237" s="91">
        <v>1528.8</v>
      </c>
      <c r="CM237" s="92">
        <v>1788.8</v>
      </c>
      <c r="CN237" s="90">
        <v>1268.8</v>
      </c>
      <c r="CO237" s="91">
        <v>1461.2</v>
      </c>
      <c r="CP237" s="92">
        <v>1705.6000000000001</v>
      </c>
      <c r="CQ237" s="90">
        <v>1260</v>
      </c>
      <c r="CR237" s="91">
        <v>1565</v>
      </c>
      <c r="CS237" s="92">
        <v>1980</v>
      </c>
      <c r="CT237" s="90">
        <v>1140</v>
      </c>
      <c r="CU237" s="91">
        <v>1415</v>
      </c>
      <c r="CV237" s="92">
        <v>1800</v>
      </c>
      <c r="CW237" s="90">
        <v>1100</v>
      </c>
      <c r="CX237" s="91">
        <v>1360</v>
      </c>
      <c r="CY237" s="92">
        <v>1740</v>
      </c>
    </row>
    <row r="238" spans="1:103" ht="15" thickBot="1" x14ac:dyDescent="0.35"/>
    <row r="239" spans="1:103" ht="18.600000000000001" thickBot="1" x14ac:dyDescent="0.4">
      <c r="A239" s="289" t="s">
        <v>0</v>
      </c>
      <c r="B239" s="348" t="s">
        <v>114</v>
      </c>
      <c r="C239" s="349"/>
      <c r="D239" s="349"/>
      <c r="E239" s="349"/>
      <c r="F239" s="349"/>
      <c r="G239" s="349"/>
      <c r="H239" s="349"/>
      <c r="I239" s="349"/>
      <c r="J239" s="349"/>
      <c r="K239" s="349"/>
      <c r="L239" s="349"/>
      <c r="M239" s="349"/>
      <c r="N239" s="349"/>
      <c r="O239" s="349"/>
      <c r="P239" s="349"/>
      <c r="Q239" s="349"/>
      <c r="R239" s="349"/>
      <c r="S239" s="349"/>
      <c r="T239" s="349"/>
      <c r="U239" s="349"/>
      <c r="V239" s="349"/>
      <c r="W239" s="349"/>
      <c r="X239" s="349"/>
      <c r="Y239" s="349"/>
      <c r="Z239" s="349"/>
      <c r="AA239" s="349"/>
      <c r="AB239" s="349"/>
      <c r="AC239" s="349"/>
      <c r="AD239" s="349"/>
      <c r="AE239" s="349"/>
      <c r="AF239" s="349"/>
      <c r="AG239" s="349"/>
      <c r="AH239" s="349"/>
      <c r="AI239" s="349"/>
      <c r="AJ239" s="349"/>
      <c r="AK239" s="349"/>
      <c r="AL239" s="349"/>
      <c r="AM239" s="349"/>
      <c r="AN239" s="349"/>
      <c r="AO239" s="349"/>
      <c r="AP239" s="349"/>
      <c r="AQ239" s="349"/>
      <c r="AR239" s="349"/>
      <c r="AS239" s="349"/>
      <c r="AT239" s="349"/>
      <c r="AU239" s="349"/>
      <c r="AV239" s="349"/>
      <c r="AW239" s="349"/>
      <c r="AX239" s="349"/>
      <c r="AY239" s="349"/>
      <c r="AZ239" s="371"/>
    </row>
    <row r="240" spans="1:103" ht="18.600000000000001" thickBot="1" x14ac:dyDescent="0.35">
      <c r="A240" s="344"/>
      <c r="B240" s="316" t="s">
        <v>355</v>
      </c>
      <c r="C240" s="317"/>
      <c r="D240" s="318"/>
      <c r="E240" s="316" t="s">
        <v>356</v>
      </c>
      <c r="F240" s="317"/>
      <c r="G240" s="318"/>
      <c r="H240" s="316" t="s">
        <v>357</v>
      </c>
      <c r="I240" s="317"/>
      <c r="J240" s="318"/>
      <c r="K240" s="316" t="s">
        <v>358</v>
      </c>
      <c r="L240" s="317"/>
      <c r="M240" s="318"/>
      <c r="N240" s="316" t="s">
        <v>359</v>
      </c>
      <c r="O240" s="317"/>
      <c r="P240" s="318"/>
      <c r="Q240" s="316" t="s">
        <v>360</v>
      </c>
      <c r="R240" s="317"/>
      <c r="S240" s="318"/>
      <c r="T240" s="316" t="s">
        <v>361</v>
      </c>
      <c r="U240" s="317"/>
      <c r="V240" s="318"/>
      <c r="W240" s="316" t="s">
        <v>362</v>
      </c>
      <c r="X240" s="317"/>
      <c r="Y240" s="318"/>
      <c r="Z240" s="316" t="s">
        <v>363</v>
      </c>
      <c r="AA240" s="317"/>
      <c r="AB240" s="318"/>
      <c r="AC240" s="316" t="s">
        <v>364</v>
      </c>
      <c r="AD240" s="317"/>
      <c r="AE240" s="318"/>
      <c r="AF240" s="316" t="s">
        <v>365</v>
      </c>
      <c r="AG240" s="317"/>
      <c r="AH240" s="318"/>
      <c r="AI240" s="316" t="s">
        <v>366</v>
      </c>
      <c r="AJ240" s="317"/>
      <c r="AK240" s="318"/>
      <c r="AL240" s="316" t="s">
        <v>367</v>
      </c>
      <c r="AM240" s="317"/>
      <c r="AN240" s="318"/>
      <c r="AO240" s="316" t="s">
        <v>368</v>
      </c>
      <c r="AP240" s="317"/>
      <c r="AQ240" s="318"/>
      <c r="AR240" s="316" t="s">
        <v>369</v>
      </c>
      <c r="AS240" s="317"/>
      <c r="AT240" s="318"/>
      <c r="AU240" s="316" t="s">
        <v>370</v>
      </c>
      <c r="AV240" s="317"/>
      <c r="AW240" s="318"/>
      <c r="AX240" s="316" t="s">
        <v>371</v>
      </c>
      <c r="AY240" s="317"/>
      <c r="AZ240" s="318"/>
    </row>
    <row r="241" spans="1:52" ht="15" thickBot="1" x14ac:dyDescent="0.35">
      <c r="A241" s="290"/>
      <c r="B241" s="84" t="s">
        <v>18</v>
      </c>
      <c r="C241" s="85" t="s">
        <v>19</v>
      </c>
      <c r="D241" s="86" t="s">
        <v>20</v>
      </c>
      <c r="E241" s="84" t="s">
        <v>18</v>
      </c>
      <c r="F241" s="85" t="s">
        <v>19</v>
      </c>
      <c r="G241" s="86" t="s">
        <v>20</v>
      </c>
      <c r="H241" s="84" t="s">
        <v>18</v>
      </c>
      <c r="I241" s="85" t="s">
        <v>19</v>
      </c>
      <c r="J241" s="86" t="s">
        <v>20</v>
      </c>
      <c r="K241" s="84" t="s">
        <v>18</v>
      </c>
      <c r="L241" s="85" t="s">
        <v>19</v>
      </c>
      <c r="M241" s="86" t="s">
        <v>20</v>
      </c>
      <c r="N241" s="84" t="s">
        <v>18</v>
      </c>
      <c r="O241" s="85" t="s">
        <v>19</v>
      </c>
      <c r="P241" s="86" t="s">
        <v>20</v>
      </c>
      <c r="Q241" s="84" t="s">
        <v>18</v>
      </c>
      <c r="R241" s="85" t="s">
        <v>19</v>
      </c>
      <c r="S241" s="86" t="s">
        <v>20</v>
      </c>
      <c r="T241" s="84" t="s">
        <v>18</v>
      </c>
      <c r="U241" s="85" t="s">
        <v>19</v>
      </c>
      <c r="V241" s="86" t="s">
        <v>20</v>
      </c>
      <c r="W241" s="84" t="s">
        <v>18</v>
      </c>
      <c r="X241" s="85" t="s">
        <v>19</v>
      </c>
      <c r="Y241" s="86" t="s">
        <v>20</v>
      </c>
      <c r="Z241" s="84" t="s">
        <v>18</v>
      </c>
      <c r="AA241" s="85" t="s">
        <v>19</v>
      </c>
      <c r="AB241" s="86" t="s">
        <v>20</v>
      </c>
      <c r="AC241" s="84" t="s">
        <v>18</v>
      </c>
      <c r="AD241" s="85" t="s">
        <v>19</v>
      </c>
      <c r="AE241" s="86" t="s">
        <v>20</v>
      </c>
      <c r="AF241" s="84" t="s">
        <v>18</v>
      </c>
      <c r="AG241" s="85" t="s">
        <v>19</v>
      </c>
      <c r="AH241" s="86" t="s">
        <v>20</v>
      </c>
      <c r="AI241" s="84" t="s">
        <v>18</v>
      </c>
      <c r="AJ241" s="85" t="s">
        <v>19</v>
      </c>
      <c r="AK241" s="86" t="s">
        <v>20</v>
      </c>
      <c r="AL241" s="84" t="s">
        <v>18</v>
      </c>
      <c r="AM241" s="85" t="s">
        <v>19</v>
      </c>
      <c r="AN241" s="86" t="s">
        <v>20</v>
      </c>
      <c r="AO241" s="84" t="s">
        <v>18</v>
      </c>
      <c r="AP241" s="85" t="s">
        <v>19</v>
      </c>
      <c r="AQ241" s="86" t="s">
        <v>20</v>
      </c>
      <c r="AR241" s="84" t="s">
        <v>18</v>
      </c>
      <c r="AS241" s="85" t="s">
        <v>19</v>
      </c>
      <c r="AT241" s="86" t="s">
        <v>20</v>
      </c>
      <c r="AU241" s="84" t="s">
        <v>18</v>
      </c>
      <c r="AV241" s="85" t="s">
        <v>19</v>
      </c>
      <c r="AW241" s="86" t="s">
        <v>20</v>
      </c>
      <c r="AX241" s="84" t="s">
        <v>18</v>
      </c>
      <c r="AY241" s="85" t="s">
        <v>19</v>
      </c>
      <c r="AZ241" s="86" t="s">
        <v>20</v>
      </c>
    </row>
    <row r="242" spans="1:52" x14ac:dyDescent="0.3">
      <c r="A242" s="41">
        <v>2017</v>
      </c>
      <c r="B242" s="83">
        <v>193.5</v>
      </c>
      <c r="C242" s="1">
        <v>219.3</v>
      </c>
      <c r="D242" s="89">
        <v>245.1</v>
      </c>
      <c r="E242" s="83"/>
      <c r="F242" s="1"/>
      <c r="G242" s="89"/>
      <c r="H242" s="83"/>
      <c r="I242" s="1"/>
      <c r="J242" s="89"/>
      <c r="K242" s="83"/>
      <c r="L242" s="1"/>
      <c r="M242" s="89"/>
      <c r="N242" s="83"/>
      <c r="O242" s="1"/>
      <c r="P242" s="89"/>
      <c r="Q242" s="83"/>
      <c r="R242" s="1"/>
      <c r="S242" s="89"/>
      <c r="T242" s="83"/>
      <c r="U242" s="1"/>
      <c r="V242" s="89"/>
      <c r="W242" s="83"/>
      <c r="X242" s="1"/>
      <c r="Y242" s="89"/>
      <c r="Z242" s="83"/>
      <c r="AA242" s="1"/>
      <c r="AB242" s="89"/>
      <c r="AC242" s="83"/>
      <c r="AD242" s="1"/>
      <c r="AE242" s="89"/>
      <c r="AF242" s="83"/>
      <c r="AG242" s="1"/>
      <c r="AH242" s="89"/>
      <c r="AI242" s="83"/>
      <c r="AJ242" s="1"/>
      <c r="AK242" s="89"/>
      <c r="AL242" s="83"/>
      <c r="AM242" s="1"/>
      <c r="AN242" s="89"/>
      <c r="AO242" s="83"/>
      <c r="AP242" s="1"/>
      <c r="AQ242" s="89"/>
      <c r="AR242" s="83"/>
      <c r="AS242" s="1"/>
      <c r="AT242" s="89"/>
      <c r="AU242" s="83"/>
      <c r="AV242" s="1"/>
      <c r="AW242" s="89"/>
      <c r="AX242" s="83"/>
      <c r="AY242" s="1"/>
      <c r="AZ242" s="89"/>
    </row>
    <row r="243" spans="1:52" x14ac:dyDescent="0.3">
      <c r="A243" s="41">
        <v>2018</v>
      </c>
      <c r="B243" s="83"/>
      <c r="C243" s="1"/>
      <c r="D243" s="89"/>
      <c r="E243" s="83">
        <v>151.19999999999999</v>
      </c>
      <c r="F243" s="1">
        <v>170.1</v>
      </c>
      <c r="G243" s="89">
        <v>189</v>
      </c>
      <c r="H243" s="83"/>
      <c r="I243" s="1"/>
      <c r="J243" s="89"/>
      <c r="K243" s="83"/>
      <c r="L243" s="1"/>
      <c r="M243" s="89"/>
      <c r="N243" s="83"/>
      <c r="O243" s="1"/>
      <c r="P243" s="89"/>
      <c r="Q243" s="83"/>
      <c r="R243" s="1"/>
      <c r="S243" s="89"/>
      <c r="T243" s="83"/>
      <c r="U243" s="1"/>
      <c r="V243" s="89"/>
      <c r="W243" s="83"/>
      <c r="X243" s="1"/>
      <c r="Y243" s="89"/>
      <c r="Z243" s="83"/>
      <c r="AA243" s="1"/>
      <c r="AB243" s="89"/>
      <c r="AC243" s="83"/>
      <c r="AD243" s="1"/>
      <c r="AE243" s="89"/>
      <c r="AF243" s="83"/>
      <c r="AG243" s="1"/>
      <c r="AH243" s="89"/>
      <c r="AI243" s="83"/>
      <c r="AJ243" s="1"/>
      <c r="AK243" s="89"/>
      <c r="AL243" s="83"/>
      <c r="AM243" s="1"/>
      <c r="AN243" s="89"/>
      <c r="AO243" s="83"/>
      <c r="AP243" s="1"/>
      <c r="AQ243" s="89"/>
      <c r="AR243" s="83"/>
      <c r="AS243" s="1"/>
      <c r="AT243" s="89"/>
      <c r="AU243" s="83"/>
      <c r="AV243" s="1"/>
      <c r="AW243" s="89"/>
      <c r="AX243" s="83"/>
      <c r="AY243" s="1"/>
      <c r="AZ243" s="89"/>
    </row>
    <row r="244" spans="1:52" x14ac:dyDescent="0.3">
      <c r="A244" s="41">
        <v>2019</v>
      </c>
      <c r="B244" s="83"/>
      <c r="C244" s="1"/>
      <c r="D244" s="89"/>
      <c r="E244" s="83"/>
      <c r="F244" s="1"/>
      <c r="G244" s="89"/>
      <c r="H244" s="83">
        <v>100.8</v>
      </c>
      <c r="I244" s="1">
        <v>132.30000000000001</v>
      </c>
      <c r="J244" s="89">
        <v>163.80000000000001</v>
      </c>
      <c r="K244" s="83">
        <v>94.5</v>
      </c>
      <c r="L244" s="1">
        <v>129.15</v>
      </c>
      <c r="M244" s="89">
        <v>163.80000000000001</v>
      </c>
      <c r="N244" s="83"/>
      <c r="O244" s="1"/>
      <c r="P244" s="89"/>
      <c r="Q244" s="83"/>
      <c r="R244" s="1"/>
      <c r="S244" s="89"/>
      <c r="T244" s="83"/>
      <c r="U244" s="1"/>
      <c r="V244" s="89"/>
      <c r="W244" s="83"/>
      <c r="X244" s="1"/>
      <c r="Y244" s="89"/>
      <c r="Z244" s="83"/>
      <c r="AA244" s="1"/>
      <c r="AB244" s="89"/>
      <c r="AC244" s="83"/>
      <c r="AD244" s="1"/>
      <c r="AE244" s="89"/>
      <c r="AF244" s="83"/>
      <c r="AG244" s="1"/>
      <c r="AH244" s="89"/>
      <c r="AI244" s="83"/>
      <c r="AJ244" s="1"/>
      <c r="AK244" s="89"/>
      <c r="AL244" s="83"/>
      <c r="AM244" s="1"/>
      <c r="AN244" s="89"/>
      <c r="AO244" s="83"/>
      <c r="AP244" s="1"/>
      <c r="AQ244" s="89"/>
      <c r="AR244" s="83"/>
      <c r="AS244" s="1"/>
      <c r="AT244" s="89"/>
      <c r="AU244" s="83"/>
      <c r="AV244" s="1"/>
      <c r="AW244" s="89"/>
      <c r="AX244" s="83"/>
      <c r="AY244" s="1"/>
      <c r="AZ244" s="89"/>
    </row>
    <row r="245" spans="1:52" x14ac:dyDescent="0.3">
      <c r="A245" s="41">
        <v>2020</v>
      </c>
      <c r="B245" s="83"/>
      <c r="C245" s="1"/>
      <c r="D245" s="89"/>
      <c r="E245" s="83"/>
      <c r="F245" s="1"/>
      <c r="G245" s="89"/>
      <c r="H245" s="83"/>
      <c r="I245" s="1"/>
      <c r="J245" s="89"/>
      <c r="K245" s="83"/>
      <c r="L245" s="1"/>
      <c r="M245" s="89"/>
      <c r="N245" s="83">
        <v>91.5</v>
      </c>
      <c r="O245" s="1">
        <v>128.1</v>
      </c>
      <c r="P245" s="89">
        <v>164.7</v>
      </c>
      <c r="Q245" s="83">
        <v>91.5</v>
      </c>
      <c r="R245" s="1">
        <v>128.1</v>
      </c>
      <c r="S245" s="89">
        <v>164.7</v>
      </c>
      <c r="T245" s="83">
        <v>91.5</v>
      </c>
      <c r="U245" s="1">
        <v>128.1</v>
      </c>
      <c r="V245" s="89">
        <v>164.7</v>
      </c>
      <c r="W245" s="83">
        <v>91.5</v>
      </c>
      <c r="X245" s="1">
        <v>125.05</v>
      </c>
      <c r="Y245" s="89">
        <v>158.6</v>
      </c>
      <c r="Z245" s="83"/>
      <c r="AA245" s="1"/>
      <c r="AB245" s="89"/>
      <c r="AC245" s="83"/>
      <c r="AD245" s="1"/>
      <c r="AE245" s="89"/>
      <c r="AF245" s="83"/>
      <c r="AG245" s="1"/>
      <c r="AH245" s="89"/>
      <c r="AI245" s="83"/>
      <c r="AJ245" s="1"/>
      <c r="AK245" s="89"/>
      <c r="AL245" s="83"/>
      <c r="AM245" s="1"/>
      <c r="AN245" s="89"/>
      <c r="AO245" s="83"/>
      <c r="AP245" s="1"/>
      <c r="AQ245" s="89"/>
      <c r="AR245" s="83"/>
      <c r="AS245" s="1"/>
      <c r="AT245" s="89"/>
      <c r="AU245" s="83"/>
      <c r="AV245" s="1"/>
      <c r="AW245" s="89"/>
      <c r="AX245" s="83"/>
      <c r="AY245" s="1"/>
      <c r="AZ245" s="89"/>
    </row>
    <row r="246" spans="1:52" x14ac:dyDescent="0.3">
      <c r="A246" s="41">
        <v>2021</v>
      </c>
      <c r="B246" s="83"/>
      <c r="C246" s="1"/>
      <c r="D246" s="89"/>
      <c r="E246" s="83"/>
      <c r="F246" s="1"/>
      <c r="G246" s="89"/>
      <c r="H246" s="83"/>
      <c r="I246" s="1"/>
      <c r="J246" s="89"/>
      <c r="K246" s="83"/>
      <c r="L246" s="1"/>
      <c r="M246" s="89"/>
      <c r="N246" s="83"/>
      <c r="O246" s="1"/>
      <c r="P246" s="89"/>
      <c r="Q246" s="83"/>
      <c r="R246" s="1"/>
      <c r="S246" s="89"/>
      <c r="T246" s="83"/>
      <c r="U246" s="1"/>
      <c r="V246" s="89"/>
      <c r="W246" s="83"/>
      <c r="X246" s="1"/>
      <c r="Y246" s="89"/>
      <c r="Z246" s="83">
        <v>73.2</v>
      </c>
      <c r="AA246" s="1">
        <v>109.80000000000001</v>
      </c>
      <c r="AB246" s="89">
        <v>146.4</v>
      </c>
      <c r="AC246" s="83">
        <v>73.2</v>
      </c>
      <c r="AD246" s="1">
        <v>109.80000000000001</v>
      </c>
      <c r="AE246" s="89">
        <v>146.4</v>
      </c>
      <c r="AF246" s="83">
        <v>73.2</v>
      </c>
      <c r="AG246" s="1">
        <v>109.80000000000001</v>
      </c>
      <c r="AH246" s="89">
        <v>146.4</v>
      </c>
      <c r="AI246" s="83"/>
      <c r="AJ246" s="1"/>
      <c r="AK246" s="89"/>
      <c r="AL246" s="83"/>
      <c r="AM246" s="1"/>
      <c r="AN246" s="89"/>
      <c r="AO246" s="83"/>
      <c r="AP246" s="1"/>
      <c r="AQ246" s="89"/>
      <c r="AR246" s="83"/>
      <c r="AS246" s="1"/>
      <c r="AT246" s="89"/>
      <c r="AU246" s="83"/>
      <c r="AV246" s="1"/>
      <c r="AW246" s="89"/>
      <c r="AX246" s="83"/>
      <c r="AY246" s="1"/>
      <c r="AZ246" s="89"/>
    </row>
    <row r="247" spans="1:52" x14ac:dyDescent="0.3">
      <c r="A247" s="41">
        <v>2022</v>
      </c>
      <c r="B247" s="83"/>
      <c r="C247" s="1"/>
      <c r="D247" s="89"/>
      <c r="E247" s="83"/>
      <c r="F247" s="1"/>
      <c r="G247" s="89"/>
      <c r="H247" s="83"/>
      <c r="I247" s="1"/>
      <c r="J247" s="89"/>
      <c r="K247" s="83"/>
      <c r="L247" s="1"/>
      <c r="M247" s="89"/>
      <c r="N247" s="83"/>
      <c r="O247" s="1"/>
      <c r="P247" s="89"/>
      <c r="Q247" s="83"/>
      <c r="R247" s="1"/>
      <c r="S247" s="89"/>
      <c r="T247" s="83"/>
      <c r="U247" s="1"/>
      <c r="V247" s="89"/>
      <c r="W247" s="83"/>
      <c r="X247" s="1"/>
      <c r="Y247" s="89"/>
      <c r="Z247" s="83"/>
      <c r="AA247" s="1"/>
      <c r="AB247" s="89"/>
      <c r="AC247" s="83"/>
      <c r="AD247" s="1"/>
      <c r="AE247" s="89"/>
      <c r="AF247" s="83"/>
      <c r="AG247" s="1"/>
      <c r="AH247" s="89"/>
      <c r="AI247" s="83">
        <v>91.5</v>
      </c>
      <c r="AJ247" s="1">
        <v>128.1</v>
      </c>
      <c r="AK247" s="89">
        <v>164.7</v>
      </c>
      <c r="AL247" s="83">
        <v>91.5</v>
      </c>
      <c r="AM247" s="1">
        <v>128.1</v>
      </c>
      <c r="AN247" s="89">
        <v>164.7</v>
      </c>
      <c r="AO247" s="83">
        <v>91.5</v>
      </c>
      <c r="AP247" s="1">
        <v>128.1</v>
      </c>
      <c r="AQ247" s="89">
        <v>164.7</v>
      </c>
      <c r="AR247" s="83"/>
      <c r="AS247" s="1"/>
      <c r="AT247" s="89"/>
      <c r="AU247" s="83"/>
      <c r="AV247" s="1"/>
      <c r="AW247" s="89"/>
      <c r="AX247" s="83"/>
      <c r="AY247" s="1"/>
      <c r="AZ247" s="89"/>
    </row>
    <row r="248" spans="1:52" x14ac:dyDescent="0.3">
      <c r="A248" s="41">
        <v>2023</v>
      </c>
      <c r="B248" s="83"/>
      <c r="C248" s="1"/>
      <c r="D248" s="89"/>
      <c r="E248" s="83"/>
      <c r="F248" s="1"/>
      <c r="G248" s="89"/>
      <c r="H248" s="83"/>
      <c r="I248" s="1"/>
      <c r="J248" s="89"/>
      <c r="K248" s="83"/>
      <c r="L248" s="1"/>
      <c r="M248" s="89"/>
      <c r="N248" s="83"/>
      <c r="O248" s="1"/>
      <c r="P248" s="89"/>
      <c r="Q248" s="83"/>
      <c r="R248" s="1"/>
      <c r="S248" s="89"/>
      <c r="T248" s="83"/>
      <c r="U248" s="1"/>
      <c r="V248" s="89"/>
      <c r="W248" s="83"/>
      <c r="X248" s="1"/>
      <c r="Y248" s="89"/>
      <c r="Z248" s="83"/>
      <c r="AA248" s="1"/>
      <c r="AB248" s="89"/>
      <c r="AC248" s="83"/>
      <c r="AD248" s="1"/>
      <c r="AE248" s="89"/>
      <c r="AF248" s="83"/>
      <c r="AG248" s="1"/>
      <c r="AH248" s="89"/>
      <c r="AI248" s="83"/>
      <c r="AJ248" s="1"/>
      <c r="AK248" s="89"/>
      <c r="AL248" s="83"/>
      <c r="AM248" s="1"/>
      <c r="AN248" s="89"/>
      <c r="AO248" s="83"/>
      <c r="AP248" s="1"/>
      <c r="AQ248" s="89"/>
      <c r="AR248" s="83">
        <v>85.399999999999991</v>
      </c>
      <c r="AS248" s="1">
        <v>122</v>
      </c>
      <c r="AT248" s="89">
        <v>158.6</v>
      </c>
      <c r="AU248" s="83">
        <v>85.399999999999991</v>
      </c>
      <c r="AV248" s="1">
        <v>118.94999999999999</v>
      </c>
      <c r="AW248" s="89">
        <v>152.5</v>
      </c>
      <c r="AX248" s="83">
        <v>85.399999999999991</v>
      </c>
      <c r="AY248" s="1">
        <v>118.94999999999999</v>
      </c>
      <c r="AZ248" s="89">
        <v>152.5</v>
      </c>
    </row>
    <row r="249" spans="1:52" x14ac:dyDescent="0.3">
      <c r="A249" s="41">
        <v>2024</v>
      </c>
      <c r="B249" s="83"/>
      <c r="C249" s="1"/>
      <c r="D249" s="89"/>
      <c r="E249" s="83"/>
      <c r="F249" s="1"/>
      <c r="G249" s="89"/>
      <c r="H249" s="83"/>
      <c r="I249" s="1"/>
      <c r="J249" s="89"/>
      <c r="K249" s="83"/>
      <c r="L249" s="1"/>
      <c r="M249" s="89"/>
      <c r="N249" s="83"/>
      <c r="O249" s="1"/>
      <c r="P249" s="89"/>
      <c r="Q249" s="83"/>
      <c r="R249" s="1"/>
      <c r="S249" s="89"/>
      <c r="T249" s="83"/>
      <c r="U249" s="1"/>
      <c r="V249" s="89"/>
      <c r="W249" s="83"/>
      <c r="X249" s="1"/>
      <c r="Y249" s="89"/>
      <c r="Z249" s="83"/>
      <c r="AA249" s="1"/>
      <c r="AB249" s="89"/>
      <c r="AC249" s="83"/>
      <c r="AD249" s="1"/>
      <c r="AE249" s="89"/>
      <c r="AF249" s="83"/>
      <c r="AG249" s="1"/>
      <c r="AH249" s="89"/>
      <c r="AI249" s="83"/>
      <c r="AJ249" s="1"/>
      <c r="AK249" s="89"/>
      <c r="AL249" s="83"/>
      <c r="AM249" s="1"/>
      <c r="AN249" s="89"/>
      <c r="AO249" s="83"/>
      <c r="AP249" s="1"/>
      <c r="AQ249" s="89"/>
      <c r="AR249" s="83"/>
      <c r="AS249" s="1"/>
      <c r="AT249" s="89"/>
      <c r="AU249" s="83"/>
      <c r="AV249" s="1"/>
      <c r="AW249" s="89"/>
      <c r="AX249" s="83"/>
      <c r="AY249" s="1"/>
      <c r="AZ249" s="89"/>
    </row>
    <row r="250" spans="1:52" x14ac:dyDescent="0.3">
      <c r="A250" s="41">
        <v>2025</v>
      </c>
      <c r="B250" s="83"/>
      <c r="C250" s="1"/>
      <c r="D250" s="89"/>
      <c r="E250" s="83"/>
      <c r="F250" s="1"/>
      <c r="G250" s="89"/>
      <c r="H250" s="83"/>
      <c r="I250" s="1"/>
      <c r="J250" s="89"/>
      <c r="K250" s="83"/>
      <c r="L250" s="1"/>
      <c r="M250" s="89"/>
      <c r="N250" s="83"/>
      <c r="O250" s="1"/>
      <c r="P250" s="89"/>
      <c r="Q250" s="83"/>
      <c r="R250" s="1"/>
      <c r="S250" s="89"/>
      <c r="T250" s="83"/>
      <c r="U250" s="1"/>
      <c r="V250" s="89"/>
      <c r="W250" s="83"/>
      <c r="X250" s="1"/>
      <c r="Y250" s="89"/>
      <c r="Z250" s="83"/>
      <c r="AA250" s="1"/>
      <c r="AB250" s="89"/>
      <c r="AC250" s="83"/>
      <c r="AD250" s="1"/>
      <c r="AE250" s="89"/>
      <c r="AF250" s="83"/>
      <c r="AG250" s="1"/>
      <c r="AH250" s="89"/>
      <c r="AI250" s="83"/>
      <c r="AJ250" s="1"/>
      <c r="AK250" s="89"/>
      <c r="AL250" s="83"/>
      <c r="AM250" s="1"/>
      <c r="AN250" s="89"/>
      <c r="AO250" s="83"/>
      <c r="AP250" s="1"/>
      <c r="AQ250" s="89"/>
      <c r="AR250" s="83"/>
      <c r="AS250" s="1"/>
      <c r="AT250" s="89"/>
      <c r="AU250" s="83"/>
      <c r="AV250" s="1"/>
      <c r="AW250" s="89"/>
      <c r="AX250" s="83"/>
      <c r="AY250" s="1"/>
      <c r="AZ250" s="89"/>
    </row>
    <row r="251" spans="1:52" x14ac:dyDescent="0.3">
      <c r="A251" s="41">
        <v>2026</v>
      </c>
      <c r="B251" s="83"/>
      <c r="C251" s="1"/>
      <c r="D251" s="89"/>
      <c r="E251" s="83"/>
      <c r="F251" s="1"/>
      <c r="G251" s="89"/>
      <c r="H251" s="83"/>
      <c r="I251" s="1"/>
      <c r="J251" s="89"/>
      <c r="K251" s="83"/>
      <c r="L251" s="1"/>
      <c r="M251" s="89"/>
      <c r="N251" s="83"/>
      <c r="O251" s="1"/>
      <c r="P251" s="89"/>
      <c r="Q251" s="83"/>
      <c r="R251" s="1"/>
      <c r="S251" s="89"/>
      <c r="T251" s="83"/>
      <c r="U251" s="1"/>
      <c r="V251" s="89"/>
      <c r="W251" s="83"/>
      <c r="X251" s="1"/>
      <c r="Y251" s="89"/>
      <c r="Z251" s="83"/>
      <c r="AA251" s="1"/>
      <c r="AB251" s="89"/>
      <c r="AC251" s="83"/>
      <c r="AD251" s="1"/>
      <c r="AE251" s="89"/>
      <c r="AF251" s="83"/>
      <c r="AG251" s="1"/>
      <c r="AH251" s="89"/>
      <c r="AI251" s="83"/>
      <c r="AJ251" s="1"/>
      <c r="AK251" s="89"/>
      <c r="AL251" s="83"/>
      <c r="AM251" s="1"/>
      <c r="AN251" s="89"/>
      <c r="AO251" s="83"/>
      <c r="AP251" s="1"/>
      <c r="AQ251" s="89"/>
      <c r="AR251" s="83"/>
      <c r="AS251" s="1"/>
      <c r="AT251" s="89"/>
      <c r="AU251" s="83"/>
      <c r="AV251" s="1"/>
      <c r="AW251" s="89"/>
      <c r="AX251" s="83"/>
      <c r="AY251" s="1"/>
      <c r="AZ251" s="89"/>
    </row>
    <row r="252" spans="1:52" x14ac:dyDescent="0.3">
      <c r="A252" s="41">
        <v>2027</v>
      </c>
      <c r="B252" s="83"/>
      <c r="C252" s="1"/>
      <c r="D252" s="89"/>
      <c r="E252" s="83"/>
      <c r="F252" s="1"/>
      <c r="G252" s="89"/>
      <c r="H252" s="83"/>
      <c r="I252" s="1"/>
      <c r="J252" s="89"/>
      <c r="K252" s="83"/>
      <c r="L252" s="1"/>
      <c r="M252" s="89"/>
      <c r="N252" s="83"/>
      <c r="O252" s="1"/>
      <c r="P252" s="89"/>
      <c r="Q252" s="83"/>
      <c r="R252" s="1"/>
      <c r="S252" s="89"/>
      <c r="T252" s="83"/>
      <c r="U252" s="1"/>
      <c r="V252" s="89"/>
      <c r="W252" s="83"/>
      <c r="X252" s="1"/>
      <c r="Y252" s="89"/>
      <c r="Z252" s="83"/>
      <c r="AA252" s="1"/>
      <c r="AB252" s="89"/>
      <c r="AC252" s="83"/>
      <c r="AD252" s="1"/>
      <c r="AE252" s="89"/>
      <c r="AF252" s="83"/>
      <c r="AG252" s="1"/>
      <c r="AH252" s="89"/>
      <c r="AI252" s="83"/>
      <c r="AJ252" s="1"/>
      <c r="AK252" s="89"/>
      <c r="AL252" s="83"/>
      <c r="AM252" s="1"/>
      <c r="AN252" s="89"/>
      <c r="AO252" s="83"/>
      <c r="AP252" s="1"/>
      <c r="AQ252" s="89"/>
      <c r="AR252" s="83"/>
      <c r="AS252" s="1"/>
      <c r="AT252" s="89"/>
      <c r="AU252" s="83"/>
      <c r="AV252" s="1"/>
      <c r="AW252" s="89"/>
      <c r="AX252" s="83"/>
      <c r="AY252" s="1"/>
      <c r="AZ252" s="89"/>
    </row>
    <row r="253" spans="1:52" x14ac:dyDescent="0.3">
      <c r="A253" s="41">
        <v>2028</v>
      </c>
      <c r="B253" s="83"/>
      <c r="C253" s="1"/>
      <c r="D253" s="89"/>
      <c r="E253" s="83"/>
      <c r="F253" s="1"/>
      <c r="G253" s="89"/>
      <c r="H253" s="83"/>
      <c r="I253" s="1"/>
      <c r="J253" s="89"/>
      <c r="K253" s="83"/>
      <c r="L253" s="1"/>
      <c r="M253" s="89"/>
      <c r="N253" s="83"/>
      <c r="O253" s="1"/>
      <c r="P253" s="89"/>
      <c r="Q253" s="83"/>
      <c r="R253" s="1"/>
      <c r="S253" s="89"/>
      <c r="T253" s="83"/>
      <c r="U253" s="1"/>
      <c r="V253" s="89"/>
      <c r="W253" s="83"/>
      <c r="X253" s="1"/>
      <c r="Y253" s="89"/>
      <c r="Z253" s="83"/>
      <c r="AA253" s="1"/>
      <c r="AB253" s="89"/>
      <c r="AC253" s="83"/>
      <c r="AD253" s="1"/>
      <c r="AE253" s="89"/>
      <c r="AF253" s="83"/>
      <c r="AG253" s="1"/>
      <c r="AH253" s="89"/>
      <c r="AI253" s="83"/>
      <c r="AJ253" s="1"/>
      <c r="AK253" s="89"/>
      <c r="AL253" s="83"/>
      <c r="AM253" s="1"/>
      <c r="AN253" s="89"/>
      <c r="AO253" s="83"/>
      <c r="AP253" s="1"/>
      <c r="AQ253" s="89"/>
      <c r="AR253" s="83"/>
      <c r="AS253" s="1"/>
      <c r="AT253" s="89"/>
      <c r="AU253" s="83"/>
      <c r="AV253" s="1"/>
      <c r="AW253" s="89"/>
      <c r="AX253" s="83"/>
      <c r="AY253" s="1"/>
      <c r="AZ253" s="89"/>
    </row>
    <row r="254" spans="1:52" x14ac:dyDescent="0.3">
      <c r="A254" s="41">
        <v>2029</v>
      </c>
      <c r="B254" s="83"/>
      <c r="C254" s="1"/>
      <c r="D254" s="89"/>
      <c r="E254" s="83"/>
      <c r="F254" s="1"/>
      <c r="G254" s="89"/>
      <c r="H254" s="83"/>
      <c r="I254" s="1"/>
      <c r="J254" s="89"/>
      <c r="K254" s="83"/>
      <c r="L254" s="1"/>
      <c r="M254" s="89"/>
      <c r="N254" s="83"/>
      <c r="O254" s="1"/>
      <c r="P254" s="89"/>
      <c r="Q254" s="83"/>
      <c r="R254" s="1"/>
      <c r="S254" s="89"/>
      <c r="T254" s="83"/>
      <c r="U254" s="1"/>
      <c r="V254" s="89"/>
      <c r="W254" s="83"/>
      <c r="X254" s="1"/>
      <c r="Y254" s="89"/>
      <c r="Z254" s="83"/>
      <c r="AA254" s="1"/>
      <c r="AB254" s="89"/>
      <c r="AC254" s="83"/>
      <c r="AD254" s="1"/>
      <c r="AE254" s="89"/>
      <c r="AF254" s="83"/>
      <c r="AG254" s="1"/>
      <c r="AH254" s="89"/>
      <c r="AI254" s="83"/>
      <c r="AJ254" s="1"/>
      <c r="AK254" s="89"/>
      <c r="AL254" s="83"/>
      <c r="AM254" s="1"/>
      <c r="AN254" s="89"/>
      <c r="AO254" s="83"/>
      <c r="AP254" s="1"/>
      <c r="AQ254" s="89"/>
      <c r="AR254" s="83"/>
      <c r="AS254" s="1"/>
      <c r="AT254" s="89"/>
      <c r="AU254" s="83"/>
      <c r="AV254" s="1"/>
      <c r="AW254" s="89"/>
      <c r="AX254" s="83"/>
      <c r="AY254" s="1"/>
      <c r="AZ254" s="89"/>
    </row>
    <row r="255" spans="1:52" x14ac:dyDescent="0.3">
      <c r="A255" s="41">
        <v>2030</v>
      </c>
      <c r="B255" s="83"/>
      <c r="C255" s="1"/>
      <c r="D255" s="89"/>
      <c r="E255" s="83"/>
      <c r="F255" s="1"/>
      <c r="G255" s="89"/>
      <c r="H255" s="83"/>
      <c r="I255" s="1"/>
      <c r="J255" s="89"/>
      <c r="K255" s="83"/>
      <c r="L255" s="1"/>
      <c r="M255" s="89"/>
      <c r="N255" s="83">
        <v>61</v>
      </c>
      <c r="O255" s="1">
        <v>82.35</v>
      </c>
      <c r="P255" s="89">
        <v>103.7</v>
      </c>
      <c r="Q255" s="83">
        <v>54.9</v>
      </c>
      <c r="R255" s="1">
        <v>73.2</v>
      </c>
      <c r="S255" s="89">
        <v>91.5</v>
      </c>
      <c r="T255" s="83">
        <v>54.9</v>
      </c>
      <c r="U255" s="1">
        <v>73.2</v>
      </c>
      <c r="V255" s="89">
        <v>91.5</v>
      </c>
      <c r="W255" s="83">
        <v>48.8</v>
      </c>
      <c r="X255" s="1">
        <v>67.099999999999994</v>
      </c>
      <c r="Y255" s="89">
        <v>85.399999999999991</v>
      </c>
      <c r="Z255" s="83">
        <v>54.9</v>
      </c>
      <c r="AA255" s="1">
        <v>76.25</v>
      </c>
      <c r="AB255" s="89">
        <v>97.6</v>
      </c>
      <c r="AC255" s="83">
        <v>42.699999999999996</v>
      </c>
      <c r="AD255" s="1">
        <v>64.05</v>
      </c>
      <c r="AE255" s="89">
        <v>85.399999999999991</v>
      </c>
      <c r="AF255" s="83">
        <v>42.699999999999996</v>
      </c>
      <c r="AG255" s="1">
        <v>61</v>
      </c>
      <c r="AH255" s="89">
        <v>79.3</v>
      </c>
      <c r="AI255" s="83">
        <v>67.099999999999994</v>
      </c>
      <c r="AJ255" s="1">
        <v>88.449999999999989</v>
      </c>
      <c r="AK255" s="89">
        <v>109.8</v>
      </c>
      <c r="AL255" s="83">
        <v>54.9</v>
      </c>
      <c r="AM255" s="1">
        <v>79.3</v>
      </c>
      <c r="AN255" s="89">
        <v>103.7</v>
      </c>
      <c r="AO255" s="83">
        <v>54.9</v>
      </c>
      <c r="AP255" s="1">
        <v>73.2</v>
      </c>
      <c r="AQ255" s="89">
        <v>91.5</v>
      </c>
      <c r="AR255" s="83">
        <v>73.2</v>
      </c>
      <c r="AS255" s="1">
        <v>91.5</v>
      </c>
      <c r="AT255" s="89">
        <v>109.8</v>
      </c>
      <c r="AU255" s="83">
        <v>54.9</v>
      </c>
      <c r="AV255" s="1">
        <v>76.25</v>
      </c>
      <c r="AW255" s="89">
        <v>97.6</v>
      </c>
      <c r="AX255" s="83">
        <v>54.9</v>
      </c>
      <c r="AY255" s="1">
        <v>73.2</v>
      </c>
      <c r="AZ255" s="89">
        <v>91.5</v>
      </c>
    </row>
    <row r="256" spans="1:52" x14ac:dyDescent="0.3">
      <c r="A256" s="41">
        <v>2031</v>
      </c>
      <c r="B256" s="83"/>
      <c r="C256" s="1"/>
      <c r="D256" s="89"/>
      <c r="E256" s="83"/>
      <c r="F256" s="1"/>
      <c r="G256" s="89"/>
      <c r="H256" s="83"/>
      <c r="I256" s="1"/>
      <c r="J256" s="89"/>
      <c r="K256" s="83"/>
      <c r="L256" s="1"/>
      <c r="M256" s="89"/>
      <c r="N256" s="83"/>
      <c r="O256" s="1"/>
      <c r="P256" s="89"/>
      <c r="Q256" s="83"/>
      <c r="R256" s="1"/>
      <c r="S256" s="89"/>
      <c r="T256" s="83"/>
      <c r="U256" s="1"/>
      <c r="V256" s="89"/>
      <c r="W256" s="83"/>
      <c r="X256" s="1"/>
      <c r="Y256" s="89"/>
      <c r="Z256" s="83"/>
      <c r="AA256" s="1"/>
      <c r="AB256" s="89"/>
      <c r="AC256" s="83"/>
      <c r="AD256" s="1"/>
      <c r="AE256" s="89"/>
      <c r="AF256" s="83"/>
      <c r="AG256" s="1"/>
      <c r="AH256" s="89"/>
      <c r="AI256" s="83"/>
      <c r="AJ256" s="1"/>
      <c r="AK256" s="89"/>
      <c r="AL256" s="83"/>
      <c r="AM256" s="1"/>
      <c r="AN256" s="89"/>
      <c r="AO256" s="83"/>
      <c r="AP256" s="1"/>
      <c r="AQ256" s="89"/>
      <c r="AR256" s="83"/>
      <c r="AS256" s="1"/>
      <c r="AT256" s="89"/>
      <c r="AU256" s="83"/>
      <c r="AV256" s="1"/>
      <c r="AW256" s="89"/>
      <c r="AX256" s="83"/>
      <c r="AY256" s="1"/>
      <c r="AZ256" s="89"/>
    </row>
    <row r="257" spans="1:52" x14ac:dyDescent="0.3">
      <c r="A257" s="41">
        <v>2032</v>
      </c>
      <c r="B257" s="83"/>
      <c r="C257" s="1"/>
      <c r="D257" s="89"/>
      <c r="E257" s="83"/>
      <c r="F257" s="1"/>
      <c r="G257" s="89"/>
      <c r="H257" s="83"/>
      <c r="I257" s="1"/>
      <c r="J257" s="89"/>
      <c r="K257" s="83"/>
      <c r="L257" s="1"/>
      <c r="M257" s="89"/>
      <c r="N257" s="83"/>
      <c r="O257" s="1"/>
      <c r="P257" s="89"/>
      <c r="Q257" s="83"/>
      <c r="R257" s="1"/>
      <c r="S257" s="89"/>
      <c r="T257" s="83"/>
      <c r="U257" s="1"/>
      <c r="V257" s="89"/>
      <c r="W257" s="83"/>
      <c r="X257" s="1"/>
      <c r="Y257" s="89"/>
      <c r="Z257" s="83"/>
      <c r="AA257" s="1"/>
      <c r="AB257" s="89"/>
      <c r="AC257" s="83"/>
      <c r="AD257" s="1"/>
      <c r="AE257" s="89"/>
      <c r="AF257" s="83"/>
      <c r="AG257" s="1"/>
      <c r="AH257" s="89"/>
      <c r="AI257" s="83"/>
      <c r="AJ257" s="1"/>
      <c r="AK257" s="89"/>
      <c r="AL257" s="83"/>
      <c r="AM257" s="1"/>
      <c r="AN257" s="89"/>
      <c r="AO257" s="83"/>
      <c r="AP257" s="1"/>
      <c r="AQ257" s="89"/>
      <c r="AR257" s="83"/>
      <c r="AS257" s="1"/>
      <c r="AT257" s="89"/>
      <c r="AU257" s="83"/>
      <c r="AV257" s="1"/>
      <c r="AW257" s="89"/>
      <c r="AX257" s="83"/>
      <c r="AY257" s="1"/>
      <c r="AZ257" s="89"/>
    </row>
    <row r="258" spans="1:52" x14ac:dyDescent="0.3">
      <c r="A258" s="41">
        <v>2033</v>
      </c>
      <c r="B258" s="83"/>
      <c r="C258" s="1"/>
      <c r="D258" s="89"/>
      <c r="E258" s="83"/>
      <c r="F258" s="1"/>
      <c r="G258" s="89"/>
      <c r="H258" s="83"/>
      <c r="I258" s="1"/>
      <c r="J258" s="89"/>
      <c r="K258" s="83"/>
      <c r="L258" s="1"/>
      <c r="M258" s="89"/>
      <c r="N258" s="83"/>
      <c r="O258" s="1"/>
      <c r="P258" s="89"/>
      <c r="Q258" s="83"/>
      <c r="R258" s="1"/>
      <c r="S258" s="89"/>
      <c r="T258" s="83"/>
      <c r="U258" s="1"/>
      <c r="V258" s="89"/>
      <c r="W258" s="83"/>
      <c r="X258" s="1"/>
      <c r="Y258" s="89"/>
      <c r="Z258" s="83"/>
      <c r="AA258" s="1"/>
      <c r="AB258" s="89"/>
      <c r="AC258" s="83"/>
      <c r="AD258" s="1"/>
      <c r="AE258" s="89"/>
      <c r="AF258" s="83"/>
      <c r="AG258" s="1"/>
      <c r="AH258" s="89"/>
      <c r="AI258" s="83"/>
      <c r="AJ258" s="1"/>
      <c r="AK258" s="89"/>
      <c r="AL258" s="83"/>
      <c r="AM258" s="1"/>
      <c r="AN258" s="89"/>
      <c r="AO258" s="83"/>
      <c r="AP258" s="1"/>
      <c r="AQ258" s="89"/>
      <c r="AR258" s="83"/>
      <c r="AS258" s="1"/>
      <c r="AT258" s="89"/>
      <c r="AU258" s="83"/>
      <c r="AV258" s="1"/>
      <c r="AW258" s="89"/>
      <c r="AX258" s="83"/>
      <c r="AY258" s="1"/>
      <c r="AZ258" s="89"/>
    </row>
    <row r="259" spans="1:52" x14ac:dyDescent="0.3">
      <c r="A259" s="41">
        <v>2034</v>
      </c>
      <c r="B259" s="83"/>
      <c r="C259" s="1"/>
      <c r="D259" s="89"/>
      <c r="E259" s="83"/>
      <c r="F259" s="1"/>
      <c r="G259" s="89"/>
      <c r="H259" s="83"/>
      <c r="I259" s="1"/>
      <c r="J259" s="89"/>
      <c r="K259" s="83"/>
      <c r="L259" s="1"/>
      <c r="M259" s="89"/>
      <c r="N259" s="83"/>
      <c r="O259" s="1"/>
      <c r="P259" s="89"/>
      <c r="Q259" s="83"/>
      <c r="R259" s="1"/>
      <c r="S259" s="89"/>
      <c r="T259" s="83"/>
      <c r="U259" s="1"/>
      <c r="V259" s="89"/>
      <c r="W259" s="83"/>
      <c r="X259" s="1"/>
      <c r="Y259" s="89"/>
      <c r="Z259" s="83"/>
      <c r="AA259" s="1"/>
      <c r="AB259" s="89"/>
      <c r="AC259" s="83"/>
      <c r="AD259" s="1"/>
      <c r="AE259" s="89"/>
      <c r="AF259" s="83"/>
      <c r="AG259" s="1"/>
      <c r="AH259" s="89"/>
      <c r="AI259" s="83"/>
      <c r="AJ259" s="1"/>
      <c r="AK259" s="89"/>
      <c r="AL259" s="83"/>
      <c r="AM259" s="1"/>
      <c r="AN259" s="89"/>
      <c r="AO259" s="83"/>
      <c r="AP259" s="1"/>
      <c r="AQ259" s="89"/>
      <c r="AR259" s="83"/>
      <c r="AS259" s="1"/>
      <c r="AT259" s="89"/>
      <c r="AU259" s="83"/>
      <c r="AV259" s="1"/>
      <c r="AW259" s="89"/>
      <c r="AX259" s="83"/>
      <c r="AY259" s="1"/>
      <c r="AZ259" s="89"/>
    </row>
    <row r="260" spans="1:52" x14ac:dyDescent="0.3">
      <c r="A260" s="41">
        <v>2035</v>
      </c>
      <c r="B260" s="83"/>
      <c r="C260" s="1"/>
      <c r="D260" s="89"/>
      <c r="E260" s="83"/>
      <c r="F260" s="1"/>
      <c r="G260" s="89"/>
      <c r="H260" s="83"/>
      <c r="I260" s="1"/>
      <c r="J260" s="89"/>
      <c r="K260" s="83"/>
      <c r="L260" s="1"/>
      <c r="M260" s="89"/>
      <c r="N260" s="83"/>
      <c r="O260" s="1"/>
      <c r="P260" s="89"/>
      <c r="Q260" s="83"/>
      <c r="R260" s="1"/>
      <c r="S260" s="89"/>
      <c r="T260" s="83"/>
      <c r="U260" s="1"/>
      <c r="V260" s="89"/>
      <c r="W260" s="83"/>
      <c r="X260" s="1"/>
      <c r="Y260" s="89"/>
      <c r="Z260" s="83"/>
      <c r="AA260" s="1"/>
      <c r="AB260" s="89"/>
      <c r="AC260" s="83"/>
      <c r="AD260" s="1"/>
      <c r="AE260" s="89"/>
      <c r="AF260" s="83"/>
      <c r="AG260" s="1"/>
      <c r="AH260" s="89"/>
      <c r="AI260" s="83"/>
      <c r="AJ260" s="1"/>
      <c r="AK260" s="89"/>
      <c r="AL260" s="83"/>
      <c r="AM260" s="1"/>
      <c r="AN260" s="89"/>
      <c r="AO260" s="83"/>
      <c r="AP260" s="1"/>
      <c r="AQ260" s="89"/>
      <c r="AR260" s="83"/>
      <c r="AS260" s="1"/>
      <c r="AT260" s="89"/>
      <c r="AU260" s="83"/>
      <c r="AV260" s="1"/>
      <c r="AW260" s="89"/>
      <c r="AX260" s="83"/>
      <c r="AY260" s="1"/>
      <c r="AZ260" s="89"/>
    </row>
    <row r="261" spans="1:52" x14ac:dyDescent="0.3">
      <c r="A261" s="41">
        <v>2036</v>
      </c>
      <c r="B261" s="83"/>
      <c r="C261" s="1"/>
      <c r="D261" s="89"/>
      <c r="E261" s="83"/>
      <c r="F261" s="1"/>
      <c r="G261" s="89"/>
      <c r="H261" s="83"/>
      <c r="I261" s="1"/>
      <c r="J261" s="89"/>
      <c r="K261" s="83"/>
      <c r="L261" s="1"/>
      <c r="M261" s="89"/>
      <c r="N261" s="83"/>
      <c r="O261" s="1"/>
      <c r="P261" s="89"/>
      <c r="Q261" s="83"/>
      <c r="R261" s="1"/>
      <c r="S261" s="89"/>
      <c r="T261" s="83"/>
      <c r="U261" s="1"/>
      <c r="V261" s="89"/>
      <c r="W261" s="83"/>
      <c r="X261" s="1"/>
      <c r="Y261" s="89"/>
      <c r="Z261" s="83"/>
      <c r="AA261" s="1"/>
      <c r="AB261" s="89"/>
      <c r="AC261" s="83"/>
      <c r="AD261" s="1"/>
      <c r="AE261" s="89"/>
      <c r="AF261" s="83"/>
      <c r="AG261" s="1"/>
      <c r="AH261" s="89"/>
      <c r="AI261" s="83"/>
      <c r="AJ261" s="1"/>
      <c r="AK261" s="89"/>
      <c r="AL261" s="83"/>
      <c r="AM261" s="1"/>
      <c r="AN261" s="89"/>
      <c r="AO261" s="83"/>
      <c r="AP261" s="1"/>
      <c r="AQ261" s="89"/>
      <c r="AR261" s="83"/>
      <c r="AS261" s="1"/>
      <c r="AT261" s="89"/>
      <c r="AU261" s="83"/>
      <c r="AV261" s="1"/>
      <c r="AW261" s="89"/>
      <c r="AX261" s="83"/>
      <c r="AY261" s="1"/>
      <c r="AZ261" s="89"/>
    </row>
    <row r="262" spans="1:52" x14ac:dyDescent="0.3">
      <c r="A262" s="41">
        <v>2037</v>
      </c>
      <c r="B262" s="83"/>
      <c r="C262" s="1"/>
      <c r="D262" s="89"/>
      <c r="E262" s="83"/>
      <c r="F262" s="1"/>
      <c r="G262" s="89"/>
      <c r="H262" s="83"/>
      <c r="I262" s="1"/>
      <c r="J262" s="89"/>
      <c r="K262" s="83"/>
      <c r="L262" s="1"/>
      <c r="M262" s="89"/>
      <c r="N262" s="83"/>
      <c r="O262" s="1"/>
      <c r="P262" s="89"/>
      <c r="Q262" s="83"/>
      <c r="R262" s="1"/>
      <c r="S262" s="89"/>
      <c r="T262" s="83"/>
      <c r="U262" s="1"/>
      <c r="V262" s="89"/>
      <c r="W262" s="83"/>
      <c r="X262" s="1"/>
      <c r="Y262" s="89"/>
      <c r="Z262" s="83"/>
      <c r="AA262" s="1"/>
      <c r="AB262" s="89"/>
      <c r="AC262" s="83"/>
      <c r="AD262" s="1"/>
      <c r="AE262" s="89"/>
      <c r="AF262" s="83"/>
      <c r="AG262" s="1"/>
      <c r="AH262" s="89"/>
      <c r="AI262" s="83"/>
      <c r="AJ262" s="1"/>
      <c r="AK262" s="89"/>
      <c r="AL262" s="83"/>
      <c r="AM262" s="1"/>
      <c r="AN262" s="89"/>
      <c r="AO262" s="83"/>
      <c r="AP262" s="1"/>
      <c r="AQ262" s="89"/>
      <c r="AR262" s="83"/>
      <c r="AS262" s="1"/>
      <c r="AT262" s="89"/>
      <c r="AU262" s="83"/>
      <c r="AV262" s="1"/>
      <c r="AW262" s="89"/>
      <c r="AX262" s="83"/>
      <c r="AY262" s="1"/>
      <c r="AZ262" s="89"/>
    </row>
    <row r="263" spans="1:52" x14ac:dyDescent="0.3">
      <c r="A263" s="41">
        <v>2038</v>
      </c>
      <c r="B263" s="83"/>
      <c r="C263" s="1"/>
      <c r="D263" s="89"/>
      <c r="E263" s="83"/>
      <c r="F263" s="1"/>
      <c r="G263" s="89"/>
      <c r="H263" s="83"/>
      <c r="I263" s="1"/>
      <c r="J263" s="89"/>
      <c r="K263" s="83"/>
      <c r="L263" s="1"/>
      <c r="M263" s="89"/>
      <c r="N263" s="83"/>
      <c r="O263" s="1"/>
      <c r="P263" s="89"/>
      <c r="Q263" s="83"/>
      <c r="R263" s="1"/>
      <c r="S263" s="89"/>
      <c r="T263" s="83"/>
      <c r="U263" s="1"/>
      <c r="V263" s="89"/>
      <c r="W263" s="83"/>
      <c r="X263" s="1"/>
      <c r="Y263" s="89"/>
      <c r="Z263" s="83"/>
      <c r="AA263" s="1"/>
      <c r="AB263" s="89"/>
      <c r="AC263" s="83"/>
      <c r="AD263" s="1"/>
      <c r="AE263" s="89"/>
      <c r="AF263" s="83"/>
      <c r="AG263" s="1"/>
      <c r="AH263" s="89"/>
      <c r="AI263" s="83"/>
      <c r="AJ263" s="1"/>
      <c r="AK263" s="89"/>
      <c r="AL263" s="83"/>
      <c r="AM263" s="1"/>
      <c r="AN263" s="89"/>
      <c r="AO263" s="83"/>
      <c r="AP263" s="1"/>
      <c r="AQ263" s="89"/>
      <c r="AR263" s="83"/>
      <c r="AS263" s="1"/>
      <c r="AT263" s="89"/>
      <c r="AU263" s="83"/>
      <c r="AV263" s="1"/>
      <c r="AW263" s="89"/>
      <c r="AX263" s="83"/>
      <c r="AY263" s="1"/>
      <c r="AZ263" s="89"/>
    </row>
    <row r="264" spans="1:52" x14ac:dyDescent="0.3">
      <c r="A264" s="41">
        <v>2039</v>
      </c>
      <c r="B264" s="83"/>
      <c r="C264" s="1"/>
      <c r="D264" s="89"/>
      <c r="E264" s="83"/>
      <c r="F264" s="1"/>
      <c r="G264" s="89"/>
      <c r="H264" s="83"/>
      <c r="I264" s="1"/>
      <c r="J264" s="89"/>
      <c r="K264" s="83"/>
      <c r="L264" s="1"/>
      <c r="M264" s="89"/>
      <c r="N264" s="83"/>
      <c r="O264" s="1"/>
      <c r="P264" s="89"/>
      <c r="Q264" s="83"/>
      <c r="R264" s="1"/>
      <c r="S264" s="89"/>
      <c r="T264" s="83"/>
      <c r="U264" s="1"/>
      <c r="V264" s="89"/>
      <c r="W264" s="83"/>
      <c r="X264" s="1"/>
      <c r="Y264" s="89"/>
      <c r="Z264" s="83"/>
      <c r="AA264" s="1"/>
      <c r="AB264" s="89"/>
      <c r="AC264" s="83"/>
      <c r="AD264" s="1"/>
      <c r="AE264" s="89"/>
      <c r="AF264" s="83"/>
      <c r="AG264" s="1"/>
      <c r="AH264" s="89"/>
      <c r="AI264" s="83"/>
      <c r="AJ264" s="1"/>
      <c r="AK264" s="89"/>
      <c r="AL264" s="83"/>
      <c r="AM264" s="1"/>
      <c r="AN264" s="89"/>
      <c r="AO264" s="83"/>
      <c r="AP264" s="1"/>
      <c r="AQ264" s="89"/>
      <c r="AR264" s="83"/>
      <c r="AS264" s="1"/>
      <c r="AT264" s="89"/>
      <c r="AU264" s="83"/>
      <c r="AV264" s="1"/>
      <c r="AW264" s="89"/>
      <c r="AX264" s="83"/>
      <c r="AY264" s="1"/>
      <c r="AZ264" s="89"/>
    </row>
    <row r="265" spans="1:52" x14ac:dyDescent="0.3">
      <c r="A265" s="41">
        <v>2040</v>
      </c>
      <c r="B265" s="83">
        <v>122.55</v>
      </c>
      <c r="C265" s="1">
        <v>135.44999999999999</v>
      </c>
      <c r="D265" s="89">
        <v>148.35</v>
      </c>
      <c r="E265" s="83">
        <v>63</v>
      </c>
      <c r="F265" s="1">
        <v>78.75</v>
      </c>
      <c r="G265" s="89">
        <v>94.5</v>
      </c>
      <c r="H265" s="83">
        <v>56.7</v>
      </c>
      <c r="I265" s="1">
        <v>69.300000000000011</v>
      </c>
      <c r="J265" s="89">
        <v>81.900000000000006</v>
      </c>
      <c r="K265" s="83">
        <v>44.1</v>
      </c>
      <c r="L265" s="1">
        <v>56.7</v>
      </c>
      <c r="M265" s="89">
        <v>69.3</v>
      </c>
      <c r="N265" s="83"/>
      <c r="O265" s="1"/>
      <c r="P265" s="89"/>
      <c r="Q265" s="83"/>
      <c r="R265" s="1"/>
      <c r="S265" s="89"/>
      <c r="T265" s="83"/>
      <c r="U265" s="1"/>
      <c r="V265" s="89"/>
      <c r="W265" s="83"/>
      <c r="X265" s="1"/>
      <c r="Y265" s="89"/>
      <c r="Z265" s="83"/>
      <c r="AA265" s="1"/>
      <c r="AB265" s="89"/>
      <c r="AC265" s="83"/>
      <c r="AD265" s="1"/>
      <c r="AE265" s="89"/>
      <c r="AF265" s="83"/>
      <c r="AG265" s="1"/>
      <c r="AH265" s="89"/>
      <c r="AI265" s="83"/>
      <c r="AJ265" s="1"/>
      <c r="AK265" s="89"/>
      <c r="AL265" s="83"/>
      <c r="AM265" s="1"/>
      <c r="AN265" s="89"/>
      <c r="AO265" s="83"/>
      <c r="AP265" s="1"/>
      <c r="AQ265" s="89"/>
      <c r="AR265" s="83"/>
      <c r="AS265" s="1"/>
      <c r="AT265" s="89"/>
      <c r="AU265" s="83"/>
      <c r="AV265" s="1"/>
      <c r="AW265" s="89"/>
      <c r="AX265" s="83"/>
      <c r="AY265" s="1"/>
      <c r="AZ265" s="89"/>
    </row>
    <row r="266" spans="1:52" x14ac:dyDescent="0.3">
      <c r="A266" s="41">
        <v>2041</v>
      </c>
      <c r="B266" s="83"/>
      <c r="C266" s="1"/>
      <c r="D266" s="89"/>
      <c r="E266" s="83"/>
      <c r="F266" s="1"/>
      <c r="G266" s="89"/>
      <c r="H266" s="83"/>
      <c r="I266" s="1"/>
      <c r="J266" s="89"/>
      <c r="K266" s="83"/>
      <c r="L266" s="1"/>
      <c r="M266" s="89"/>
      <c r="N266" s="83"/>
      <c r="O266" s="1"/>
      <c r="P266" s="89"/>
      <c r="Q266" s="83"/>
      <c r="R266" s="1"/>
      <c r="S266" s="89"/>
      <c r="T266" s="83"/>
      <c r="U266" s="1"/>
      <c r="V266" s="89"/>
      <c r="W266" s="83"/>
      <c r="X266" s="1"/>
      <c r="Y266" s="89"/>
      <c r="Z266" s="83"/>
      <c r="AA266" s="1"/>
      <c r="AB266" s="89"/>
      <c r="AC266" s="83"/>
      <c r="AD266" s="1"/>
      <c r="AE266" s="89"/>
      <c r="AF266" s="83"/>
      <c r="AG266" s="1"/>
      <c r="AH266" s="89"/>
      <c r="AI266" s="83"/>
      <c r="AJ266" s="1"/>
      <c r="AK266" s="89"/>
      <c r="AL266" s="83"/>
      <c r="AM266" s="1"/>
      <c r="AN266" s="89"/>
      <c r="AO266" s="83"/>
      <c r="AP266" s="1"/>
      <c r="AQ266" s="89"/>
      <c r="AR266" s="83"/>
      <c r="AS266" s="1"/>
      <c r="AT266" s="89"/>
      <c r="AU266" s="83"/>
      <c r="AV266" s="1"/>
      <c r="AW266" s="89"/>
      <c r="AX266" s="83"/>
      <c r="AY266" s="1"/>
      <c r="AZ266" s="89"/>
    </row>
    <row r="267" spans="1:52" x14ac:dyDescent="0.3">
      <c r="A267" s="41">
        <v>2042</v>
      </c>
      <c r="B267" s="83"/>
      <c r="C267" s="1"/>
      <c r="D267" s="89"/>
      <c r="E267" s="83"/>
      <c r="F267" s="1"/>
      <c r="G267" s="89"/>
      <c r="H267" s="83"/>
      <c r="I267" s="1"/>
      <c r="J267" s="89"/>
      <c r="K267" s="83"/>
      <c r="L267" s="1"/>
      <c r="M267" s="89"/>
      <c r="N267" s="83"/>
      <c r="O267" s="1"/>
      <c r="P267" s="89"/>
      <c r="Q267" s="83"/>
      <c r="R267" s="1"/>
      <c r="S267" s="89"/>
      <c r="T267" s="83"/>
      <c r="U267" s="1"/>
      <c r="V267" s="89"/>
      <c r="W267" s="83"/>
      <c r="X267" s="1"/>
      <c r="Y267" s="89"/>
      <c r="Z267" s="83"/>
      <c r="AA267" s="1"/>
      <c r="AB267" s="89"/>
      <c r="AC267" s="83"/>
      <c r="AD267" s="1"/>
      <c r="AE267" s="89"/>
      <c r="AF267" s="83"/>
      <c r="AG267" s="1"/>
      <c r="AH267" s="89"/>
      <c r="AI267" s="83"/>
      <c r="AJ267" s="1"/>
      <c r="AK267" s="89"/>
      <c r="AL267" s="83"/>
      <c r="AM267" s="1"/>
      <c r="AN267" s="89"/>
      <c r="AO267" s="83"/>
      <c r="AP267" s="1"/>
      <c r="AQ267" s="89"/>
      <c r="AR267" s="83"/>
      <c r="AS267" s="1"/>
      <c r="AT267" s="89"/>
      <c r="AU267" s="83"/>
      <c r="AV267" s="1"/>
      <c r="AW267" s="89"/>
      <c r="AX267" s="83"/>
      <c r="AY267" s="1"/>
      <c r="AZ267" s="89"/>
    </row>
    <row r="268" spans="1:52" x14ac:dyDescent="0.3">
      <c r="A268" s="41">
        <v>2043</v>
      </c>
      <c r="B268" s="83"/>
      <c r="C268" s="1"/>
      <c r="D268" s="89"/>
      <c r="E268" s="83"/>
      <c r="F268" s="1"/>
      <c r="G268" s="89"/>
      <c r="H268" s="83"/>
      <c r="I268" s="1"/>
      <c r="J268" s="89"/>
      <c r="K268" s="83"/>
      <c r="L268" s="1"/>
      <c r="M268" s="89"/>
      <c r="N268" s="83"/>
      <c r="O268" s="1"/>
      <c r="P268" s="89"/>
      <c r="Q268" s="83"/>
      <c r="R268" s="1"/>
      <c r="S268" s="89"/>
      <c r="T268" s="83"/>
      <c r="U268" s="1"/>
      <c r="V268" s="89"/>
      <c r="W268" s="83"/>
      <c r="X268" s="1"/>
      <c r="Y268" s="89"/>
      <c r="Z268" s="83"/>
      <c r="AA268" s="1"/>
      <c r="AB268" s="89"/>
      <c r="AC268" s="83"/>
      <c r="AD268" s="1"/>
      <c r="AE268" s="89"/>
      <c r="AF268" s="83"/>
      <c r="AG268" s="1"/>
      <c r="AH268" s="89"/>
      <c r="AI268" s="83"/>
      <c r="AJ268" s="1"/>
      <c r="AK268" s="89"/>
      <c r="AL268" s="83"/>
      <c r="AM268" s="1"/>
      <c r="AN268" s="89"/>
      <c r="AO268" s="83"/>
      <c r="AP268" s="1"/>
      <c r="AQ268" s="89"/>
      <c r="AR268" s="83"/>
      <c r="AS268" s="1"/>
      <c r="AT268" s="89"/>
      <c r="AU268" s="83"/>
      <c r="AV268" s="1"/>
      <c r="AW268" s="89"/>
      <c r="AX268" s="83"/>
      <c r="AY268" s="1"/>
      <c r="AZ268" s="89"/>
    </row>
    <row r="269" spans="1:52" x14ac:dyDescent="0.3">
      <c r="A269" s="41">
        <v>2044</v>
      </c>
      <c r="B269" s="83"/>
      <c r="C269" s="1"/>
      <c r="D269" s="89"/>
      <c r="E269" s="83"/>
      <c r="F269" s="1"/>
      <c r="G269" s="89"/>
      <c r="H269" s="83"/>
      <c r="I269" s="1"/>
      <c r="J269" s="89"/>
      <c r="K269" s="83"/>
      <c r="L269" s="1"/>
      <c r="M269" s="89"/>
      <c r="N269" s="83"/>
      <c r="O269" s="1"/>
      <c r="P269" s="89"/>
      <c r="Q269" s="83"/>
      <c r="R269" s="1"/>
      <c r="S269" s="89"/>
      <c r="T269" s="83"/>
      <c r="U269" s="1"/>
      <c r="V269" s="89"/>
      <c r="W269" s="83"/>
      <c r="X269" s="1"/>
      <c r="Y269" s="89"/>
      <c r="Z269" s="83"/>
      <c r="AA269" s="1"/>
      <c r="AB269" s="89"/>
      <c r="AC269" s="83"/>
      <c r="AD269" s="1"/>
      <c r="AE269" s="89"/>
      <c r="AF269" s="83"/>
      <c r="AG269" s="1"/>
      <c r="AH269" s="89"/>
      <c r="AI269" s="83"/>
      <c r="AJ269" s="1"/>
      <c r="AK269" s="89"/>
      <c r="AL269" s="83"/>
      <c r="AM269" s="1"/>
      <c r="AN269" s="89"/>
      <c r="AO269" s="83"/>
      <c r="AP269" s="1"/>
      <c r="AQ269" s="89"/>
      <c r="AR269" s="83"/>
      <c r="AS269" s="1"/>
      <c r="AT269" s="89"/>
      <c r="AU269" s="83"/>
      <c r="AV269" s="1"/>
      <c r="AW269" s="89"/>
      <c r="AX269" s="83"/>
      <c r="AY269" s="1"/>
      <c r="AZ269" s="89"/>
    </row>
    <row r="270" spans="1:52" x14ac:dyDescent="0.3">
      <c r="A270" s="41">
        <v>2045</v>
      </c>
      <c r="B270" s="83"/>
      <c r="C270" s="1"/>
      <c r="D270" s="89"/>
      <c r="E270" s="83"/>
      <c r="F270" s="1"/>
      <c r="G270" s="89"/>
      <c r="H270" s="83"/>
      <c r="I270" s="1"/>
      <c r="J270" s="89"/>
      <c r="K270" s="83"/>
      <c r="L270" s="1"/>
      <c r="M270" s="89"/>
      <c r="N270" s="83"/>
      <c r="O270" s="1"/>
      <c r="P270" s="89"/>
      <c r="Q270" s="83"/>
      <c r="R270" s="1"/>
      <c r="S270" s="89"/>
      <c r="T270" s="83"/>
      <c r="U270" s="1"/>
      <c r="V270" s="89"/>
      <c r="W270" s="83"/>
      <c r="X270" s="1"/>
      <c r="Y270" s="89"/>
      <c r="Z270" s="83"/>
      <c r="AA270" s="1"/>
      <c r="AB270" s="89"/>
      <c r="AC270" s="83"/>
      <c r="AD270" s="1"/>
      <c r="AE270" s="89"/>
      <c r="AF270" s="83"/>
      <c r="AG270" s="1"/>
      <c r="AH270" s="89"/>
      <c r="AI270" s="83"/>
      <c r="AJ270" s="1"/>
      <c r="AK270" s="89"/>
      <c r="AL270" s="83"/>
      <c r="AM270" s="1"/>
      <c r="AN270" s="89"/>
      <c r="AO270" s="83"/>
      <c r="AP270" s="1"/>
      <c r="AQ270" s="89"/>
      <c r="AR270" s="83"/>
      <c r="AS270" s="1"/>
      <c r="AT270" s="89"/>
      <c r="AU270" s="83"/>
      <c r="AV270" s="1"/>
      <c r="AW270" s="89"/>
      <c r="AX270" s="83"/>
      <c r="AY270" s="1"/>
      <c r="AZ270" s="89"/>
    </row>
    <row r="271" spans="1:52" x14ac:dyDescent="0.3">
      <c r="A271" s="41">
        <v>2046</v>
      </c>
      <c r="B271" s="83"/>
      <c r="C271" s="1"/>
      <c r="D271" s="89"/>
      <c r="E271" s="83"/>
      <c r="F271" s="1"/>
      <c r="G271" s="89"/>
      <c r="H271" s="83"/>
      <c r="I271" s="1"/>
      <c r="J271" s="89"/>
      <c r="K271" s="83"/>
      <c r="L271" s="1"/>
      <c r="M271" s="89"/>
      <c r="N271" s="83"/>
      <c r="O271" s="1"/>
      <c r="P271" s="89"/>
      <c r="Q271" s="83"/>
      <c r="R271" s="1"/>
      <c r="S271" s="89"/>
      <c r="T271" s="83"/>
      <c r="U271" s="1"/>
      <c r="V271" s="89"/>
      <c r="W271" s="83"/>
      <c r="X271" s="1"/>
      <c r="Y271" s="89"/>
      <c r="Z271" s="83"/>
      <c r="AA271" s="1"/>
      <c r="AB271" s="89"/>
      <c r="AC271" s="83"/>
      <c r="AD271" s="1"/>
      <c r="AE271" s="89"/>
      <c r="AF271" s="83"/>
      <c r="AG271" s="1"/>
      <c r="AH271" s="89"/>
      <c r="AI271" s="83"/>
      <c r="AJ271" s="1"/>
      <c r="AK271" s="89"/>
      <c r="AL271" s="83"/>
      <c r="AM271" s="1"/>
      <c r="AN271" s="89"/>
      <c r="AO271" s="83"/>
      <c r="AP271" s="1"/>
      <c r="AQ271" s="89"/>
      <c r="AR271" s="83"/>
      <c r="AS271" s="1"/>
      <c r="AT271" s="89"/>
      <c r="AU271" s="83"/>
      <c r="AV271" s="1"/>
      <c r="AW271" s="89"/>
      <c r="AX271" s="83"/>
      <c r="AY271" s="1"/>
      <c r="AZ271" s="89"/>
    </row>
    <row r="272" spans="1:52" x14ac:dyDescent="0.3">
      <c r="A272" s="41">
        <v>2047</v>
      </c>
      <c r="B272" s="83"/>
      <c r="C272" s="1"/>
      <c r="D272" s="89"/>
      <c r="E272" s="83"/>
      <c r="F272" s="1"/>
      <c r="G272" s="89"/>
      <c r="H272" s="83"/>
      <c r="I272" s="1"/>
      <c r="J272" s="89"/>
      <c r="K272" s="83"/>
      <c r="L272" s="1"/>
      <c r="M272" s="89"/>
      <c r="N272" s="83"/>
      <c r="O272" s="1"/>
      <c r="P272" s="89"/>
      <c r="Q272" s="83"/>
      <c r="R272" s="1"/>
      <c r="S272" s="89"/>
      <c r="T272" s="83"/>
      <c r="U272" s="1"/>
      <c r="V272" s="89"/>
      <c r="W272" s="83"/>
      <c r="X272" s="1"/>
      <c r="Y272" s="89"/>
      <c r="Z272" s="83"/>
      <c r="AA272" s="1"/>
      <c r="AB272" s="89"/>
      <c r="AC272" s="83"/>
      <c r="AD272" s="1"/>
      <c r="AE272" s="89"/>
      <c r="AF272" s="83"/>
      <c r="AG272" s="1"/>
      <c r="AH272" s="89"/>
      <c r="AI272" s="83"/>
      <c r="AJ272" s="1"/>
      <c r="AK272" s="89"/>
      <c r="AL272" s="83"/>
      <c r="AM272" s="1"/>
      <c r="AN272" s="89"/>
      <c r="AO272" s="83"/>
      <c r="AP272" s="1"/>
      <c r="AQ272" s="89"/>
      <c r="AR272" s="83"/>
      <c r="AS272" s="1"/>
      <c r="AT272" s="89"/>
      <c r="AU272" s="83"/>
      <c r="AV272" s="1"/>
      <c r="AW272" s="89"/>
      <c r="AX272" s="83"/>
      <c r="AY272" s="1"/>
      <c r="AZ272" s="89"/>
    </row>
    <row r="273" spans="1:52" x14ac:dyDescent="0.3">
      <c r="A273" s="41">
        <v>2048</v>
      </c>
      <c r="B273" s="83"/>
      <c r="C273" s="1"/>
      <c r="D273" s="89"/>
      <c r="E273" s="83"/>
      <c r="F273" s="1"/>
      <c r="G273" s="89"/>
      <c r="H273" s="83"/>
      <c r="I273" s="1"/>
      <c r="J273" s="89"/>
      <c r="K273" s="83"/>
      <c r="L273" s="1"/>
      <c r="M273" s="89"/>
      <c r="N273" s="83"/>
      <c r="O273" s="1"/>
      <c r="P273" s="89"/>
      <c r="Q273" s="83"/>
      <c r="R273" s="1"/>
      <c r="S273" s="89"/>
      <c r="T273" s="83"/>
      <c r="U273" s="1"/>
      <c r="V273" s="89"/>
      <c r="W273" s="83"/>
      <c r="X273" s="1"/>
      <c r="Y273" s="89"/>
      <c r="Z273" s="83"/>
      <c r="AA273" s="1"/>
      <c r="AB273" s="89"/>
      <c r="AC273" s="83"/>
      <c r="AD273" s="1"/>
      <c r="AE273" s="89"/>
      <c r="AF273" s="83"/>
      <c r="AG273" s="1"/>
      <c r="AH273" s="89"/>
      <c r="AI273" s="83"/>
      <c r="AJ273" s="1"/>
      <c r="AK273" s="89"/>
      <c r="AL273" s="83"/>
      <c r="AM273" s="1"/>
      <c r="AN273" s="89"/>
      <c r="AO273" s="83"/>
      <c r="AP273" s="1"/>
      <c r="AQ273" s="89"/>
      <c r="AR273" s="83"/>
      <c r="AS273" s="1"/>
      <c r="AT273" s="89"/>
      <c r="AU273" s="83"/>
      <c r="AV273" s="1"/>
      <c r="AW273" s="89"/>
      <c r="AX273" s="83"/>
      <c r="AY273" s="1"/>
      <c r="AZ273" s="89"/>
    </row>
    <row r="274" spans="1:52" x14ac:dyDescent="0.3">
      <c r="A274" s="41">
        <v>2049</v>
      </c>
      <c r="B274" s="83"/>
      <c r="C274" s="1"/>
      <c r="D274" s="89"/>
      <c r="E274" s="83"/>
      <c r="F274" s="1"/>
      <c r="G274" s="89"/>
      <c r="H274" s="83"/>
      <c r="I274" s="1"/>
      <c r="J274" s="89"/>
      <c r="K274" s="83"/>
      <c r="L274" s="1"/>
      <c r="M274" s="89"/>
      <c r="N274" s="83"/>
      <c r="O274" s="1"/>
      <c r="P274" s="89"/>
      <c r="Q274" s="83"/>
      <c r="R274" s="1"/>
      <c r="S274" s="89"/>
      <c r="T274" s="83"/>
      <c r="U274" s="1"/>
      <c r="V274" s="89"/>
      <c r="W274" s="83"/>
      <c r="X274" s="1"/>
      <c r="Y274" s="89"/>
      <c r="Z274" s="83"/>
      <c r="AA274" s="1"/>
      <c r="AB274" s="89"/>
      <c r="AC274" s="83"/>
      <c r="AD274" s="1"/>
      <c r="AE274" s="89"/>
      <c r="AF274" s="83"/>
      <c r="AG274" s="1"/>
      <c r="AH274" s="89"/>
      <c r="AI274" s="83"/>
      <c r="AJ274" s="1"/>
      <c r="AK274" s="89"/>
      <c r="AL274" s="83"/>
      <c r="AM274" s="1"/>
      <c r="AN274" s="89"/>
      <c r="AO274" s="83"/>
      <c r="AP274" s="1"/>
      <c r="AQ274" s="89"/>
      <c r="AR274" s="83"/>
      <c r="AS274" s="1"/>
      <c r="AT274" s="89"/>
      <c r="AU274" s="83"/>
      <c r="AV274" s="1"/>
      <c r="AW274" s="89"/>
      <c r="AX274" s="83"/>
      <c r="AY274" s="1"/>
      <c r="AZ274" s="89"/>
    </row>
    <row r="275" spans="1:52" ht="15" thickBot="1" x14ac:dyDescent="0.35">
      <c r="A275" s="42">
        <v>2050</v>
      </c>
      <c r="B275" s="90"/>
      <c r="C275" s="91"/>
      <c r="D275" s="92"/>
      <c r="E275" s="90"/>
      <c r="F275" s="91"/>
      <c r="G275" s="92"/>
      <c r="H275" s="90"/>
      <c r="I275" s="91"/>
      <c r="J275" s="92"/>
      <c r="K275" s="90"/>
      <c r="L275" s="91"/>
      <c r="M275" s="92"/>
      <c r="N275" s="90">
        <v>48.8</v>
      </c>
      <c r="O275" s="91">
        <v>64.05</v>
      </c>
      <c r="P275" s="92">
        <v>79.3</v>
      </c>
      <c r="Q275" s="90">
        <v>36.6</v>
      </c>
      <c r="R275" s="91">
        <v>48.8</v>
      </c>
      <c r="S275" s="92">
        <v>61</v>
      </c>
      <c r="T275" s="90">
        <v>36.6</v>
      </c>
      <c r="U275" s="91">
        <v>48.8</v>
      </c>
      <c r="V275" s="92">
        <v>61</v>
      </c>
      <c r="W275" s="90">
        <v>30.5</v>
      </c>
      <c r="X275" s="91">
        <v>42.7</v>
      </c>
      <c r="Y275" s="92">
        <v>54.9</v>
      </c>
      <c r="Z275" s="90">
        <v>42.699999999999996</v>
      </c>
      <c r="AA275" s="91">
        <v>57.95</v>
      </c>
      <c r="AB275" s="92">
        <v>73.2</v>
      </c>
      <c r="AC275" s="90">
        <v>30.5</v>
      </c>
      <c r="AD275" s="91">
        <v>42.7</v>
      </c>
      <c r="AE275" s="92">
        <v>54.9</v>
      </c>
      <c r="AF275" s="90">
        <v>30.5</v>
      </c>
      <c r="AG275" s="91">
        <v>42.7</v>
      </c>
      <c r="AH275" s="92">
        <v>54.9</v>
      </c>
      <c r="AI275" s="90">
        <v>48.8</v>
      </c>
      <c r="AJ275" s="91">
        <v>64.05</v>
      </c>
      <c r="AK275" s="92">
        <v>79.3</v>
      </c>
      <c r="AL275" s="90">
        <v>36.6</v>
      </c>
      <c r="AM275" s="91">
        <v>51.849999999999994</v>
      </c>
      <c r="AN275" s="92">
        <v>67.099999999999994</v>
      </c>
      <c r="AO275" s="90">
        <v>36.6</v>
      </c>
      <c r="AP275" s="91">
        <v>48.8</v>
      </c>
      <c r="AQ275" s="92">
        <v>61</v>
      </c>
      <c r="AR275" s="90">
        <v>48.8</v>
      </c>
      <c r="AS275" s="91">
        <v>64.05</v>
      </c>
      <c r="AT275" s="92">
        <v>79.3</v>
      </c>
      <c r="AU275" s="90">
        <v>36.6</v>
      </c>
      <c r="AV275" s="91">
        <v>48.8</v>
      </c>
      <c r="AW275" s="92">
        <v>61</v>
      </c>
      <c r="AX275" s="90">
        <v>36.6</v>
      </c>
      <c r="AY275" s="91">
        <v>48.8</v>
      </c>
      <c r="AZ275" s="92">
        <v>61</v>
      </c>
    </row>
    <row r="276" spans="1:52" ht="15" thickBot="1" x14ac:dyDescent="0.35"/>
    <row r="277" spans="1:52" ht="18.600000000000001" thickBot="1" x14ac:dyDescent="0.35">
      <c r="A277" s="289" t="s">
        <v>0</v>
      </c>
      <c r="B277" s="362" t="s">
        <v>124</v>
      </c>
      <c r="C277" s="364"/>
      <c r="D277" s="364"/>
      <c r="E277" s="364"/>
      <c r="F277" s="364"/>
      <c r="G277" s="364"/>
      <c r="H277" s="364"/>
      <c r="I277" s="364"/>
      <c r="J277" s="364"/>
      <c r="K277" s="364"/>
      <c r="L277" s="364"/>
      <c r="M277" s="364"/>
      <c r="N277" s="364"/>
      <c r="O277" s="364"/>
      <c r="P277" s="363"/>
    </row>
    <row r="278" spans="1:52" ht="18.600000000000001" thickBot="1" x14ac:dyDescent="0.35">
      <c r="A278" s="344"/>
      <c r="B278" s="362" t="s">
        <v>372</v>
      </c>
      <c r="C278" s="363"/>
      <c r="D278" s="362" t="s">
        <v>373</v>
      </c>
      <c r="E278" s="364"/>
      <c r="F278" s="364"/>
      <c r="G278" s="363"/>
      <c r="H278" s="362" t="s">
        <v>374</v>
      </c>
      <c r="I278" s="364"/>
      <c r="J278" s="363"/>
      <c r="K278" s="362" t="s">
        <v>375</v>
      </c>
      <c r="L278" s="364"/>
      <c r="M278" s="363"/>
      <c r="N278" s="362" t="s">
        <v>376</v>
      </c>
      <c r="O278" s="364"/>
      <c r="P278" s="363"/>
    </row>
    <row r="279" spans="1:52" ht="15" thickBot="1" x14ac:dyDescent="0.35">
      <c r="A279" s="290"/>
      <c r="B279" s="84" t="s">
        <v>115</v>
      </c>
      <c r="C279" s="86" t="s">
        <v>116</v>
      </c>
      <c r="D279" s="84" t="s">
        <v>115</v>
      </c>
      <c r="E279" s="85" t="s">
        <v>117</v>
      </c>
      <c r="F279" s="85" t="s">
        <v>116</v>
      </c>
      <c r="G279" s="86" t="s">
        <v>118</v>
      </c>
      <c r="H279" s="84" t="s">
        <v>115</v>
      </c>
      <c r="I279" s="85" t="s">
        <v>117</v>
      </c>
      <c r="J279" s="86" t="s">
        <v>118</v>
      </c>
      <c r="K279" s="84" t="s">
        <v>115</v>
      </c>
      <c r="L279" s="85" t="s">
        <v>117</v>
      </c>
      <c r="M279" s="86" t="s">
        <v>118</v>
      </c>
      <c r="N279" s="84" t="s">
        <v>115</v>
      </c>
      <c r="O279" s="85" t="s">
        <v>117</v>
      </c>
      <c r="P279" s="86" t="s">
        <v>118</v>
      </c>
    </row>
    <row r="280" spans="1:52" x14ac:dyDescent="0.3">
      <c r="A280" s="41">
        <v>2019</v>
      </c>
      <c r="B280" s="83">
        <v>1845</v>
      </c>
      <c r="C280" s="89">
        <v>1845</v>
      </c>
      <c r="D280" s="83"/>
      <c r="E280" s="1"/>
      <c r="F280" s="1"/>
      <c r="G280" s="89"/>
      <c r="H280" s="83"/>
      <c r="I280" s="1"/>
      <c r="J280" s="89"/>
      <c r="K280" s="83"/>
      <c r="L280" s="1"/>
      <c r="M280" s="89"/>
      <c r="N280" s="83"/>
      <c r="O280" s="1"/>
      <c r="P280" s="89"/>
    </row>
    <row r="281" spans="1:52" x14ac:dyDescent="0.3">
      <c r="A281" s="41">
        <v>2020</v>
      </c>
      <c r="B281" s="83"/>
      <c r="C281" s="89"/>
      <c r="D281" s="83">
        <v>1512.8</v>
      </c>
      <c r="E281" s="1">
        <v>1512.8</v>
      </c>
      <c r="F281" s="1">
        <v>1512.8</v>
      </c>
      <c r="G281" s="89">
        <v>1512.8</v>
      </c>
      <c r="H281" s="83"/>
      <c r="I281" s="1"/>
      <c r="J281" s="89"/>
      <c r="K281" s="83"/>
      <c r="L281" s="1"/>
      <c r="M281" s="89"/>
      <c r="N281" s="83"/>
      <c r="O281" s="1"/>
      <c r="P281" s="89"/>
    </row>
    <row r="282" spans="1:52" x14ac:dyDescent="0.3">
      <c r="A282" s="41">
        <v>2021</v>
      </c>
      <c r="B282" s="83"/>
      <c r="C282" s="89"/>
      <c r="D282" s="83"/>
      <c r="E282" s="1"/>
      <c r="F282" s="1"/>
      <c r="G282" s="89"/>
      <c r="H282" s="83">
        <v>1322.3999999999999</v>
      </c>
      <c r="I282" s="1">
        <v>1322.3999999999999</v>
      </c>
      <c r="J282" s="89">
        <v>1322.3999999999999</v>
      </c>
      <c r="K282" s="83"/>
      <c r="L282" s="1"/>
      <c r="M282" s="89"/>
      <c r="N282" s="83"/>
      <c r="O282" s="1"/>
      <c r="P282" s="89"/>
    </row>
    <row r="283" spans="1:52" x14ac:dyDescent="0.3">
      <c r="A283" s="41">
        <v>2022</v>
      </c>
      <c r="B283" s="83"/>
      <c r="C283" s="89"/>
      <c r="D283" s="83"/>
      <c r="E283" s="1"/>
      <c r="F283" s="1"/>
      <c r="G283" s="89"/>
      <c r="H283" s="83"/>
      <c r="I283" s="1"/>
      <c r="J283" s="89"/>
      <c r="K283" s="83">
        <v>1360.8000000000002</v>
      </c>
      <c r="L283" s="1">
        <v>1360.8000000000002</v>
      </c>
      <c r="M283" s="89">
        <v>1360.8000000000002</v>
      </c>
      <c r="N283" s="83"/>
      <c r="O283" s="1"/>
      <c r="P283" s="89"/>
    </row>
    <row r="284" spans="1:52" x14ac:dyDescent="0.3">
      <c r="A284" s="41">
        <v>2023</v>
      </c>
      <c r="B284" s="83"/>
      <c r="C284" s="89"/>
      <c r="D284" s="83"/>
      <c r="E284" s="1"/>
      <c r="F284" s="1"/>
      <c r="G284" s="89"/>
      <c r="H284" s="83"/>
      <c r="I284" s="1"/>
      <c r="J284" s="89"/>
      <c r="K284" s="83"/>
      <c r="L284" s="1"/>
      <c r="M284" s="89"/>
      <c r="N284" s="83">
        <v>1040</v>
      </c>
      <c r="O284" s="1">
        <v>1040</v>
      </c>
      <c r="P284" s="89">
        <v>1040</v>
      </c>
    </row>
    <row r="285" spans="1:52" x14ac:dyDescent="0.3">
      <c r="A285" s="41">
        <v>2024</v>
      </c>
      <c r="B285" s="83"/>
      <c r="C285" s="89"/>
      <c r="D285" s="83"/>
      <c r="E285" s="1"/>
      <c r="F285" s="1"/>
      <c r="G285" s="89"/>
      <c r="H285" s="83"/>
      <c r="I285" s="1"/>
      <c r="J285" s="89"/>
      <c r="K285" s="83"/>
      <c r="L285" s="1"/>
      <c r="M285" s="89"/>
      <c r="N285" s="83"/>
      <c r="O285" s="1"/>
      <c r="P285" s="89"/>
    </row>
    <row r="286" spans="1:52" x14ac:dyDescent="0.3">
      <c r="A286" s="41">
        <v>2025</v>
      </c>
      <c r="B286" s="83">
        <v>1303.8</v>
      </c>
      <c r="C286" s="89">
        <v>1230</v>
      </c>
      <c r="D286" s="83"/>
      <c r="E286" s="1"/>
      <c r="F286" s="1"/>
      <c r="G286" s="89"/>
      <c r="H286" s="83"/>
      <c r="I286" s="1"/>
      <c r="J286" s="89"/>
      <c r="K286" s="83"/>
      <c r="L286" s="1"/>
      <c r="M286" s="89"/>
      <c r="N286" s="83"/>
      <c r="O286" s="1"/>
      <c r="P286" s="89"/>
    </row>
    <row r="287" spans="1:52" x14ac:dyDescent="0.3">
      <c r="A287" s="41">
        <v>2026</v>
      </c>
      <c r="B287" s="83"/>
      <c r="C287" s="89"/>
      <c r="D287" s="83"/>
      <c r="E287" s="1"/>
      <c r="F287" s="1"/>
      <c r="G287" s="89"/>
      <c r="H287" s="83"/>
      <c r="I287" s="1"/>
      <c r="J287" s="89"/>
      <c r="K287" s="83"/>
      <c r="L287" s="1"/>
      <c r="M287" s="89"/>
      <c r="N287" s="83"/>
      <c r="O287" s="1"/>
      <c r="P287" s="89"/>
    </row>
    <row r="288" spans="1:52" x14ac:dyDescent="0.3">
      <c r="A288" s="41">
        <v>2027</v>
      </c>
      <c r="B288" s="83"/>
      <c r="C288" s="89"/>
      <c r="D288" s="83"/>
      <c r="E288" s="1"/>
      <c r="F288" s="1"/>
      <c r="G288" s="89"/>
      <c r="H288" s="83"/>
      <c r="I288" s="1"/>
      <c r="J288" s="89"/>
      <c r="K288" s="83"/>
      <c r="L288" s="1"/>
      <c r="M288" s="89"/>
      <c r="N288" s="83"/>
      <c r="O288" s="1"/>
      <c r="P288" s="89"/>
    </row>
    <row r="289" spans="1:16" x14ac:dyDescent="0.3">
      <c r="A289" s="41">
        <v>2028</v>
      </c>
      <c r="B289" s="83"/>
      <c r="C289" s="89"/>
      <c r="D289" s="83"/>
      <c r="E289" s="1"/>
      <c r="F289" s="1"/>
      <c r="G289" s="89"/>
      <c r="H289" s="83"/>
      <c r="I289" s="1"/>
      <c r="J289" s="89"/>
      <c r="K289" s="83"/>
      <c r="L289" s="1"/>
      <c r="M289" s="89"/>
      <c r="N289" s="83"/>
      <c r="O289" s="1"/>
      <c r="P289" s="89"/>
    </row>
    <row r="290" spans="1:16" x14ac:dyDescent="0.3">
      <c r="A290" s="41">
        <v>2029</v>
      </c>
      <c r="B290" s="83"/>
      <c r="C290" s="89"/>
      <c r="D290" s="83"/>
      <c r="E290" s="1"/>
      <c r="F290" s="1"/>
      <c r="G290" s="89"/>
      <c r="H290" s="83"/>
      <c r="I290" s="1"/>
      <c r="J290" s="89"/>
      <c r="K290" s="83"/>
      <c r="L290" s="1"/>
      <c r="M290" s="89"/>
      <c r="N290" s="83"/>
      <c r="O290" s="1"/>
      <c r="P290" s="89"/>
    </row>
    <row r="291" spans="1:16" x14ac:dyDescent="0.3">
      <c r="A291" s="41">
        <v>2030</v>
      </c>
      <c r="B291" s="83">
        <v>1107</v>
      </c>
      <c r="C291" s="89">
        <v>1023.36</v>
      </c>
      <c r="D291" s="83">
        <v>878.4</v>
      </c>
      <c r="E291" s="1">
        <v>829.6</v>
      </c>
      <c r="F291" s="1">
        <v>829.6</v>
      </c>
      <c r="G291" s="89">
        <v>756.4</v>
      </c>
      <c r="H291" s="83">
        <v>858.4</v>
      </c>
      <c r="I291" s="1">
        <v>858.4</v>
      </c>
      <c r="J291" s="89">
        <v>835.19999999999993</v>
      </c>
      <c r="K291" s="83">
        <v>799.2</v>
      </c>
      <c r="L291" s="1">
        <v>777.6</v>
      </c>
      <c r="M291" s="89">
        <v>756</v>
      </c>
      <c r="N291" s="83">
        <v>728</v>
      </c>
      <c r="O291" s="1">
        <v>707.2</v>
      </c>
      <c r="P291" s="89">
        <v>686.4</v>
      </c>
    </row>
    <row r="292" spans="1:16" x14ac:dyDescent="0.3">
      <c r="A292" s="41">
        <v>2031</v>
      </c>
      <c r="B292" s="83"/>
      <c r="C292" s="89"/>
      <c r="D292" s="83"/>
      <c r="E292" s="1"/>
      <c r="F292" s="1"/>
      <c r="G292" s="89"/>
      <c r="H292" s="83"/>
      <c r="I292" s="1"/>
      <c r="J292" s="89"/>
      <c r="K292" s="83"/>
      <c r="L292" s="1"/>
      <c r="M292" s="89"/>
      <c r="N292" s="83"/>
      <c r="O292" s="1"/>
      <c r="P292" s="89"/>
    </row>
    <row r="293" spans="1:16" x14ac:dyDescent="0.3">
      <c r="A293" s="41">
        <v>2032</v>
      </c>
      <c r="B293" s="83"/>
      <c r="C293" s="89"/>
      <c r="D293" s="83"/>
      <c r="E293" s="1"/>
      <c r="F293" s="1"/>
      <c r="G293" s="89"/>
      <c r="H293" s="83"/>
      <c r="I293" s="1"/>
      <c r="J293" s="89"/>
      <c r="K293" s="83"/>
      <c r="L293" s="1"/>
      <c r="M293" s="89"/>
      <c r="N293" s="83"/>
      <c r="O293" s="1"/>
      <c r="P293" s="89"/>
    </row>
    <row r="294" spans="1:16" x14ac:dyDescent="0.3">
      <c r="A294" s="41">
        <v>2033</v>
      </c>
      <c r="B294" s="83"/>
      <c r="C294" s="89"/>
      <c r="D294" s="83"/>
      <c r="E294" s="1"/>
      <c r="F294" s="1"/>
      <c r="G294" s="89"/>
      <c r="H294" s="83"/>
      <c r="I294" s="1"/>
      <c r="J294" s="89"/>
      <c r="K294" s="83"/>
      <c r="L294" s="1"/>
      <c r="M294" s="89"/>
      <c r="N294" s="83"/>
      <c r="O294" s="1"/>
      <c r="P294" s="89"/>
    </row>
    <row r="295" spans="1:16" x14ac:dyDescent="0.3">
      <c r="A295" s="41">
        <v>2034</v>
      </c>
      <c r="B295" s="83"/>
      <c r="C295" s="89"/>
      <c r="D295" s="83"/>
      <c r="E295" s="1"/>
      <c r="F295" s="1"/>
      <c r="G295" s="89"/>
      <c r="H295" s="83"/>
      <c r="I295" s="1"/>
      <c r="J295" s="89"/>
      <c r="K295" s="83"/>
      <c r="L295" s="1"/>
      <c r="M295" s="89"/>
      <c r="N295" s="83"/>
      <c r="O295" s="1"/>
      <c r="P295" s="89"/>
    </row>
    <row r="296" spans="1:16" x14ac:dyDescent="0.3">
      <c r="A296" s="41">
        <v>2035</v>
      </c>
      <c r="B296" s="83"/>
      <c r="C296" s="89"/>
      <c r="D296" s="83"/>
      <c r="E296" s="1"/>
      <c r="F296" s="1"/>
      <c r="G296" s="89"/>
      <c r="H296" s="83"/>
      <c r="I296" s="1"/>
      <c r="J296" s="89"/>
      <c r="K296" s="83"/>
      <c r="L296" s="1"/>
      <c r="M296" s="89"/>
      <c r="N296" s="83">
        <v>644.80000000000007</v>
      </c>
      <c r="O296" s="1">
        <v>624</v>
      </c>
      <c r="P296" s="89">
        <v>603.20000000000005</v>
      </c>
    </row>
    <row r="297" spans="1:16" x14ac:dyDescent="0.3">
      <c r="A297" s="41">
        <v>2036</v>
      </c>
      <c r="B297" s="83"/>
      <c r="C297" s="89"/>
      <c r="D297" s="83"/>
      <c r="E297" s="1"/>
      <c r="F297" s="1"/>
      <c r="G297" s="89"/>
      <c r="H297" s="83"/>
      <c r="I297" s="1"/>
      <c r="J297" s="89"/>
      <c r="K297" s="83"/>
      <c r="L297" s="1"/>
      <c r="M297" s="89"/>
      <c r="N297" s="83"/>
      <c r="O297" s="1"/>
      <c r="P297" s="89"/>
    </row>
    <row r="298" spans="1:16" x14ac:dyDescent="0.3">
      <c r="A298" s="41">
        <v>2037</v>
      </c>
      <c r="B298" s="83"/>
      <c r="C298" s="89"/>
      <c r="D298" s="83"/>
      <c r="E298" s="1"/>
      <c r="F298" s="1"/>
      <c r="G298" s="89"/>
      <c r="H298" s="83"/>
      <c r="I298" s="1"/>
      <c r="J298" s="89"/>
      <c r="K298" s="83"/>
      <c r="L298" s="1"/>
      <c r="M298" s="89"/>
      <c r="N298" s="83"/>
      <c r="O298" s="1"/>
      <c r="P298" s="89"/>
    </row>
    <row r="299" spans="1:16" x14ac:dyDescent="0.3">
      <c r="A299" s="41">
        <v>2038</v>
      </c>
      <c r="B299" s="83"/>
      <c r="C299" s="89"/>
      <c r="D299" s="83"/>
      <c r="E299" s="1"/>
      <c r="F299" s="1"/>
      <c r="G299" s="89"/>
      <c r="H299" s="83"/>
      <c r="I299" s="1"/>
      <c r="J299" s="89"/>
      <c r="K299" s="83"/>
      <c r="L299" s="1"/>
      <c r="M299" s="89"/>
      <c r="N299" s="83"/>
      <c r="O299" s="1"/>
      <c r="P299" s="89"/>
    </row>
    <row r="300" spans="1:16" x14ac:dyDescent="0.3">
      <c r="A300" s="41">
        <v>2039</v>
      </c>
      <c r="B300" s="83"/>
      <c r="C300" s="89"/>
      <c r="D300" s="83"/>
      <c r="E300" s="1"/>
      <c r="F300" s="1"/>
      <c r="G300" s="89"/>
      <c r="H300" s="83"/>
      <c r="I300" s="1"/>
      <c r="J300" s="89"/>
      <c r="K300" s="83"/>
      <c r="L300" s="1"/>
      <c r="M300" s="89"/>
      <c r="N300" s="83"/>
      <c r="O300" s="1"/>
      <c r="P300" s="89"/>
    </row>
    <row r="301" spans="1:16" x14ac:dyDescent="0.3">
      <c r="A301" s="41">
        <v>2040</v>
      </c>
      <c r="B301" s="83">
        <v>905.28</v>
      </c>
      <c r="C301" s="89">
        <v>831.48</v>
      </c>
      <c r="D301" s="83"/>
      <c r="E301" s="1"/>
      <c r="F301" s="1"/>
      <c r="G301" s="89"/>
      <c r="H301" s="83"/>
      <c r="I301" s="1"/>
      <c r="J301" s="89"/>
      <c r="K301" s="83"/>
      <c r="L301" s="1"/>
      <c r="M301" s="89"/>
      <c r="N301" s="83"/>
      <c r="O301" s="1"/>
      <c r="P301" s="89"/>
    </row>
    <row r="302" spans="1:16" x14ac:dyDescent="0.3">
      <c r="A302" s="41">
        <v>2041</v>
      </c>
      <c r="B302" s="83"/>
      <c r="C302" s="89"/>
      <c r="D302" s="83"/>
      <c r="E302" s="1"/>
      <c r="F302" s="1"/>
      <c r="G302" s="89"/>
      <c r="H302" s="83"/>
      <c r="I302" s="1"/>
      <c r="J302" s="89"/>
      <c r="K302" s="83"/>
      <c r="L302" s="1"/>
      <c r="M302" s="89"/>
      <c r="N302" s="83"/>
      <c r="O302" s="1"/>
      <c r="P302" s="89"/>
    </row>
    <row r="303" spans="1:16" x14ac:dyDescent="0.3">
      <c r="A303" s="41">
        <v>2042</v>
      </c>
      <c r="B303" s="83"/>
      <c r="C303" s="89"/>
      <c r="D303" s="83"/>
      <c r="E303" s="1"/>
      <c r="F303" s="1"/>
      <c r="G303" s="89"/>
      <c r="H303" s="83"/>
      <c r="I303" s="1"/>
      <c r="J303" s="89"/>
      <c r="K303" s="83"/>
      <c r="L303" s="1"/>
      <c r="M303" s="89"/>
      <c r="N303" s="83"/>
      <c r="O303" s="1"/>
      <c r="P303" s="89"/>
    </row>
    <row r="304" spans="1:16" x14ac:dyDescent="0.3">
      <c r="A304" s="41">
        <v>2043</v>
      </c>
      <c r="B304" s="83"/>
      <c r="C304" s="89"/>
      <c r="D304" s="83"/>
      <c r="E304" s="1"/>
      <c r="F304" s="1"/>
      <c r="G304" s="89"/>
      <c r="H304" s="83"/>
      <c r="I304" s="1"/>
      <c r="J304" s="89"/>
      <c r="K304" s="83"/>
      <c r="L304" s="1"/>
      <c r="M304" s="89"/>
      <c r="N304" s="83"/>
      <c r="O304" s="1"/>
      <c r="P304" s="89"/>
    </row>
    <row r="305" spans="1:28" x14ac:dyDescent="0.3">
      <c r="A305" s="41">
        <v>2044</v>
      </c>
      <c r="B305" s="83"/>
      <c r="C305" s="89"/>
      <c r="D305" s="83"/>
      <c r="E305" s="1"/>
      <c r="F305" s="1"/>
      <c r="G305" s="89"/>
      <c r="H305" s="83"/>
      <c r="I305" s="1"/>
      <c r="J305" s="89"/>
      <c r="K305" s="83"/>
      <c r="L305" s="1"/>
      <c r="M305" s="89"/>
      <c r="N305" s="83"/>
      <c r="O305" s="1"/>
      <c r="P305" s="89"/>
    </row>
    <row r="306" spans="1:28" x14ac:dyDescent="0.3">
      <c r="A306" s="41">
        <v>2045</v>
      </c>
      <c r="B306" s="83"/>
      <c r="C306" s="89"/>
      <c r="D306" s="83"/>
      <c r="E306" s="1"/>
      <c r="F306" s="1"/>
      <c r="G306" s="89"/>
      <c r="H306" s="83"/>
      <c r="I306" s="1"/>
      <c r="J306" s="89"/>
      <c r="K306" s="83"/>
      <c r="L306" s="1"/>
      <c r="M306" s="89"/>
      <c r="N306" s="83"/>
      <c r="O306" s="1"/>
      <c r="P306" s="89"/>
    </row>
    <row r="307" spans="1:28" x14ac:dyDescent="0.3">
      <c r="A307" s="41">
        <v>2046</v>
      </c>
      <c r="B307" s="83"/>
      <c r="C307" s="89"/>
      <c r="D307" s="83"/>
      <c r="E307" s="1"/>
      <c r="F307" s="1"/>
      <c r="G307" s="89"/>
      <c r="H307" s="83"/>
      <c r="I307" s="1"/>
      <c r="J307" s="89"/>
      <c r="K307" s="83"/>
      <c r="L307" s="1"/>
      <c r="M307" s="89"/>
      <c r="N307" s="83"/>
      <c r="O307" s="1"/>
      <c r="P307" s="89"/>
    </row>
    <row r="308" spans="1:28" x14ac:dyDescent="0.3">
      <c r="A308" s="41">
        <v>2047</v>
      </c>
      <c r="B308" s="83"/>
      <c r="C308" s="89"/>
      <c r="D308" s="83"/>
      <c r="E308" s="1"/>
      <c r="F308" s="1"/>
      <c r="G308" s="89"/>
      <c r="H308" s="83"/>
      <c r="I308" s="1"/>
      <c r="J308" s="89"/>
      <c r="K308" s="83"/>
      <c r="L308" s="1"/>
      <c r="M308" s="89"/>
      <c r="N308" s="83"/>
      <c r="O308" s="1"/>
      <c r="P308" s="89"/>
    </row>
    <row r="309" spans="1:28" x14ac:dyDescent="0.3">
      <c r="A309" s="41">
        <v>2048</v>
      </c>
      <c r="B309" s="83"/>
      <c r="C309" s="89"/>
      <c r="D309" s="83"/>
      <c r="E309" s="1"/>
      <c r="F309" s="1"/>
      <c r="G309" s="89"/>
      <c r="H309" s="83"/>
      <c r="I309" s="1"/>
      <c r="J309" s="89"/>
      <c r="K309" s="83"/>
      <c r="L309" s="1"/>
      <c r="M309" s="89"/>
      <c r="N309" s="83"/>
      <c r="O309" s="1"/>
      <c r="P309" s="89"/>
    </row>
    <row r="310" spans="1:28" x14ac:dyDescent="0.3">
      <c r="A310" s="41">
        <v>2049</v>
      </c>
      <c r="B310" s="83"/>
      <c r="C310" s="89"/>
      <c r="D310" s="83"/>
      <c r="E310" s="1"/>
      <c r="F310" s="1"/>
      <c r="G310" s="89"/>
      <c r="H310" s="83"/>
      <c r="I310" s="1"/>
      <c r="J310" s="89"/>
      <c r="K310" s="83"/>
      <c r="L310" s="1"/>
      <c r="M310" s="89"/>
      <c r="N310" s="83"/>
      <c r="O310" s="1"/>
      <c r="P310" s="89"/>
    </row>
    <row r="311" spans="1:28" ht="15" thickBot="1" x14ac:dyDescent="0.35">
      <c r="A311" s="42">
        <v>2050</v>
      </c>
      <c r="B311" s="90"/>
      <c r="C311" s="92"/>
      <c r="D311" s="90">
        <v>634.4</v>
      </c>
      <c r="E311" s="91">
        <v>585.6</v>
      </c>
      <c r="F311" s="91">
        <v>561.19999999999993</v>
      </c>
      <c r="G311" s="92">
        <v>536.79999999999995</v>
      </c>
      <c r="H311" s="90">
        <v>626.4</v>
      </c>
      <c r="I311" s="91">
        <v>626.4</v>
      </c>
      <c r="J311" s="92">
        <v>626.4</v>
      </c>
      <c r="K311" s="90">
        <v>604.80000000000007</v>
      </c>
      <c r="L311" s="91">
        <v>583.20000000000005</v>
      </c>
      <c r="M311" s="92">
        <v>561.6</v>
      </c>
      <c r="N311" s="90">
        <v>540.80000000000007</v>
      </c>
      <c r="O311" s="91">
        <v>520</v>
      </c>
      <c r="P311" s="92">
        <v>499.20000000000005</v>
      </c>
    </row>
    <row r="312" spans="1:28" ht="15" thickBot="1" x14ac:dyDescent="0.35"/>
    <row r="313" spans="1:28" ht="18.600000000000001" thickBot="1" x14ac:dyDescent="0.35">
      <c r="A313" s="289" t="s">
        <v>0</v>
      </c>
      <c r="B313" s="359" t="s">
        <v>119</v>
      </c>
      <c r="C313" s="360"/>
      <c r="D313" s="360"/>
      <c r="E313" s="360"/>
      <c r="F313" s="360"/>
      <c r="G313" s="360"/>
      <c r="H313" s="360"/>
      <c r="I313" s="360"/>
      <c r="J313" s="360"/>
      <c r="K313" s="360"/>
      <c r="L313" s="360"/>
      <c r="M313" s="360"/>
      <c r="N313" s="360"/>
      <c r="O313" s="360"/>
      <c r="P313" s="360"/>
      <c r="Q313" s="360"/>
      <c r="R313" s="360"/>
      <c r="S313" s="360"/>
      <c r="T313" s="360"/>
      <c r="U313" s="360"/>
      <c r="V313" s="360"/>
      <c r="W313" s="360"/>
      <c r="X313" s="360"/>
      <c r="Y313" s="360"/>
      <c r="Z313" s="360"/>
      <c r="AA313" s="360"/>
      <c r="AB313" s="361"/>
    </row>
    <row r="314" spans="1:28" ht="18.600000000000001" thickBot="1" x14ac:dyDescent="0.35">
      <c r="A314" s="344"/>
      <c r="B314" s="359" t="s">
        <v>372</v>
      </c>
      <c r="C314" s="361"/>
      <c r="D314" s="359" t="s">
        <v>373</v>
      </c>
      <c r="E314" s="360"/>
      <c r="F314" s="360"/>
      <c r="G314" s="361"/>
      <c r="H314" s="359" t="s">
        <v>374</v>
      </c>
      <c r="I314" s="360"/>
      <c r="J314" s="361"/>
      <c r="K314" s="359" t="s">
        <v>366</v>
      </c>
      <c r="L314" s="360"/>
      <c r="M314" s="361"/>
      <c r="N314" s="359" t="s">
        <v>367</v>
      </c>
      <c r="O314" s="360"/>
      <c r="P314" s="361"/>
      <c r="Q314" s="359" t="s">
        <v>368</v>
      </c>
      <c r="R314" s="360"/>
      <c r="S314" s="361"/>
      <c r="T314" s="359" t="s">
        <v>369</v>
      </c>
      <c r="U314" s="360"/>
      <c r="V314" s="361"/>
      <c r="W314" s="359" t="s">
        <v>370</v>
      </c>
      <c r="X314" s="360"/>
      <c r="Y314" s="361"/>
      <c r="Z314" s="359" t="s">
        <v>371</v>
      </c>
      <c r="AA314" s="360"/>
      <c r="AB314" s="361"/>
    </row>
    <row r="315" spans="1:28" ht="15" thickBot="1" x14ac:dyDescent="0.35">
      <c r="A315" s="290"/>
      <c r="B315" s="84" t="s">
        <v>115</v>
      </c>
      <c r="C315" s="86" t="s">
        <v>116</v>
      </c>
      <c r="D315" s="84" t="s">
        <v>115</v>
      </c>
      <c r="E315" s="85" t="s">
        <v>117</v>
      </c>
      <c r="F315" s="85" t="s">
        <v>116</v>
      </c>
      <c r="G315" s="86" t="s">
        <v>118</v>
      </c>
      <c r="H315" s="84" t="s">
        <v>115</v>
      </c>
      <c r="I315" s="85" t="s">
        <v>117</v>
      </c>
      <c r="J315" s="86" t="s">
        <v>118</v>
      </c>
      <c r="K315" s="84" t="s">
        <v>18</v>
      </c>
      <c r="L315" s="85" t="s">
        <v>19</v>
      </c>
      <c r="M315" s="86" t="s">
        <v>20</v>
      </c>
      <c r="N315" s="84" t="s">
        <v>18</v>
      </c>
      <c r="O315" s="85" t="s">
        <v>19</v>
      </c>
      <c r="P315" s="86" t="s">
        <v>20</v>
      </c>
      <c r="Q315" s="84" t="s">
        <v>18</v>
      </c>
      <c r="R315" s="85" t="s">
        <v>19</v>
      </c>
      <c r="S315" s="86" t="s">
        <v>20</v>
      </c>
      <c r="T315" s="84" t="s">
        <v>18</v>
      </c>
      <c r="U315" s="85" t="s">
        <v>19</v>
      </c>
      <c r="V315" s="86" t="s">
        <v>20</v>
      </c>
      <c r="W315" s="84" t="s">
        <v>18</v>
      </c>
      <c r="X315" s="85" t="s">
        <v>19</v>
      </c>
      <c r="Y315" s="86" t="s">
        <v>20</v>
      </c>
      <c r="Z315" s="84" t="s">
        <v>18</v>
      </c>
      <c r="AA315" s="85" t="s">
        <v>19</v>
      </c>
      <c r="AB315" s="86" t="s">
        <v>20</v>
      </c>
    </row>
    <row r="316" spans="1:28" x14ac:dyDescent="0.3">
      <c r="A316" s="41">
        <v>2020</v>
      </c>
      <c r="B316" s="83">
        <v>1614.99</v>
      </c>
      <c r="C316" s="89">
        <v>1614.99</v>
      </c>
      <c r="D316" s="83">
        <v>1805.6</v>
      </c>
      <c r="E316" s="1">
        <v>1805.6</v>
      </c>
      <c r="F316" s="1">
        <v>1805.6</v>
      </c>
      <c r="G316" s="89">
        <v>1805.6</v>
      </c>
      <c r="H316" s="83"/>
      <c r="I316" s="1"/>
      <c r="J316" s="89"/>
      <c r="K316" s="83"/>
      <c r="L316" s="1"/>
      <c r="M316" s="89"/>
      <c r="N316" s="83"/>
      <c r="O316" s="1"/>
      <c r="P316" s="89"/>
      <c r="Q316" s="83"/>
      <c r="R316" s="1"/>
      <c r="S316" s="89"/>
      <c r="T316" s="83"/>
      <c r="U316" s="1"/>
      <c r="V316" s="89"/>
      <c r="W316" s="83"/>
      <c r="X316" s="1"/>
      <c r="Y316" s="89"/>
      <c r="Z316" s="83"/>
      <c r="AA316" s="1"/>
      <c r="AB316" s="89"/>
    </row>
    <row r="317" spans="1:28" x14ac:dyDescent="0.3">
      <c r="A317" s="41">
        <v>2021</v>
      </c>
      <c r="B317" s="83"/>
      <c r="C317" s="89"/>
      <c r="D317" s="83"/>
      <c r="E317" s="1"/>
      <c r="F317" s="1"/>
      <c r="G317" s="89"/>
      <c r="H317" s="83">
        <v>1745.8</v>
      </c>
      <c r="I317" s="1">
        <v>1745.8</v>
      </c>
      <c r="J317" s="89">
        <v>1745.8</v>
      </c>
      <c r="K317" s="83"/>
      <c r="L317" s="1"/>
      <c r="M317" s="89"/>
      <c r="N317" s="83"/>
      <c r="O317" s="1"/>
      <c r="P317" s="89"/>
      <c r="Q317" s="83"/>
      <c r="R317" s="1"/>
      <c r="S317" s="89"/>
      <c r="T317" s="83"/>
      <c r="U317" s="1"/>
      <c r="V317" s="89"/>
      <c r="W317" s="83"/>
      <c r="X317" s="1"/>
      <c r="Y317" s="89"/>
      <c r="Z317" s="83"/>
      <c r="AA317" s="1"/>
      <c r="AB317" s="89"/>
    </row>
    <row r="318" spans="1:28" x14ac:dyDescent="0.3">
      <c r="A318" s="41">
        <v>2022</v>
      </c>
      <c r="B318" s="83"/>
      <c r="C318" s="89"/>
      <c r="D318" s="83"/>
      <c r="E318" s="1"/>
      <c r="F318" s="1"/>
      <c r="G318" s="89"/>
      <c r="H318" s="83"/>
      <c r="I318" s="1"/>
      <c r="J318" s="89"/>
      <c r="K318" s="83">
        <v>1155.6000000000001</v>
      </c>
      <c r="L318" s="1">
        <v>1463.4</v>
      </c>
      <c r="M318" s="89">
        <v>1771.2</v>
      </c>
      <c r="N318" s="83">
        <v>1155.6000000000001</v>
      </c>
      <c r="O318" s="1">
        <v>1463.4</v>
      </c>
      <c r="P318" s="89">
        <v>1771.2</v>
      </c>
      <c r="Q318" s="83">
        <v>1155.6000000000001</v>
      </c>
      <c r="R318" s="1">
        <v>1463.4</v>
      </c>
      <c r="S318" s="89">
        <v>1771.2</v>
      </c>
      <c r="T318" s="83"/>
      <c r="U318" s="1"/>
      <c r="V318" s="89"/>
      <c r="W318" s="83"/>
      <c r="X318" s="1"/>
      <c r="Y318" s="89"/>
      <c r="Z318" s="83"/>
      <c r="AA318" s="1"/>
      <c r="AB318" s="89"/>
    </row>
    <row r="319" spans="1:28" x14ac:dyDescent="0.3">
      <c r="A319" s="41">
        <v>2023</v>
      </c>
      <c r="B319" s="83"/>
      <c r="C319" s="89"/>
      <c r="D319" s="83"/>
      <c r="E319" s="1"/>
      <c r="F319" s="1"/>
      <c r="G319" s="89"/>
      <c r="H319" s="83"/>
      <c r="I319" s="1"/>
      <c r="J319" s="89"/>
      <c r="K319" s="83"/>
      <c r="L319" s="1"/>
      <c r="M319" s="89"/>
      <c r="N319" s="83"/>
      <c r="O319" s="1"/>
      <c r="P319" s="89"/>
      <c r="Q319" s="83"/>
      <c r="R319" s="1"/>
      <c r="S319" s="89"/>
      <c r="T319" s="83">
        <v>1352</v>
      </c>
      <c r="U319" s="1">
        <v>1799.2</v>
      </c>
      <c r="V319" s="89">
        <v>2246.4</v>
      </c>
      <c r="W319" s="83">
        <v>1352</v>
      </c>
      <c r="X319" s="1">
        <v>1799.2</v>
      </c>
      <c r="Y319" s="89">
        <v>2246.4</v>
      </c>
      <c r="Z319" s="83">
        <v>1352</v>
      </c>
      <c r="AA319" s="1">
        <v>1799.2</v>
      </c>
      <c r="AB319" s="89">
        <v>2246.4</v>
      </c>
    </row>
    <row r="320" spans="1:28" x14ac:dyDescent="0.3">
      <c r="A320" s="41">
        <v>2024</v>
      </c>
      <c r="B320" s="83"/>
      <c r="C320" s="89"/>
      <c r="D320" s="83"/>
      <c r="E320" s="1"/>
      <c r="F320" s="1"/>
      <c r="G320" s="89"/>
      <c r="H320" s="83"/>
      <c r="I320" s="1"/>
      <c r="J320" s="89"/>
      <c r="K320" s="83"/>
      <c r="L320" s="1"/>
      <c r="M320" s="89"/>
      <c r="N320" s="83"/>
      <c r="O320" s="1"/>
      <c r="P320" s="89"/>
      <c r="Q320" s="83"/>
      <c r="R320" s="1"/>
      <c r="S320" s="89"/>
      <c r="T320" s="83"/>
      <c r="U320" s="1"/>
      <c r="V320" s="89"/>
      <c r="W320" s="83"/>
      <c r="X320" s="1"/>
      <c r="Y320" s="89"/>
      <c r="Z320" s="83"/>
      <c r="AA320" s="1"/>
      <c r="AB320" s="89"/>
    </row>
    <row r="321" spans="1:28" x14ac:dyDescent="0.3">
      <c r="A321" s="41">
        <v>2025</v>
      </c>
      <c r="B321" s="83">
        <v>836.4</v>
      </c>
      <c r="C321" s="89">
        <v>564.56999999999994</v>
      </c>
      <c r="D321" s="83"/>
      <c r="E321" s="1"/>
      <c r="F321" s="1"/>
      <c r="G321" s="89"/>
      <c r="H321" s="83"/>
      <c r="I321" s="1"/>
      <c r="J321" s="89"/>
      <c r="K321" s="83"/>
      <c r="L321" s="1"/>
      <c r="M321" s="89"/>
      <c r="N321" s="83"/>
      <c r="O321" s="1"/>
      <c r="P321" s="89"/>
      <c r="Q321" s="83"/>
      <c r="R321" s="1"/>
      <c r="S321" s="89"/>
      <c r="T321" s="83"/>
      <c r="U321" s="1"/>
      <c r="V321" s="89"/>
      <c r="W321" s="83"/>
      <c r="X321" s="1"/>
      <c r="Y321" s="89"/>
      <c r="Z321" s="83"/>
      <c r="AA321" s="1"/>
      <c r="AB321" s="89"/>
    </row>
    <row r="322" spans="1:28" x14ac:dyDescent="0.3">
      <c r="A322" s="41">
        <v>2026</v>
      </c>
      <c r="B322" s="83"/>
      <c r="C322" s="89"/>
      <c r="D322" s="83"/>
      <c r="E322" s="1"/>
      <c r="F322" s="1"/>
      <c r="G322" s="89"/>
      <c r="H322" s="83"/>
      <c r="I322" s="1"/>
      <c r="J322" s="89"/>
      <c r="K322" s="83"/>
      <c r="L322" s="1"/>
      <c r="M322" s="89"/>
      <c r="N322" s="83"/>
      <c r="O322" s="1"/>
      <c r="P322" s="89"/>
      <c r="Q322" s="83"/>
      <c r="R322" s="1"/>
      <c r="S322" s="89"/>
      <c r="T322" s="83"/>
      <c r="U322" s="1"/>
      <c r="V322" s="89"/>
      <c r="W322" s="83"/>
      <c r="X322" s="1"/>
      <c r="Y322" s="89"/>
      <c r="Z322" s="83"/>
      <c r="AA322" s="1"/>
      <c r="AB322" s="89"/>
    </row>
    <row r="323" spans="1:28" x14ac:dyDescent="0.3">
      <c r="A323" s="41">
        <v>2027</v>
      </c>
      <c r="B323" s="83"/>
      <c r="C323" s="89"/>
      <c r="D323" s="83"/>
      <c r="E323" s="1"/>
      <c r="F323" s="1"/>
      <c r="G323" s="89"/>
      <c r="H323" s="83"/>
      <c r="I323" s="1"/>
      <c r="J323" s="89"/>
      <c r="K323" s="83"/>
      <c r="L323" s="1"/>
      <c r="M323" s="89"/>
      <c r="N323" s="83"/>
      <c r="O323" s="1"/>
      <c r="P323" s="89"/>
      <c r="Q323" s="83"/>
      <c r="R323" s="1"/>
      <c r="S323" s="89"/>
      <c r="T323" s="83"/>
      <c r="U323" s="1"/>
      <c r="V323" s="89"/>
      <c r="W323" s="83"/>
      <c r="X323" s="1"/>
      <c r="Y323" s="89"/>
      <c r="Z323" s="83"/>
      <c r="AA323" s="1"/>
      <c r="AB323" s="89"/>
    </row>
    <row r="324" spans="1:28" x14ac:dyDescent="0.3">
      <c r="A324" s="41">
        <v>2028</v>
      </c>
      <c r="B324" s="83"/>
      <c r="C324" s="89"/>
      <c r="D324" s="83"/>
      <c r="E324" s="1"/>
      <c r="F324" s="1"/>
      <c r="G324" s="89"/>
      <c r="H324" s="83"/>
      <c r="I324" s="1"/>
      <c r="J324" s="89"/>
      <c r="K324" s="83"/>
      <c r="L324" s="1"/>
      <c r="M324" s="89"/>
      <c r="N324" s="83"/>
      <c r="O324" s="1"/>
      <c r="P324" s="89"/>
      <c r="Q324" s="83"/>
      <c r="R324" s="1"/>
      <c r="S324" s="89"/>
      <c r="T324" s="83"/>
      <c r="U324" s="1"/>
      <c r="V324" s="89"/>
      <c r="W324" s="83"/>
      <c r="X324" s="1"/>
      <c r="Y324" s="89"/>
      <c r="Z324" s="83"/>
      <c r="AA324" s="1"/>
      <c r="AB324" s="89"/>
    </row>
    <row r="325" spans="1:28" x14ac:dyDescent="0.3">
      <c r="A325" s="41">
        <v>2029</v>
      </c>
      <c r="B325" s="83"/>
      <c r="C325" s="89"/>
      <c r="D325" s="83"/>
      <c r="E325" s="1"/>
      <c r="F325" s="1"/>
      <c r="G325" s="89"/>
      <c r="H325" s="83"/>
      <c r="I325" s="1"/>
      <c r="J325" s="89"/>
      <c r="K325" s="83"/>
      <c r="L325" s="1"/>
      <c r="M325" s="89"/>
      <c r="N325" s="83"/>
      <c r="O325" s="1"/>
      <c r="P325" s="89"/>
      <c r="Q325" s="83"/>
      <c r="R325" s="1"/>
      <c r="S325" s="89"/>
      <c r="T325" s="83"/>
      <c r="U325" s="1"/>
      <c r="V325" s="89"/>
      <c r="W325" s="83"/>
      <c r="X325" s="1"/>
      <c r="Y325" s="89"/>
      <c r="Z325" s="83"/>
      <c r="AA325" s="1"/>
      <c r="AB325" s="89"/>
    </row>
    <row r="326" spans="1:28" x14ac:dyDescent="0.3">
      <c r="A326" s="41">
        <v>2030</v>
      </c>
      <c r="B326" s="83">
        <v>788.43</v>
      </c>
      <c r="C326" s="89">
        <v>472.32</v>
      </c>
      <c r="D326" s="83">
        <v>1037</v>
      </c>
      <c r="E326" s="1">
        <v>719.8</v>
      </c>
      <c r="F326" s="1">
        <v>683.19999999999993</v>
      </c>
      <c r="G326" s="89">
        <v>561.19999999999993</v>
      </c>
      <c r="H326" s="83">
        <v>667</v>
      </c>
      <c r="I326" s="1">
        <v>452.4</v>
      </c>
      <c r="J326" s="89">
        <v>365.4</v>
      </c>
      <c r="K326" s="83">
        <v>680.40000000000009</v>
      </c>
      <c r="L326" s="1">
        <v>869.40000000000009</v>
      </c>
      <c r="M326" s="89">
        <v>1058.4000000000001</v>
      </c>
      <c r="N326" s="83">
        <v>583.20000000000005</v>
      </c>
      <c r="O326" s="1">
        <v>675</v>
      </c>
      <c r="P326" s="89">
        <v>766.80000000000007</v>
      </c>
      <c r="Q326" s="83">
        <v>453.6</v>
      </c>
      <c r="R326" s="1">
        <v>556.20000000000005</v>
      </c>
      <c r="S326" s="89">
        <v>658.80000000000007</v>
      </c>
      <c r="T326" s="83">
        <v>884</v>
      </c>
      <c r="U326" s="1">
        <v>1128.4000000000001</v>
      </c>
      <c r="V326" s="89">
        <v>1372.8</v>
      </c>
      <c r="W326" s="83">
        <v>780</v>
      </c>
      <c r="X326" s="1">
        <v>936</v>
      </c>
      <c r="Y326" s="89">
        <v>1092</v>
      </c>
      <c r="Z326" s="83">
        <v>665.6</v>
      </c>
      <c r="AA326" s="1">
        <v>832</v>
      </c>
      <c r="AB326" s="89">
        <v>998.40000000000009</v>
      </c>
    </row>
    <row r="327" spans="1:28" x14ac:dyDescent="0.3">
      <c r="A327" s="41">
        <v>2031</v>
      </c>
      <c r="B327" s="83"/>
      <c r="C327" s="89"/>
      <c r="D327" s="83"/>
      <c r="E327" s="1"/>
      <c r="F327" s="1"/>
      <c r="G327" s="89"/>
      <c r="H327" s="83"/>
      <c r="I327" s="1"/>
      <c r="J327" s="89"/>
      <c r="K327" s="83"/>
      <c r="L327" s="1"/>
      <c r="M327" s="89"/>
      <c r="N327" s="83"/>
      <c r="O327" s="1"/>
      <c r="P327" s="89"/>
      <c r="Q327" s="83"/>
      <c r="R327" s="1"/>
      <c r="S327" s="89"/>
      <c r="T327" s="83"/>
      <c r="U327" s="1"/>
      <c r="V327" s="89"/>
      <c r="W327" s="83"/>
      <c r="X327" s="1"/>
      <c r="Y327" s="89"/>
      <c r="Z327" s="83"/>
      <c r="AA327" s="1"/>
      <c r="AB327" s="89"/>
    </row>
    <row r="328" spans="1:28" x14ac:dyDescent="0.3">
      <c r="A328" s="41">
        <v>2032</v>
      </c>
      <c r="B328" s="83"/>
      <c r="C328" s="89"/>
      <c r="D328" s="83"/>
      <c r="E328" s="1"/>
      <c r="F328" s="1"/>
      <c r="G328" s="89"/>
      <c r="H328" s="83"/>
      <c r="I328" s="1"/>
      <c r="J328" s="89"/>
      <c r="K328" s="83"/>
      <c r="L328" s="1"/>
      <c r="M328" s="89"/>
      <c r="N328" s="83"/>
      <c r="O328" s="1"/>
      <c r="P328" s="89"/>
      <c r="Q328" s="83"/>
      <c r="R328" s="1"/>
      <c r="S328" s="89"/>
      <c r="T328" s="83"/>
      <c r="U328" s="1"/>
      <c r="V328" s="89"/>
      <c r="W328" s="83"/>
      <c r="X328" s="1"/>
      <c r="Y328" s="89"/>
      <c r="Z328" s="83"/>
      <c r="AA328" s="1"/>
      <c r="AB328" s="89"/>
    </row>
    <row r="329" spans="1:28" x14ac:dyDescent="0.3">
      <c r="A329" s="41">
        <v>2033</v>
      </c>
      <c r="B329" s="83"/>
      <c r="C329" s="89"/>
      <c r="D329" s="83"/>
      <c r="E329" s="1"/>
      <c r="F329" s="1"/>
      <c r="G329" s="89"/>
      <c r="H329" s="83"/>
      <c r="I329" s="1"/>
      <c r="J329" s="89"/>
      <c r="K329" s="83"/>
      <c r="L329" s="1"/>
      <c r="M329" s="89"/>
      <c r="N329" s="83"/>
      <c r="O329" s="1"/>
      <c r="P329" s="89"/>
      <c r="Q329" s="83"/>
      <c r="R329" s="1"/>
      <c r="S329" s="89"/>
      <c r="T329" s="83"/>
      <c r="U329" s="1"/>
      <c r="V329" s="89"/>
      <c r="W329" s="83"/>
      <c r="X329" s="1"/>
      <c r="Y329" s="89"/>
      <c r="Z329" s="83"/>
      <c r="AA329" s="1"/>
      <c r="AB329" s="89"/>
    </row>
    <row r="330" spans="1:28" x14ac:dyDescent="0.3">
      <c r="A330" s="41">
        <v>2034</v>
      </c>
      <c r="B330" s="83"/>
      <c r="C330" s="89"/>
      <c r="D330" s="83"/>
      <c r="E330" s="1"/>
      <c r="F330" s="1"/>
      <c r="G330" s="89"/>
      <c r="H330" s="83"/>
      <c r="I330" s="1"/>
      <c r="J330" s="89"/>
      <c r="K330" s="83"/>
      <c r="L330" s="1"/>
      <c r="M330" s="89"/>
      <c r="N330" s="83"/>
      <c r="O330" s="1"/>
      <c r="P330" s="89"/>
      <c r="Q330" s="83"/>
      <c r="R330" s="1"/>
      <c r="S330" s="89"/>
      <c r="T330" s="83"/>
      <c r="U330" s="1"/>
      <c r="V330" s="89"/>
      <c r="W330" s="83"/>
      <c r="X330" s="1"/>
      <c r="Y330" s="89"/>
      <c r="Z330" s="83"/>
      <c r="AA330" s="1"/>
      <c r="AB330" s="89"/>
    </row>
    <row r="331" spans="1:28" x14ac:dyDescent="0.3">
      <c r="A331" s="41">
        <v>2035</v>
      </c>
      <c r="B331" s="83"/>
      <c r="C331" s="89"/>
      <c r="D331" s="83"/>
      <c r="E331" s="1"/>
      <c r="F331" s="1"/>
      <c r="G331" s="89"/>
      <c r="H331" s="83"/>
      <c r="I331" s="1"/>
      <c r="J331" s="89"/>
      <c r="K331" s="83"/>
      <c r="L331" s="1"/>
      <c r="M331" s="89"/>
      <c r="N331" s="83"/>
      <c r="O331" s="1"/>
      <c r="P331" s="89"/>
      <c r="Q331" s="83"/>
      <c r="R331" s="1"/>
      <c r="S331" s="89"/>
      <c r="T331" s="83">
        <v>842.4</v>
      </c>
      <c r="U331" s="1">
        <v>1034.8</v>
      </c>
      <c r="V331" s="89">
        <v>1227.2</v>
      </c>
      <c r="W331" s="83">
        <v>644.80000000000007</v>
      </c>
      <c r="X331" s="1">
        <v>811.2</v>
      </c>
      <c r="Y331" s="89">
        <v>977.6</v>
      </c>
      <c r="Z331" s="83">
        <v>582.4</v>
      </c>
      <c r="AA331" s="1">
        <v>738.4</v>
      </c>
      <c r="AB331" s="89">
        <v>894.4</v>
      </c>
    </row>
    <row r="332" spans="1:28" x14ac:dyDescent="0.3">
      <c r="A332" s="41">
        <v>2036</v>
      </c>
      <c r="B332" s="83"/>
      <c r="C332" s="89"/>
      <c r="D332" s="83"/>
      <c r="E332" s="1"/>
      <c r="F332" s="1"/>
      <c r="G332" s="89"/>
      <c r="H332" s="83"/>
      <c r="I332" s="1"/>
      <c r="J332" s="89"/>
      <c r="K332" s="83"/>
      <c r="L332" s="1"/>
      <c r="M332" s="89"/>
      <c r="N332" s="83"/>
      <c r="O332" s="1"/>
      <c r="P332" s="89"/>
      <c r="Q332" s="83"/>
      <c r="R332" s="1"/>
      <c r="S332" s="89"/>
      <c r="T332" s="83"/>
      <c r="U332" s="1"/>
      <c r="V332" s="89"/>
      <c r="W332" s="83"/>
      <c r="X332" s="1"/>
      <c r="Y332" s="89"/>
      <c r="Z332" s="83"/>
      <c r="AA332" s="1"/>
      <c r="AB332" s="89"/>
    </row>
    <row r="333" spans="1:28" x14ac:dyDescent="0.3">
      <c r="A333" s="41">
        <v>2037</v>
      </c>
      <c r="B333" s="83"/>
      <c r="C333" s="89"/>
      <c r="D333" s="83"/>
      <c r="E333" s="1"/>
      <c r="F333" s="1"/>
      <c r="G333" s="89"/>
      <c r="H333" s="83"/>
      <c r="I333" s="1"/>
      <c r="J333" s="89"/>
      <c r="K333" s="83"/>
      <c r="L333" s="1"/>
      <c r="M333" s="89"/>
      <c r="N333" s="83"/>
      <c r="O333" s="1"/>
      <c r="P333" s="89"/>
      <c r="Q333" s="83"/>
      <c r="R333" s="1"/>
      <c r="S333" s="89"/>
      <c r="T333" s="83"/>
      <c r="U333" s="1"/>
      <c r="V333" s="89"/>
      <c r="W333" s="83"/>
      <c r="X333" s="1"/>
      <c r="Y333" s="89"/>
      <c r="Z333" s="83"/>
      <c r="AA333" s="1"/>
      <c r="AB333" s="89"/>
    </row>
    <row r="334" spans="1:28" x14ac:dyDescent="0.3">
      <c r="A334" s="41">
        <v>2038</v>
      </c>
      <c r="B334" s="83"/>
      <c r="C334" s="89"/>
      <c r="D334" s="83"/>
      <c r="E334" s="1"/>
      <c r="F334" s="1"/>
      <c r="G334" s="89"/>
      <c r="H334" s="83"/>
      <c r="I334" s="1"/>
      <c r="J334" s="89"/>
      <c r="K334" s="83"/>
      <c r="L334" s="1"/>
      <c r="M334" s="89"/>
      <c r="N334" s="83"/>
      <c r="O334" s="1"/>
      <c r="P334" s="89"/>
      <c r="Q334" s="83"/>
      <c r="R334" s="1"/>
      <c r="S334" s="89"/>
      <c r="T334" s="83"/>
      <c r="U334" s="1"/>
      <c r="V334" s="89"/>
      <c r="W334" s="83"/>
      <c r="X334" s="1"/>
      <c r="Y334" s="89"/>
      <c r="Z334" s="83"/>
      <c r="AA334" s="1"/>
      <c r="AB334" s="89"/>
    </row>
    <row r="335" spans="1:28" x14ac:dyDescent="0.3">
      <c r="A335" s="41">
        <v>2039</v>
      </c>
      <c r="B335" s="83"/>
      <c r="C335" s="89"/>
      <c r="D335" s="83"/>
      <c r="E335" s="1"/>
      <c r="F335" s="1"/>
      <c r="G335" s="89"/>
      <c r="H335" s="83"/>
      <c r="I335" s="1"/>
      <c r="J335" s="89"/>
      <c r="K335" s="83"/>
      <c r="L335" s="1"/>
      <c r="M335" s="89"/>
      <c r="N335" s="83"/>
      <c r="O335" s="1"/>
      <c r="P335" s="89"/>
      <c r="Q335" s="83"/>
      <c r="R335" s="1"/>
      <c r="S335" s="89"/>
      <c r="T335" s="83"/>
      <c r="U335" s="1"/>
      <c r="V335" s="89"/>
      <c r="W335" s="83"/>
      <c r="X335" s="1"/>
      <c r="Y335" s="89"/>
      <c r="Z335" s="83"/>
      <c r="AA335" s="1"/>
      <c r="AB335" s="89"/>
    </row>
    <row r="336" spans="1:28" x14ac:dyDescent="0.3">
      <c r="A336" s="41">
        <v>2040</v>
      </c>
      <c r="B336" s="83">
        <v>706.02</v>
      </c>
      <c r="C336" s="89">
        <v>384.99</v>
      </c>
      <c r="D336" s="83"/>
      <c r="E336" s="1"/>
      <c r="F336" s="1"/>
      <c r="G336" s="89"/>
      <c r="H336" s="83"/>
      <c r="I336" s="1"/>
      <c r="J336" s="89"/>
      <c r="K336" s="83"/>
      <c r="L336" s="1"/>
      <c r="M336" s="89"/>
      <c r="N336" s="83"/>
      <c r="O336" s="1"/>
      <c r="P336" s="89"/>
      <c r="Q336" s="83"/>
      <c r="R336" s="1"/>
      <c r="S336" s="89"/>
      <c r="T336" s="83"/>
      <c r="U336" s="1"/>
      <c r="V336" s="89"/>
      <c r="W336" s="83"/>
      <c r="X336" s="1"/>
      <c r="Y336" s="89"/>
      <c r="Z336" s="83"/>
      <c r="AA336" s="1"/>
      <c r="AB336" s="89"/>
    </row>
    <row r="337" spans="1:28" x14ac:dyDescent="0.3">
      <c r="A337" s="41">
        <v>2041</v>
      </c>
      <c r="B337" s="83"/>
      <c r="C337" s="89"/>
      <c r="D337" s="83"/>
      <c r="E337" s="1"/>
      <c r="F337" s="1"/>
      <c r="G337" s="89"/>
      <c r="H337" s="83"/>
      <c r="I337" s="1"/>
      <c r="J337" s="89"/>
      <c r="K337" s="83"/>
      <c r="L337" s="1"/>
      <c r="M337" s="89"/>
      <c r="N337" s="83"/>
      <c r="O337" s="1"/>
      <c r="P337" s="89"/>
      <c r="Q337" s="83"/>
      <c r="R337" s="1"/>
      <c r="S337" s="89"/>
      <c r="T337" s="83"/>
      <c r="U337" s="1"/>
      <c r="V337" s="89"/>
      <c r="W337" s="83"/>
      <c r="X337" s="1"/>
      <c r="Y337" s="89"/>
      <c r="Z337" s="83"/>
      <c r="AA337" s="1"/>
      <c r="AB337" s="89"/>
    </row>
    <row r="338" spans="1:28" x14ac:dyDescent="0.3">
      <c r="A338" s="41">
        <v>2042</v>
      </c>
      <c r="B338" s="83"/>
      <c r="C338" s="89"/>
      <c r="D338" s="83"/>
      <c r="E338" s="1"/>
      <c r="F338" s="1"/>
      <c r="G338" s="89"/>
      <c r="H338" s="83"/>
      <c r="I338" s="1"/>
      <c r="J338" s="89"/>
      <c r="K338" s="83"/>
      <c r="L338" s="1"/>
      <c r="M338" s="89"/>
      <c r="N338" s="83"/>
      <c r="O338" s="1"/>
      <c r="P338" s="89"/>
      <c r="Q338" s="83"/>
      <c r="R338" s="1"/>
      <c r="S338" s="89"/>
      <c r="T338" s="83"/>
      <c r="U338" s="1"/>
      <c r="V338" s="89"/>
      <c r="W338" s="83"/>
      <c r="X338" s="1"/>
      <c r="Y338" s="89"/>
      <c r="Z338" s="83"/>
      <c r="AA338" s="1"/>
      <c r="AB338" s="89"/>
    </row>
    <row r="339" spans="1:28" x14ac:dyDescent="0.3">
      <c r="A339" s="41">
        <v>2043</v>
      </c>
      <c r="B339" s="83"/>
      <c r="C339" s="89"/>
      <c r="D339" s="83"/>
      <c r="E339" s="1"/>
      <c r="F339" s="1"/>
      <c r="G339" s="89"/>
      <c r="H339" s="83"/>
      <c r="I339" s="1"/>
      <c r="J339" s="89"/>
      <c r="K339" s="83"/>
      <c r="L339" s="1"/>
      <c r="M339" s="89"/>
      <c r="N339" s="83"/>
      <c r="O339" s="1"/>
      <c r="P339" s="89"/>
      <c r="Q339" s="83"/>
      <c r="R339" s="1"/>
      <c r="S339" s="89"/>
      <c r="T339" s="83"/>
      <c r="U339" s="1"/>
      <c r="V339" s="89"/>
      <c r="W339" s="83"/>
      <c r="X339" s="1"/>
      <c r="Y339" s="89"/>
      <c r="Z339" s="83"/>
      <c r="AA339" s="1"/>
      <c r="AB339" s="89"/>
    </row>
    <row r="340" spans="1:28" x14ac:dyDescent="0.3">
      <c r="A340" s="41">
        <v>2044</v>
      </c>
      <c r="B340" s="83"/>
      <c r="C340" s="89"/>
      <c r="D340" s="83"/>
      <c r="E340" s="1"/>
      <c r="F340" s="1"/>
      <c r="G340" s="89"/>
      <c r="H340" s="83"/>
      <c r="I340" s="1"/>
      <c r="J340" s="89"/>
      <c r="K340" s="83"/>
      <c r="L340" s="1"/>
      <c r="M340" s="89"/>
      <c r="N340" s="83"/>
      <c r="O340" s="1"/>
      <c r="P340" s="89"/>
      <c r="Q340" s="83"/>
      <c r="R340" s="1"/>
      <c r="S340" s="89"/>
      <c r="T340" s="83"/>
      <c r="U340" s="1"/>
      <c r="V340" s="89"/>
      <c r="W340" s="83"/>
      <c r="X340" s="1"/>
      <c r="Y340" s="89"/>
      <c r="Z340" s="83"/>
      <c r="AA340" s="1"/>
      <c r="AB340" s="89"/>
    </row>
    <row r="341" spans="1:28" x14ac:dyDescent="0.3">
      <c r="A341" s="41">
        <v>2045</v>
      </c>
      <c r="B341" s="83"/>
      <c r="C341" s="89"/>
      <c r="D341" s="83"/>
      <c r="E341" s="1"/>
      <c r="F341" s="1"/>
      <c r="G341" s="89"/>
      <c r="H341" s="83"/>
      <c r="I341" s="1"/>
      <c r="J341" s="89"/>
      <c r="K341" s="83"/>
      <c r="L341" s="1"/>
      <c r="M341" s="89"/>
      <c r="N341" s="83"/>
      <c r="O341" s="1"/>
      <c r="P341" s="89"/>
      <c r="Q341" s="83"/>
      <c r="R341" s="1"/>
      <c r="S341" s="89"/>
      <c r="T341" s="83"/>
      <c r="U341" s="1"/>
      <c r="V341" s="89"/>
      <c r="W341" s="83"/>
      <c r="X341" s="1"/>
      <c r="Y341" s="89"/>
      <c r="Z341" s="83"/>
      <c r="AA341" s="1"/>
      <c r="AB341" s="89"/>
    </row>
    <row r="342" spans="1:28" x14ac:dyDescent="0.3">
      <c r="A342" s="41">
        <v>2046</v>
      </c>
      <c r="B342" s="83"/>
      <c r="C342" s="89"/>
      <c r="D342" s="83"/>
      <c r="E342" s="1"/>
      <c r="F342" s="1"/>
      <c r="G342" s="89"/>
      <c r="H342" s="83"/>
      <c r="I342" s="1"/>
      <c r="J342" s="89"/>
      <c r="K342" s="83"/>
      <c r="L342" s="1"/>
      <c r="M342" s="89"/>
      <c r="N342" s="83"/>
      <c r="O342" s="1"/>
      <c r="P342" s="89"/>
      <c r="Q342" s="83"/>
      <c r="R342" s="1"/>
      <c r="S342" s="89"/>
      <c r="T342" s="83"/>
      <c r="U342" s="1"/>
      <c r="V342" s="89"/>
      <c r="W342" s="83"/>
      <c r="X342" s="1"/>
      <c r="Y342" s="89"/>
      <c r="Z342" s="83"/>
      <c r="AA342" s="1"/>
      <c r="AB342" s="89"/>
    </row>
    <row r="343" spans="1:28" x14ac:dyDescent="0.3">
      <c r="A343" s="41">
        <v>2047</v>
      </c>
      <c r="B343" s="83"/>
      <c r="C343" s="89"/>
      <c r="D343" s="83"/>
      <c r="E343" s="1"/>
      <c r="F343" s="1"/>
      <c r="G343" s="89"/>
      <c r="H343" s="83"/>
      <c r="I343" s="1"/>
      <c r="J343" s="89"/>
      <c r="K343" s="83"/>
      <c r="L343" s="1"/>
      <c r="M343" s="89"/>
      <c r="N343" s="83"/>
      <c r="O343" s="1"/>
      <c r="P343" s="89"/>
      <c r="Q343" s="83"/>
      <c r="R343" s="1"/>
      <c r="S343" s="89"/>
      <c r="T343" s="83"/>
      <c r="U343" s="1"/>
      <c r="V343" s="89"/>
      <c r="W343" s="83"/>
      <c r="X343" s="1"/>
      <c r="Y343" s="89"/>
      <c r="Z343" s="83"/>
      <c r="AA343" s="1"/>
      <c r="AB343" s="89"/>
    </row>
    <row r="344" spans="1:28" x14ac:dyDescent="0.3">
      <c r="A344" s="41">
        <v>2048</v>
      </c>
      <c r="B344" s="83"/>
      <c r="C344" s="89"/>
      <c r="D344" s="83"/>
      <c r="E344" s="1"/>
      <c r="F344" s="1"/>
      <c r="G344" s="89"/>
      <c r="H344" s="83"/>
      <c r="I344" s="1"/>
      <c r="J344" s="89"/>
      <c r="K344" s="83"/>
      <c r="L344" s="1"/>
      <c r="M344" s="89"/>
      <c r="N344" s="83"/>
      <c r="O344" s="1"/>
      <c r="P344" s="89"/>
      <c r="Q344" s="83"/>
      <c r="R344" s="1"/>
      <c r="S344" s="89"/>
      <c r="T344" s="83"/>
      <c r="U344" s="1"/>
      <c r="V344" s="89"/>
      <c r="W344" s="83"/>
      <c r="X344" s="1"/>
      <c r="Y344" s="89"/>
      <c r="Z344" s="83"/>
      <c r="AA344" s="1"/>
      <c r="AB344" s="89"/>
    </row>
    <row r="345" spans="1:28" x14ac:dyDescent="0.3">
      <c r="A345" s="41">
        <v>2049</v>
      </c>
      <c r="B345" s="83"/>
      <c r="C345" s="89"/>
      <c r="D345" s="83"/>
      <c r="E345" s="1"/>
      <c r="F345" s="1"/>
      <c r="G345" s="89"/>
      <c r="H345" s="83"/>
      <c r="I345" s="1"/>
      <c r="J345" s="89"/>
      <c r="K345" s="83"/>
      <c r="L345" s="1"/>
      <c r="M345" s="89"/>
      <c r="N345" s="83"/>
      <c r="O345" s="1"/>
      <c r="P345" s="89"/>
      <c r="Q345" s="83"/>
      <c r="R345" s="1"/>
      <c r="S345" s="89"/>
      <c r="T345" s="83"/>
      <c r="U345" s="1"/>
      <c r="V345" s="89"/>
      <c r="W345" s="83"/>
      <c r="X345" s="1"/>
      <c r="Y345" s="89"/>
      <c r="Z345" s="83"/>
      <c r="AA345" s="1"/>
      <c r="AB345" s="89"/>
    </row>
    <row r="346" spans="1:28" ht="15" thickBot="1" x14ac:dyDescent="0.35">
      <c r="A346" s="42">
        <v>2050</v>
      </c>
      <c r="B346" s="90"/>
      <c r="C346" s="92"/>
      <c r="D346" s="90">
        <v>768.6</v>
      </c>
      <c r="E346" s="91">
        <v>524.6</v>
      </c>
      <c r="F346" s="91">
        <v>500.2</v>
      </c>
      <c r="G346" s="92">
        <v>439.2</v>
      </c>
      <c r="H346" s="90">
        <v>516.19999999999993</v>
      </c>
      <c r="I346" s="91">
        <v>307.39999999999998</v>
      </c>
      <c r="J346" s="92">
        <v>266.79999999999995</v>
      </c>
      <c r="K346" s="90">
        <v>572.40000000000009</v>
      </c>
      <c r="L346" s="91">
        <v>685.80000000000007</v>
      </c>
      <c r="M346" s="92">
        <v>799.2</v>
      </c>
      <c r="N346" s="90">
        <v>388.8</v>
      </c>
      <c r="O346" s="91">
        <v>469.80000000000007</v>
      </c>
      <c r="P346" s="92">
        <v>550.80000000000007</v>
      </c>
      <c r="Q346" s="90">
        <v>356.40000000000003</v>
      </c>
      <c r="R346" s="91">
        <v>432</v>
      </c>
      <c r="S346" s="92">
        <v>507.6</v>
      </c>
      <c r="T346" s="90">
        <v>738.4</v>
      </c>
      <c r="U346" s="91">
        <v>894.40000000000009</v>
      </c>
      <c r="V346" s="92">
        <v>1050.4000000000001</v>
      </c>
      <c r="W346" s="90">
        <v>572</v>
      </c>
      <c r="X346" s="91">
        <v>712.40000000000009</v>
      </c>
      <c r="Y346" s="92">
        <v>852.80000000000007</v>
      </c>
      <c r="Z346" s="90">
        <v>540.80000000000007</v>
      </c>
      <c r="AA346" s="91">
        <v>676</v>
      </c>
      <c r="AB346" s="92">
        <v>811.2</v>
      </c>
    </row>
  </sheetData>
  <mergeCells count="183">
    <mergeCell ref="B1:CY1"/>
    <mergeCell ref="B185:CY185"/>
    <mergeCell ref="A1:A3"/>
    <mergeCell ref="B2:D2"/>
    <mergeCell ref="E2:G2"/>
    <mergeCell ref="H2:J2"/>
    <mergeCell ref="K2:M2"/>
    <mergeCell ref="N2:P2"/>
    <mergeCell ref="Q2:S2"/>
    <mergeCell ref="T2:V2"/>
    <mergeCell ref="A55:A57"/>
    <mergeCell ref="BY2:CA2"/>
    <mergeCell ref="CB2:CD2"/>
    <mergeCell ref="CE2:CG2"/>
    <mergeCell ref="CH2:CJ2"/>
    <mergeCell ref="CK2:CM2"/>
    <mergeCell ref="CN2:CP2"/>
    <mergeCell ref="BG2:BI2"/>
    <mergeCell ref="BJ2:BL2"/>
    <mergeCell ref="BM2:BO2"/>
    <mergeCell ref="W2:Y2"/>
    <mergeCell ref="Z2:AB2"/>
    <mergeCell ref="AC2:AE2"/>
    <mergeCell ref="AF2:AH2"/>
    <mergeCell ref="AI2:AK2"/>
    <mergeCell ref="AL2:AN2"/>
    <mergeCell ref="B239:AZ239"/>
    <mergeCell ref="B93:CY93"/>
    <mergeCell ref="B147:AZ147"/>
    <mergeCell ref="B55:AZ55"/>
    <mergeCell ref="CQ2:CS2"/>
    <mergeCell ref="CT2:CV2"/>
    <mergeCell ref="CW2:CY2"/>
    <mergeCell ref="AO2:AQ2"/>
    <mergeCell ref="AX56:AZ56"/>
    <mergeCell ref="AO56:AQ56"/>
    <mergeCell ref="AR56:AT56"/>
    <mergeCell ref="AU56:AW56"/>
    <mergeCell ref="BP2:BR2"/>
    <mergeCell ref="BS2:BU2"/>
    <mergeCell ref="BV2:BX2"/>
    <mergeCell ref="AR2:AT2"/>
    <mergeCell ref="AU2:AW2"/>
    <mergeCell ref="AX2:AZ2"/>
    <mergeCell ref="BA2:BC2"/>
    <mergeCell ref="BD2:BF2"/>
    <mergeCell ref="CW94:CY94"/>
    <mergeCell ref="K186:M186"/>
    <mergeCell ref="AL56:AN56"/>
    <mergeCell ref="N56:P56"/>
    <mergeCell ref="Q56:S56"/>
    <mergeCell ref="T56:V56"/>
    <mergeCell ref="W56:Y56"/>
    <mergeCell ref="Z56:AB56"/>
    <mergeCell ref="AC56:AE56"/>
    <mergeCell ref="B56:D56"/>
    <mergeCell ref="E56:G56"/>
    <mergeCell ref="H56:J56"/>
    <mergeCell ref="K56:M56"/>
    <mergeCell ref="B148:D148"/>
    <mergeCell ref="A93:A95"/>
    <mergeCell ref="B94:D94"/>
    <mergeCell ref="E94:G94"/>
    <mergeCell ref="H94:J94"/>
    <mergeCell ref="K94:M94"/>
    <mergeCell ref="N94:P94"/>
    <mergeCell ref="AF56:AH56"/>
    <mergeCell ref="AI56:AK56"/>
    <mergeCell ref="AI148:AK148"/>
    <mergeCell ref="E148:G148"/>
    <mergeCell ref="H148:J148"/>
    <mergeCell ref="K148:M148"/>
    <mergeCell ref="N148:P148"/>
    <mergeCell ref="Q148:S148"/>
    <mergeCell ref="BG186:BI186"/>
    <mergeCell ref="CT186:CV186"/>
    <mergeCell ref="A147:A149"/>
    <mergeCell ref="BS94:BU94"/>
    <mergeCell ref="BV94:BX94"/>
    <mergeCell ref="BY94:CA94"/>
    <mergeCell ref="CB94:CD94"/>
    <mergeCell ref="CE94:CG94"/>
    <mergeCell ref="CH94:CJ94"/>
    <mergeCell ref="BA94:BC94"/>
    <mergeCell ref="BD94:BF94"/>
    <mergeCell ref="BG94:BI94"/>
    <mergeCell ref="BJ94:BL94"/>
    <mergeCell ref="BM94:BO94"/>
    <mergeCell ref="BP94:BR94"/>
    <mergeCell ref="AI94:AK94"/>
    <mergeCell ref="AL94:AN94"/>
    <mergeCell ref="AU148:AW148"/>
    <mergeCell ref="AX148:AZ148"/>
    <mergeCell ref="AL148:AN148"/>
    <mergeCell ref="AO148:AQ148"/>
    <mergeCell ref="AO94:AQ94"/>
    <mergeCell ref="AR94:AT94"/>
    <mergeCell ref="CK94:CM94"/>
    <mergeCell ref="CN94:CP94"/>
    <mergeCell ref="CQ94:CS94"/>
    <mergeCell ref="CT94:CV94"/>
    <mergeCell ref="Q94:S94"/>
    <mergeCell ref="T94:V94"/>
    <mergeCell ref="W94:Y94"/>
    <mergeCell ref="Z94:AB94"/>
    <mergeCell ref="AC94:AE94"/>
    <mergeCell ref="AF94:AH94"/>
    <mergeCell ref="AU94:AW94"/>
    <mergeCell ref="AX94:AZ94"/>
    <mergeCell ref="AX186:AZ186"/>
    <mergeCell ref="BA186:BC186"/>
    <mergeCell ref="BD186:BF186"/>
    <mergeCell ref="Z186:AB186"/>
    <mergeCell ref="AC186:AE186"/>
    <mergeCell ref="AF186:AH186"/>
    <mergeCell ref="AI186:AK186"/>
    <mergeCell ref="AL186:AN186"/>
    <mergeCell ref="AO186:AQ186"/>
    <mergeCell ref="Q186:S186"/>
    <mergeCell ref="T186:V186"/>
    <mergeCell ref="W186:Y186"/>
    <mergeCell ref="T148:V148"/>
    <mergeCell ref="W148:Y148"/>
    <mergeCell ref="Z148:AB148"/>
    <mergeCell ref="AC148:AE148"/>
    <mergeCell ref="AF148:AH148"/>
    <mergeCell ref="AR148:AT148"/>
    <mergeCell ref="CW186:CY186"/>
    <mergeCell ref="A239:A241"/>
    <mergeCell ref="B240:D240"/>
    <mergeCell ref="E240:G240"/>
    <mergeCell ref="H240:J240"/>
    <mergeCell ref="CB186:CD186"/>
    <mergeCell ref="CE186:CG186"/>
    <mergeCell ref="CH186:CJ186"/>
    <mergeCell ref="CK186:CM186"/>
    <mergeCell ref="CN186:CP186"/>
    <mergeCell ref="CQ186:CS186"/>
    <mergeCell ref="BJ186:BL186"/>
    <mergeCell ref="BM186:BO186"/>
    <mergeCell ref="BP186:BR186"/>
    <mergeCell ref="BS186:BU186"/>
    <mergeCell ref="BV186:BX186"/>
    <mergeCell ref="BY186:CA186"/>
    <mergeCell ref="AR186:AT186"/>
    <mergeCell ref="AU186:AW186"/>
    <mergeCell ref="A185:A187"/>
    <mergeCell ref="B186:D186"/>
    <mergeCell ref="E186:G186"/>
    <mergeCell ref="H186:J186"/>
    <mergeCell ref="N186:P186"/>
    <mergeCell ref="B278:C278"/>
    <mergeCell ref="D278:G278"/>
    <mergeCell ref="B277:P277"/>
    <mergeCell ref="AU240:AW240"/>
    <mergeCell ref="AX240:AZ240"/>
    <mergeCell ref="A277:A279"/>
    <mergeCell ref="H278:J278"/>
    <mergeCell ref="K278:M278"/>
    <mergeCell ref="N278:P278"/>
    <mergeCell ref="AC240:AE240"/>
    <mergeCell ref="AF240:AH240"/>
    <mergeCell ref="AI240:AK240"/>
    <mergeCell ref="AL240:AN240"/>
    <mergeCell ref="AO240:AQ240"/>
    <mergeCell ref="AR240:AT240"/>
    <mergeCell ref="K240:M240"/>
    <mergeCell ref="N240:P240"/>
    <mergeCell ref="Q240:S240"/>
    <mergeCell ref="T240:V240"/>
    <mergeCell ref="W240:Y240"/>
    <mergeCell ref="Z240:AB240"/>
    <mergeCell ref="Q314:S314"/>
    <mergeCell ref="T314:V314"/>
    <mergeCell ref="W314:Y314"/>
    <mergeCell ref="Z314:AB314"/>
    <mergeCell ref="B313:AB313"/>
    <mergeCell ref="A313:A315"/>
    <mergeCell ref="B314:C314"/>
    <mergeCell ref="D314:G314"/>
    <mergeCell ref="H314:J314"/>
    <mergeCell ref="K314:M314"/>
    <mergeCell ref="N314:P314"/>
  </mergeCells>
  <pageMargins left="0.19685039370078741" right="0.19685039370078741" top="0.19685039370078741" bottom="0.19685039370078741" header="0.19685039370078741" footer="0.19685039370078741"/>
  <pageSetup paperSize="9" scale="10" orientation="landscape" r:id="rId1"/>
  <headerFooter>
    <oddFooter>&amp;C_x000D_&amp;1#&amp;"Calibri"&amp;7&amp;K000000 Classification: In-Confidence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EC994-0D9F-4A2F-B352-0B9E4441F389}">
  <sheetPr>
    <tabColor theme="0" tint="-0.499984740745262"/>
    <pageSetUpPr fitToPage="1"/>
  </sheetPr>
  <dimension ref="A1:AC162"/>
  <sheetViews>
    <sheetView zoomScale="70" zoomScaleNormal="70" workbookViewId="0">
      <selection activeCell="O39" sqref="O39"/>
    </sheetView>
  </sheetViews>
  <sheetFormatPr defaultRowHeight="14.4" x14ac:dyDescent="0.3"/>
  <cols>
    <col min="5" max="5" width="10.5546875" customWidth="1"/>
    <col min="6" max="6" width="11.33203125" customWidth="1"/>
    <col min="8" max="8" width="10.5546875" customWidth="1"/>
    <col min="9" max="9" width="9.33203125" customWidth="1"/>
    <col min="10" max="10" width="9.44140625" customWidth="1"/>
    <col min="11" max="11" width="10" customWidth="1"/>
    <col min="12" max="12" width="8.77734375" customWidth="1"/>
    <col min="13" max="13" width="10" customWidth="1"/>
    <col min="14" max="14" width="10.44140625" customWidth="1"/>
    <col min="15" max="15" width="22.109375" bestFit="1" customWidth="1"/>
  </cols>
  <sheetData>
    <row r="1" spans="1:23" ht="20.399999999999999" thickBot="1" x14ac:dyDescent="0.35">
      <c r="A1" s="390" t="s">
        <v>0</v>
      </c>
      <c r="B1" s="338" t="s">
        <v>137</v>
      </c>
      <c r="C1" s="339"/>
      <c r="D1" s="339"/>
      <c r="E1" s="339"/>
      <c r="F1" s="339"/>
      <c r="G1" s="339"/>
      <c r="H1" s="339"/>
      <c r="I1" s="339"/>
      <c r="J1" s="340"/>
    </row>
    <row r="2" spans="1:23" ht="18.600000000000001" customHeight="1" thickBot="1" x14ac:dyDescent="0.4">
      <c r="A2" s="390"/>
      <c r="B2" s="380" t="s">
        <v>131</v>
      </c>
      <c r="C2" s="381"/>
      <c r="D2" s="381"/>
      <c r="E2" s="381"/>
      <c r="F2" s="382"/>
      <c r="G2" s="380" t="s">
        <v>132</v>
      </c>
      <c r="H2" s="381"/>
      <c r="I2" s="381"/>
      <c r="J2" s="382"/>
    </row>
    <row r="3" spans="1:23" ht="18.600000000000001" customHeight="1" thickBot="1" x14ac:dyDescent="0.35">
      <c r="A3" s="390"/>
      <c r="B3" s="368" t="s">
        <v>126</v>
      </c>
      <c r="C3" s="369"/>
      <c r="D3" s="370"/>
      <c r="E3" s="392" t="s">
        <v>127</v>
      </c>
      <c r="F3" s="394" t="s">
        <v>128</v>
      </c>
      <c r="G3" s="368" t="s">
        <v>126</v>
      </c>
      <c r="H3" s="369"/>
      <c r="I3" s="370"/>
      <c r="J3" s="396" t="s">
        <v>120</v>
      </c>
    </row>
    <row r="4" spans="1:23" ht="16.8" customHeight="1" thickBot="1" x14ac:dyDescent="0.35">
      <c r="A4" s="391"/>
      <c r="B4" s="134" t="s">
        <v>133</v>
      </c>
      <c r="C4" s="135" t="s">
        <v>19</v>
      </c>
      <c r="D4" s="136" t="s">
        <v>134</v>
      </c>
      <c r="E4" s="393"/>
      <c r="F4" s="395"/>
      <c r="G4" s="134" t="s">
        <v>135</v>
      </c>
      <c r="H4" s="135" t="s">
        <v>19</v>
      </c>
      <c r="I4" s="136" t="s">
        <v>136</v>
      </c>
      <c r="J4" s="397"/>
      <c r="Q4" t="s">
        <v>129</v>
      </c>
      <c r="S4">
        <v>2024</v>
      </c>
      <c r="V4">
        <v>2024</v>
      </c>
    </row>
    <row r="5" spans="1:23" x14ac:dyDescent="0.3">
      <c r="A5" s="41">
        <v>2013</v>
      </c>
      <c r="B5" s="122">
        <v>180.11642880000002</v>
      </c>
      <c r="C5" s="125">
        <v>214.87583040000001</v>
      </c>
      <c r="D5" s="126">
        <v>249.635232</v>
      </c>
      <c r="E5" s="131">
        <v>107.43798912000001</v>
      </c>
      <c r="F5" s="131">
        <v>201.33294720000001</v>
      </c>
      <c r="G5" s="122">
        <v>156.39993600000003</v>
      </c>
      <c r="H5" s="125">
        <v>175.60287360000001</v>
      </c>
      <c r="I5" s="126">
        <v>194.80581120000002</v>
      </c>
      <c r="J5" s="131">
        <v>276.24495360000003</v>
      </c>
      <c r="P5">
        <v>1</v>
      </c>
      <c r="Q5" t="s">
        <v>141</v>
      </c>
      <c r="R5" t="s">
        <v>130</v>
      </c>
      <c r="S5" s="4">
        <v>1.32</v>
      </c>
      <c r="T5" t="s">
        <v>129</v>
      </c>
      <c r="U5" t="s">
        <v>130</v>
      </c>
      <c r="V5" s="4">
        <f>S5*1.12</f>
        <v>1.4784000000000002</v>
      </c>
      <c r="W5" t="s">
        <v>2</v>
      </c>
    </row>
    <row r="6" spans="1:23" x14ac:dyDescent="0.3">
      <c r="A6" s="41">
        <v>2014</v>
      </c>
      <c r="B6" s="123">
        <v>169.28271360000002</v>
      </c>
      <c r="C6" s="127">
        <v>202.01079360000003</v>
      </c>
      <c r="D6" s="128">
        <v>234.73887360000003</v>
      </c>
      <c r="E6" s="132">
        <v>106.98648576000001</v>
      </c>
      <c r="F6" s="132">
        <v>197.72121600000003</v>
      </c>
      <c r="G6" s="123">
        <v>146.22041280000002</v>
      </c>
      <c r="H6" s="127">
        <v>164.72961120000002</v>
      </c>
      <c r="I6" s="128">
        <v>183.23880960000002</v>
      </c>
      <c r="J6" s="132">
        <v>267.91712640000003</v>
      </c>
      <c r="P6">
        <v>1</v>
      </c>
      <c r="Q6" t="s">
        <v>142</v>
      </c>
      <c r="R6" t="s">
        <v>130</v>
      </c>
      <c r="S6" s="4">
        <v>1.3</v>
      </c>
      <c r="T6" t="s">
        <v>129</v>
      </c>
      <c r="U6" t="s">
        <v>130</v>
      </c>
      <c r="V6" s="4">
        <f>S6*1.12</f>
        <v>1.4560000000000002</v>
      </c>
      <c r="W6" t="s">
        <v>2</v>
      </c>
    </row>
    <row r="7" spans="1:23" x14ac:dyDescent="0.3">
      <c r="A7" s="41">
        <v>2015</v>
      </c>
      <c r="B7" s="123">
        <v>162.96255360000001</v>
      </c>
      <c r="C7" s="127">
        <v>193.88476800000001</v>
      </c>
      <c r="D7" s="128">
        <v>224.80698240000004</v>
      </c>
      <c r="E7" s="132">
        <v>106.53513024</v>
      </c>
      <c r="F7" s="132">
        <v>195.01278719999999</v>
      </c>
      <c r="G7" s="123">
        <v>139.74235968000002</v>
      </c>
      <c r="H7" s="127">
        <v>157.09456224000002</v>
      </c>
      <c r="I7" s="128">
        <v>174.44676480000001</v>
      </c>
      <c r="J7" s="132">
        <v>259.12508160000004</v>
      </c>
      <c r="P7" s="147">
        <v>1</v>
      </c>
      <c r="Q7" t="s">
        <v>157</v>
      </c>
      <c r="R7" t="s">
        <v>130</v>
      </c>
      <c r="S7" t="s">
        <v>227</v>
      </c>
    </row>
    <row r="8" spans="1:23" x14ac:dyDescent="0.3">
      <c r="A8" s="41">
        <v>2016</v>
      </c>
      <c r="B8" s="123">
        <v>156.19148160000003</v>
      </c>
      <c r="C8" s="127">
        <v>186.88824000000002</v>
      </c>
      <c r="D8" s="128">
        <v>217.58499840000002</v>
      </c>
      <c r="E8" s="132">
        <v>106.08362688000001</v>
      </c>
      <c r="F8" s="132">
        <v>192.30435840000001</v>
      </c>
      <c r="G8" s="123">
        <v>134.65237632000003</v>
      </c>
      <c r="H8" s="127">
        <v>151.07902656000005</v>
      </c>
      <c r="I8" s="128">
        <v>167.50567680000003</v>
      </c>
      <c r="J8" s="132">
        <v>252.18399360000004</v>
      </c>
      <c r="P8" s="147">
        <v>1</v>
      </c>
      <c r="Q8" t="s">
        <v>183</v>
      </c>
      <c r="R8" t="s">
        <v>130</v>
      </c>
      <c r="S8" t="s">
        <v>227</v>
      </c>
    </row>
    <row r="9" spans="1:23" x14ac:dyDescent="0.3">
      <c r="A9" s="41">
        <v>2017</v>
      </c>
      <c r="B9" s="123">
        <v>150.77462400000002</v>
      </c>
      <c r="C9" s="127">
        <v>179.89097280000001</v>
      </c>
      <c r="D9" s="128">
        <v>209.00732160000001</v>
      </c>
      <c r="E9" s="132">
        <v>105.63227136000002</v>
      </c>
      <c r="F9" s="132">
        <v>189.14501760000002</v>
      </c>
      <c r="G9" s="123">
        <v>130.02513216000003</v>
      </c>
      <c r="H9" s="127">
        <v>145.75759968000003</v>
      </c>
      <c r="I9" s="128">
        <v>161.49006720000003</v>
      </c>
      <c r="J9" s="132">
        <v>246.63112320000005</v>
      </c>
      <c r="P9" s="147">
        <v>1</v>
      </c>
      <c r="Q9" t="s">
        <v>184</v>
      </c>
      <c r="R9" t="s">
        <v>130</v>
      </c>
      <c r="S9" t="s">
        <v>227</v>
      </c>
    </row>
    <row r="10" spans="1:23" x14ac:dyDescent="0.3">
      <c r="A10" s="41">
        <v>2018</v>
      </c>
      <c r="B10" s="123">
        <v>145.35717504000002</v>
      </c>
      <c r="C10" s="127">
        <v>174.24836352000003</v>
      </c>
      <c r="D10" s="128">
        <v>203.13955200000004</v>
      </c>
      <c r="E10" s="132">
        <v>105.180768</v>
      </c>
      <c r="F10" s="132">
        <v>186.88750080000003</v>
      </c>
      <c r="G10" s="123">
        <v>124.93514880000002</v>
      </c>
      <c r="H10" s="127">
        <v>140.20480320000001</v>
      </c>
      <c r="I10" s="128">
        <v>155.47445760000002</v>
      </c>
      <c r="J10" s="132">
        <v>241.07825280000003</v>
      </c>
    </row>
    <row r="11" spans="1:23" x14ac:dyDescent="0.3">
      <c r="A11" s="41">
        <v>2019</v>
      </c>
      <c r="B11" s="123">
        <v>140.39152512000001</v>
      </c>
      <c r="C11" s="127">
        <v>168.37926336000004</v>
      </c>
      <c r="D11" s="128">
        <v>196.36700160000004</v>
      </c>
      <c r="E11" s="132">
        <v>104.72941248000001</v>
      </c>
      <c r="F11" s="132">
        <v>184.62998400000004</v>
      </c>
      <c r="G11" s="123">
        <v>120.77064384000002</v>
      </c>
      <c r="H11" s="127">
        <v>135.57748512000001</v>
      </c>
      <c r="I11" s="128">
        <v>150.38432640000002</v>
      </c>
      <c r="J11" s="132">
        <v>236.45086080000004</v>
      </c>
    </row>
    <row r="12" spans="1:23" x14ac:dyDescent="0.3">
      <c r="A12" s="41">
        <v>2020</v>
      </c>
      <c r="B12" s="123">
        <v>136.78023744000001</v>
      </c>
      <c r="C12" s="127">
        <v>163.86519072000002</v>
      </c>
      <c r="D12" s="128">
        <v>190.95014400000002</v>
      </c>
      <c r="E12" s="132">
        <v>104.72941248000001</v>
      </c>
      <c r="F12" s="132">
        <v>181.92155520000003</v>
      </c>
      <c r="G12" s="123">
        <v>117.06887808000002</v>
      </c>
      <c r="H12" s="127">
        <v>131.18198016000002</v>
      </c>
      <c r="I12" s="128">
        <v>145.29508224</v>
      </c>
      <c r="J12" s="132">
        <v>233.21168640000005</v>
      </c>
    </row>
    <row r="13" spans="1:23" x14ac:dyDescent="0.3">
      <c r="A13" s="41">
        <v>2021</v>
      </c>
      <c r="B13" s="123">
        <v>133.16880192000002</v>
      </c>
      <c r="C13" s="127">
        <v>159.57723936000002</v>
      </c>
      <c r="D13" s="128">
        <v>185.98567680000002</v>
      </c>
      <c r="E13" s="132">
        <v>104.27805696000001</v>
      </c>
      <c r="F13" s="132">
        <v>180.56734080000001</v>
      </c>
      <c r="G13" s="123">
        <v>113.82985152000002</v>
      </c>
      <c r="H13" s="127">
        <v>127.48021440000002</v>
      </c>
      <c r="I13" s="128">
        <v>141.13057728000001</v>
      </c>
      <c r="J13" s="132">
        <v>229.97399040000005</v>
      </c>
    </row>
    <row r="14" spans="1:23" x14ac:dyDescent="0.3">
      <c r="A14" s="41">
        <v>2022</v>
      </c>
      <c r="B14" s="123">
        <v>130.00886976000001</v>
      </c>
      <c r="C14" s="127">
        <v>156.41686368000001</v>
      </c>
      <c r="D14" s="128">
        <v>182.82485760000003</v>
      </c>
      <c r="E14" s="132">
        <v>104.27805696000001</v>
      </c>
      <c r="F14" s="132">
        <v>178.7622144</v>
      </c>
      <c r="G14" s="123">
        <v>111.51630336000002</v>
      </c>
      <c r="H14" s="127">
        <v>124.70385312000002</v>
      </c>
      <c r="I14" s="128">
        <v>137.89140288000002</v>
      </c>
      <c r="J14" s="132">
        <v>227.19755520000001</v>
      </c>
    </row>
    <row r="15" spans="1:23" x14ac:dyDescent="0.3">
      <c r="A15" s="41">
        <v>2023</v>
      </c>
      <c r="B15" s="123">
        <v>127.75179648000001</v>
      </c>
      <c r="C15" s="127">
        <v>153.48246144000001</v>
      </c>
      <c r="D15" s="128">
        <v>179.21312640000002</v>
      </c>
      <c r="E15" s="132">
        <v>104.27805696000001</v>
      </c>
      <c r="F15" s="132">
        <v>176.957088</v>
      </c>
      <c r="G15" s="123">
        <v>109.66534656</v>
      </c>
      <c r="H15" s="127">
        <v>122.62160064</v>
      </c>
      <c r="I15" s="128">
        <v>135.57785472</v>
      </c>
      <c r="J15" s="132">
        <v>224.42112000000003</v>
      </c>
    </row>
    <row r="16" spans="1:23" x14ac:dyDescent="0.3">
      <c r="A16" s="41">
        <v>2024</v>
      </c>
      <c r="B16" s="123">
        <v>125.94607872</v>
      </c>
      <c r="C16" s="127">
        <v>151.22538816000002</v>
      </c>
      <c r="D16" s="128">
        <v>176.50469760000001</v>
      </c>
      <c r="E16" s="132">
        <v>103.82655360000001</v>
      </c>
      <c r="F16" s="132">
        <v>175.15048320000002</v>
      </c>
      <c r="G16" s="123">
        <v>107.81438976000001</v>
      </c>
      <c r="H16" s="127">
        <v>120.53927424000001</v>
      </c>
      <c r="I16" s="128">
        <v>133.26415872000001</v>
      </c>
      <c r="J16" s="132">
        <v>221.64468480000002</v>
      </c>
    </row>
    <row r="17" spans="1:18" x14ac:dyDescent="0.3">
      <c r="A17" s="41">
        <v>2025</v>
      </c>
      <c r="B17" s="123">
        <v>124.14050880000001</v>
      </c>
      <c r="C17" s="127">
        <v>149.19458400000002</v>
      </c>
      <c r="D17" s="128">
        <v>174.24865920000002</v>
      </c>
      <c r="E17" s="132">
        <v>103.82655360000001</v>
      </c>
      <c r="F17" s="132">
        <v>174.24865920000002</v>
      </c>
      <c r="G17" s="123">
        <v>105.9635808</v>
      </c>
      <c r="H17" s="127">
        <v>118.45709568000001</v>
      </c>
      <c r="I17" s="128">
        <v>130.95061056000003</v>
      </c>
      <c r="J17" s="132">
        <v>219.33098880000003</v>
      </c>
    </row>
    <row r="18" spans="1:18" x14ac:dyDescent="0.3">
      <c r="A18" s="41">
        <v>2026</v>
      </c>
      <c r="B18" s="123">
        <v>122.78614656000001</v>
      </c>
      <c r="C18" s="127">
        <v>147.61410048000002</v>
      </c>
      <c r="D18" s="128">
        <v>172.44205440000002</v>
      </c>
      <c r="E18" s="132">
        <v>103.37519808</v>
      </c>
      <c r="F18" s="132">
        <v>172.44205440000002</v>
      </c>
      <c r="G18" s="123">
        <v>104.57536320000001</v>
      </c>
      <c r="H18" s="127">
        <v>117.06887808000002</v>
      </c>
      <c r="I18" s="128">
        <v>129.56239296000001</v>
      </c>
      <c r="J18" s="132">
        <v>216.55455360000005</v>
      </c>
    </row>
    <row r="19" spans="1:18" x14ac:dyDescent="0.3">
      <c r="A19" s="41">
        <v>2027</v>
      </c>
      <c r="B19" s="123">
        <v>121.43193216000002</v>
      </c>
      <c r="C19" s="127">
        <v>145.80897408000001</v>
      </c>
      <c r="D19" s="128">
        <v>170.18601600000002</v>
      </c>
      <c r="E19" s="132">
        <v>103.37519808</v>
      </c>
      <c r="F19" s="132">
        <v>171.54023040000004</v>
      </c>
      <c r="G19" s="123">
        <v>103.64988480000001</v>
      </c>
      <c r="H19" s="127">
        <v>115.68073440000001</v>
      </c>
      <c r="I19" s="128">
        <v>127.71158400000002</v>
      </c>
      <c r="J19" s="132">
        <v>214.2408576</v>
      </c>
    </row>
    <row r="20" spans="1:18" x14ac:dyDescent="0.3">
      <c r="A20" s="41">
        <v>2028</v>
      </c>
      <c r="B20" s="123">
        <v>120.07771776000001</v>
      </c>
      <c r="C20" s="127">
        <v>144.00310848000001</v>
      </c>
      <c r="D20" s="128">
        <v>167.9284992</v>
      </c>
      <c r="E20" s="132">
        <v>102.92369472000001</v>
      </c>
      <c r="F20" s="132">
        <v>170.18601600000002</v>
      </c>
      <c r="G20" s="123">
        <v>102.26181504</v>
      </c>
      <c r="H20" s="127">
        <v>114.29259072000001</v>
      </c>
      <c r="I20" s="128">
        <v>126.32336640000001</v>
      </c>
      <c r="J20" s="132">
        <v>211.92716160000001</v>
      </c>
    </row>
    <row r="21" spans="1:18" x14ac:dyDescent="0.3">
      <c r="A21" s="41">
        <v>2029</v>
      </c>
      <c r="B21" s="123">
        <v>119.17485888</v>
      </c>
      <c r="C21" s="127">
        <v>142.87457184000002</v>
      </c>
      <c r="D21" s="128">
        <v>166.57428480000002</v>
      </c>
      <c r="E21" s="132">
        <v>102.92369472000001</v>
      </c>
      <c r="F21" s="132">
        <v>169.73362560000001</v>
      </c>
      <c r="G21" s="123">
        <v>101.33633664000001</v>
      </c>
      <c r="H21" s="127">
        <v>113.13574272000002</v>
      </c>
      <c r="I21" s="128">
        <v>124.93514880000002</v>
      </c>
      <c r="J21" s="132">
        <v>211.92716160000001</v>
      </c>
    </row>
    <row r="22" spans="1:18" ht="15" thickBot="1" x14ac:dyDescent="0.35">
      <c r="A22" s="42">
        <v>2030</v>
      </c>
      <c r="B22" s="124">
        <v>118.27200000000002</v>
      </c>
      <c r="C22" s="129">
        <v>142.19694720000001</v>
      </c>
      <c r="D22" s="130">
        <v>166.12189440000003</v>
      </c>
      <c r="E22" s="133">
        <v>102.47233920000001</v>
      </c>
      <c r="F22" s="133">
        <v>168.83032320000001</v>
      </c>
      <c r="G22" s="124">
        <v>100.41085824000001</v>
      </c>
      <c r="H22" s="129">
        <v>111.97896864000001</v>
      </c>
      <c r="I22" s="130">
        <v>123.54707904000001</v>
      </c>
      <c r="J22" s="133">
        <v>209.15072640000002</v>
      </c>
    </row>
    <row r="23" spans="1:18" ht="31.2" customHeight="1" x14ac:dyDescent="0.3">
      <c r="A23" s="389" t="s">
        <v>154</v>
      </c>
      <c r="B23" s="389"/>
      <c r="C23" s="389"/>
      <c r="D23" s="389"/>
      <c r="E23" s="389"/>
      <c r="F23" s="389"/>
      <c r="G23" s="389"/>
      <c r="H23" s="389"/>
      <c r="I23" s="389"/>
      <c r="J23" s="389"/>
      <c r="K23" s="389"/>
      <c r="L23" s="143"/>
    </row>
    <row r="24" spans="1:18" ht="16.2" x14ac:dyDescent="0.3">
      <c r="A24" t="s">
        <v>151</v>
      </c>
    </row>
    <row r="25" spans="1:18" ht="16.2" x14ac:dyDescent="0.3">
      <c r="A25" t="s">
        <v>138</v>
      </c>
    </row>
    <row r="26" spans="1:18" ht="16.2" x14ac:dyDescent="0.3">
      <c r="A26" t="s">
        <v>152</v>
      </c>
    </row>
    <row r="27" spans="1:18" ht="16.2" x14ac:dyDescent="0.3">
      <c r="A27" t="s">
        <v>139</v>
      </c>
    </row>
    <row r="28" spans="1:18" ht="15" thickBot="1" x14ac:dyDescent="0.35"/>
    <row r="29" spans="1:18" ht="20.399999999999999" thickBot="1" x14ac:dyDescent="0.35">
      <c r="A29" s="289" t="s">
        <v>0</v>
      </c>
      <c r="B29" s="338" t="s">
        <v>143</v>
      </c>
      <c r="C29" s="339"/>
      <c r="D29" s="339"/>
      <c r="E29" s="339"/>
      <c r="F29" s="339"/>
      <c r="G29" s="339"/>
      <c r="H29" s="339"/>
      <c r="I29" s="339"/>
      <c r="J29" s="339"/>
      <c r="K29" s="339"/>
      <c r="L29" s="339"/>
      <c r="M29" s="340"/>
    </row>
    <row r="30" spans="1:18" ht="18.600000000000001" thickBot="1" x14ac:dyDescent="0.4">
      <c r="A30" s="344"/>
      <c r="B30" s="380" t="s">
        <v>131</v>
      </c>
      <c r="C30" s="381"/>
      <c r="D30" s="381"/>
      <c r="E30" s="381"/>
      <c r="F30" s="381"/>
      <c r="G30" s="381"/>
      <c r="H30" s="381"/>
      <c r="I30" s="381"/>
      <c r="J30" s="381"/>
      <c r="K30" s="381"/>
      <c r="L30" s="381"/>
      <c r="M30" s="382"/>
    </row>
    <row r="31" spans="1:18" ht="18.600000000000001" thickBot="1" x14ac:dyDescent="0.4">
      <c r="A31" s="344"/>
      <c r="B31" s="368" t="s">
        <v>126</v>
      </c>
      <c r="C31" s="369"/>
      <c r="D31" s="370"/>
      <c r="E31" s="386" t="s">
        <v>120</v>
      </c>
      <c r="F31" s="387"/>
      <c r="G31" s="388"/>
      <c r="H31" s="375" t="s">
        <v>127</v>
      </c>
      <c r="I31" s="376"/>
      <c r="J31" s="377"/>
      <c r="K31" s="316" t="s">
        <v>128</v>
      </c>
      <c r="L31" s="317"/>
      <c r="M31" s="318"/>
      <c r="O31" s="378" t="s">
        <v>177</v>
      </c>
      <c r="P31" s="380" t="s">
        <v>179</v>
      </c>
      <c r="Q31" s="381"/>
      <c r="R31" s="382"/>
    </row>
    <row r="32" spans="1:18" ht="16.8" customHeight="1" thickBot="1" x14ac:dyDescent="0.35">
      <c r="A32" s="290"/>
      <c r="B32" s="134" t="s">
        <v>133</v>
      </c>
      <c r="C32" s="135" t="s">
        <v>19</v>
      </c>
      <c r="D32" s="136" t="s">
        <v>134</v>
      </c>
      <c r="E32" s="155" t="s">
        <v>18</v>
      </c>
      <c r="F32" s="156" t="s">
        <v>19</v>
      </c>
      <c r="G32" s="157" t="s">
        <v>20</v>
      </c>
      <c r="H32" s="140" t="s">
        <v>135</v>
      </c>
      <c r="I32" s="141" t="s">
        <v>19</v>
      </c>
      <c r="J32" s="142" t="s">
        <v>136</v>
      </c>
      <c r="K32" s="137" t="s">
        <v>144</v>
      </c>
      <c r="L32" s="138" t="s">
        <v>19</v>
      </c>
      <c r="M32" s="139" t="s">
        <v>145</v>
      </c>
      <c r="O32" s="379"/>
      <c r="P32" s="29" t="s">
        <v>18</v>
      </c>
      <c r="Q32" s="30" t="s">
        <v>19</v>
      </c>
      <c r="R32" s="31" t="s">
        <v>20</v>
      </c>
    </row>
    <row r="33" spans="1:18" ht="14.4" customHeight="1" x14ac:dyDescent="0.3">
      <c r="A33" s="41">
        <v>2013</v>
      </c>
      <c r="B33" s="122">
        <v>114.74153600000001</v>
      </c>
      <c r="C33" s="125">
        <v>161.83367200000001</v>
      </c>
      <c r="D33" s="126">
        <v>208.92580800000002</v>
      </c>
      <c r="E33" s="122">
        <v>205.887</v>
      </c>
      <c r="F33" s="125">
        <v>245.04750000000001</v>
      </c>
      <c r="G33" s="126">
        <v>284.20800000000003</v>
      </c>
      <c r="H33" s="122">
        <v>65.020155200000005</v>
      </c>
      <c r="I33" s="125">
        <v>110.9164056</v>
      </c>
      <c r="J33" s="126">
        <v>156.812656</v>
      </c>
      <c r="K33" s="122">
        <v>173.06889600000002</v>
      </c>
      <c r="L33" s="125">
        <v>228.28769600000001</v>
      </c>
      <c r="M33" s="126">
        <v>283.50649600000003</v>
      </c>
      <c r="O33" s="148" t="s">
        <v>180</v>
      </c>
      <c r="P33" s="163">
        <v>1892.8000000000002</v>
      </c>
      <c r="Q33" s="164">
        <v>2256.8000000000002</v>
      </c>
      <c r="R33" s="165">
        <v>2620.8000000000002</v>
      </c>
    </row>
    <row r="34" spans="1:18" ht="14.4" customHeight="1" x14ac:dyDescent="0.3">
      <c r="A34" s="41">
        <v>2014</v>
      </c>
      <c r="B34" s="123">
        <v>114.74153600000001</v>
      </c>
      <c r="C34" s="127">
        <v>161.83367200000001</v>
      </c>
      <c r="D34" s="128">
        <v>208.92580800000002</v>
      </c>
      <c r="E34" s="123">
        <v>200.25899999999999</v>
      </c>
      <c r="F34" s="127">
        <v>237.30899999999997</v>
      </c>
      <c r="G34" s="128">
        <v>274.35899999999998</v>
      </c>
      <c r="H34" s="123">
        <v>64.879539858823549</v>
      </c>
      <c r="I34" s="127">
        <v>110.60731392941179</v>
      </c>
      <c r="J34" s="128">
        <v>156.33508800000001</v>
      </c>
      <c r="K34" s="123">
        <v>170.20057600000001</v>
      </c>
      <c r="L34" s="127">
        <v>223.50692000000001</v>
      </c>
      <c r="M34" s="128">
        <v>276.81326400000006</v>
      </c>
      <c r="O34" s="149" t="s">
        <v>181</v>
      </c>
      <c r="P34" s="166">
        <v>1456.0000000000002</v>
      </c>
      <c r="Q34" s="167">
        <v>1965.6000000000004</v>
      </c>
      <c r="R34" s="168">
        <v>2475.2000000000003</v>
      </c>
    </row>
    <row r="35" spans="1:18" ht="15" customHeight="1" x14ac:dyDescent="0.3">
      <c r="A35" s="41">
        <v>2015</v>
      </c>
      <c r="B35" s="123">
        <v>110.43861920000002</v>
      </c>
      <c r="C35" s="127">
        <v>155.37900560000003</v>
      </c>
      <c r="D35" s="128">
        <v>200.31939200000002</v>
      </c>
      <c r="E35" s="123">
        <v>194.631</v>
      </c>
      <c r="F35" s="127">
        <v>230.50850000000003</v>
      </c>
      <c r="G35" s="128">
        <v>266.38600000000002</v>
      </c>
      <c r="H35" s="123">
        <v>64.738924517647078</v>
      </c>
      <c r="I35" s="127">
        <v>110.29822225882354</v>
      </c>
      <c r="J35" s="128">
        <v>155.85752000000002</v>
      </c>
      <c r="K35" s="123">
        <v>166.85323200000002</v>
      </c>
      <c r="L35" s="127">
        <v>218.96492800000004</v>
      </c>
      <c r="M35" s="128">
        <v>271.07662400000004</v>
      </c>
      <c r="O35" s="150" t="s">
        <v>178</v>
      </c>
      <c r="P35" s="166">
        <v>1456.0000000000002</v>
      </c>
      <c r="Q35" s="167">
        <v>1747.2000000000003</v>
      </c>
      <c r="R35" s="168">
        <v>2038.4000000000003</v>
      </c>
    </row>
    <row r="36" spans="1:18" x14ac:dyDescent="0.3">
      <c r="A36" s="41">
        <v>2016</v>
      </c>
      <c r="B36" s="123">
        <v>106.61399840000001</v>
      </c>
      <c r="C36" s="127">
        <v>149.64178320000002</v>
      </c>
      <c r="D36" s="128">
        <v>192.66956800000003</v>
      </c>
      <c r="E36" s="123">
        <v>188.81540000000001</v>
      </c>
      <c r="F36" s="127">
        <v>223.42670000000001</v>
      </c>
      <c r="G36" s="128">
        <v>258.03800000000001</v>
      </c>
      <c r="H36" s="123">
        <v>64.598309176470607</v>
      </c>
      <c r="I36" s="127">
        <v>109.74961858823534</v>
      </c>
      <c r="J36" s="128">
        <v>154.90092800000002</v>
      </c>
      <c r="K36" s="123">
        <v>164.46248000000003</v>
      </c>
      <c r="L36" s="127">
        <v>215.14001600000003</v>
      </c>
      <c r="M36" s="128">
        <v>265.81755200000003</v>
      </c>
      <c r="O36" s="151" t="s">
        <v>170</v>
      </c>
      <c r="P36" s="166">
        <v>1456.0000000000002</v>
      </c>
      <c r="Q36" s="167">
        <v>2038.4</v>
      </c>
      <c r="R36" s="168">
        <v>2620.8000000000002</v>
      </c>
    </row>
    <row r="37" spans="1:18" x14ac:dyDescent="0.3">
      <c r="A37" s="41">
        <v>2017</v>
      </c>
      <c r="B37" s="123">
        <v>103.74538720000001</v>
      </c>
      <c r="C37" s="127">
        <v>144.86086159999999</v>
      </c>
      <c r="D37" s="128">
        <v>185.976336</v>
      </c>
      <c r="E37" s="123">
        <v>182.99980000000002</v>
      </c>
      <c r="F37" s="127">
        <v>216.3449</v>
      </c>
      <c r="G37" s="128">
        <v>249.69</v>
      </c>
      <c r="H37" s="123">
        <v>64.457693835294151</v>
      </c>
      <c r="I37" s="127">
        <v>109.20101491764707</v>
      </c>
      <c r="J37" s="128">
        <v>153.94433600000002</v>
      </c>
      <c r="K37" s="123">
        <v>161.59416000000002</v>
      </c>
      <c r="L37" s="127">
        <v>211.07632000000004</v>
      </c>
      <c r="M37" s="128">
        <v>260.55848000000003</v>
      </c>
      <c r="O37" s="152" t="s">
        <v>171</v>
      </c>
      <c r="P37" s="166">
        <v>4950.4000000000005</v>
      </c>
      <c r="Q37" s="167">
        <v>5751.2000000000007</v>
      </c>
      <c r="R37" s="168">
        <v>6552.0000000000009</v>
      </c>
    </row>
    <row r="38" spans="1:18" x14ac:dyDescent="0.3">
      <c r="A38" s="41">
        <v>2018</v>
      </c>
      <c r="B38" s="123">
        <v>100.87692160000002</v>
      </c>
      <c r="C38" s="127">
        <v>140.79709280000003</v>
      </c>
      <c r="D38" s="128">
        <v>180.71726400000003</v>
      </c>
      <c r="E38" s="123">
        <v>177.18420000000003</v>
      </c>
      <c r="F38" s="127">
        <v>209.26310000000001</v>
      </c>
      <c r="G38" s="128">
        <v>241.34199999999998</v>
      </c>
      <c r="H38" s="123">
        <v>64.317078494117681</v>
      </c>
      <c r="I38" s="127">
        <v>109.13070724705885</v>
      </c>
      <c r="J38" s="128">
        <v>153.94433600000002</v>
      </c>
      <c r="K38" s="123">
        <v>158.72584000000003</v>
      </c>
      <c r="L38" s="127">
        <v>207.25213600000004</v>
      </c>
      <c r="M38" s="128">
        <v>255.77843200000004</v>
      </c>
      <c r="O38" s="153" t="s">
        <v>172</v>
      </c>
      <c r="P38" s="166">
        <v>4076.8000000000006</v>
      </c>
      <c r="Q38" s="167">
        <v>5605.6</v>
      </c>
      <c r="R38" s="168">
        <v>7134.4000000000005</v>
      </c>
    </row>
    <row r="39" spans="1:18" x14ac:dyDescent="0.3">
      <c r="A39" s="41">
        <v>2019</v>
      </c>
      <c r="B39" s="123">
        <v>98.486460800000017</v>
      </c>
      <c r="C39" s="127">
        <v>136.97232640000001</v>
      </c>
      <c r="D39" s="128">
        <v>175.45819200000003</v>
      </c>
      <c r="E39" s="123">
        <v>171.36860000000004</v>
      </c>
      <c r="F39" s="127">
        <v>202.18130000000002</v>
      </c>
      <c r="G39" s="128">
        <v>232.99399999999997</v>
      </c>
      <c r="H39" s="123">
        <v>64.17646315294121</v>
      </c>
      <c r="I39" s="127">
        <v>108.82161557647061</v>
      </c>
      <c r="J39" s="128">
        <v>153.46676800000003</v>
      </c>
      <c r="K39" s="123">
        <v>155.85752000000002</v>
      </c>
      <c r="L39" s="127">
        <v>203.18844000000004</v>
      </c>
      <c r="M39" s="128">
        <v>250.51936000000003</v>
      </c>
      <c r="O39" s="153" t="s">
        <v>173</v>
      </c>
      <c r="P39" s="166">
        <v>7571.2000000000007</v>
      </c>
      <c r="Q39" s="167">
        <v>8590.4000000000015</v>
      </c>
      <c r="R39" s="168">
        <v>9609.6</v>
      </c>
    </row>
    <row r="40" spans="1:18" x14ac:dyDescent="0.3">
      <c r="A40" s="41">
        <v>2020</v>
      </c>
      <c r="B40" s="123">
        <v>96.096000000000018</v>
      </c>
      <c r="C40" s="127">
        <v>133.62585600000003</v>
      </c>
      <c r="D40" s="128">
        <v>171.15571200000002</v>
      </c>
      <c r="E40" s="123">
        <v>165.553</v>
      </c>
      <c r="F40" s="127">
        <v>195.09949999999998</v>
      </c>
      <c r="G40" s="128">
        <v>224.64599999999999</v>
      </c>
      <c r="H40" s="123">
        <v>64.035847811764754</v>
      </c>
      <c r="I40" s="127">
        <v>108.51252390588239</v>
      </c>
      <c r="J40" s="128">
        <v>152.98920000000001</v>
      </c>
      <c r="K40" s="123">
        <v>153.94433600000002</v>
      </c>
      <c r="L40" s="127">
        <v>199.84109600000002</v>
      </c>
      <c r="M40" s="128">
        <v>245.73785600000005</v>
      </c>
      <c r="O40" s="153" t="s">
        <v>174</v>
      </c>
      <c r="P40" s="166">
        <v>3640.0000000000005</v>
      </c>
      <c r="Q40" s="167">
        <v>4222.4000000000005</v>
      </c>
      <c r="R40" s="168">
        <v>4804.8</v>
      </c>
    </row>
    <row r="41" spans="1:18" ht="15" thickBot="1" x14ac:dyDescent="0.35">
      <c r="A41" s="41">
        <v>2021</v>
      </c>
      <c r="B41" s="123">
        <v>93.705539200000004</v>
      </c>
      <c r="C41" s="127">
        <v>130.04060160000003</v>
      </c>
      <c r="D41" s="128">
        <v>166.37566400000003</v>
      </c>
      <c r="E41" s="123">
        <v>161.3322</v>
      </c>
      <c r="F41" s="127">
        <v>189.8938</v>
      </c>
      <c r="G41" s="128">
        <v>218.4554</v>
      </c>
      <c r="H41" s="123">
        <v>63.895232470588283</v>
      </c>
      <c r="I41" s="127">
        <v>108.20270423529414</v>
      </c>
      <c r="J41" s="128">
        <v>152.510176</v>
      </c>
      <c r="K41" s="123">
        <v>151.55504000000002</v>
      </c>
      <c r="L41" s="127">
        <v>197.21228800000003</v>
      </c>
      <c r="M41" s="128">
        <v>242.86953600000004</v>
      </c>
      <c r="O41" s="154" t="s">
        <v>175</v>
      </c>
      <c r="P41" s="169">
        <v>8736.0000000000018</v>
      </c>
      <c r="Q41" s="170">
        <v>9464.0000000000018</v>
      </c>
      <c r="R41" s="171">
        <v>10192.000000000002</v>
      </c>
    </row>
    <row r="42" spans="1:18" x14ac:dyDescent="0.3">
      <c r="A42" s="41">
        <v>2022</v>
      </c>
      <c r="B42" s="123">
        <v>91.793228800000009</v>
      </c>
      <c r="C42" s="127">
        <v>126.93247840000001</v>
      </c>
      <c r="D42" s="128">
        <v>162.07172800000004</v>
      </c>
      <c r="E42" s="123">
        <v>157.1114</v>
      </c>
      <c r="F42" s="127">
        <v>184.68810000000002</v>
      </c>
      <c r="G42" s="128">
        <v>212.26480000000001</v>
      </c>
      <c r="H42" s="123">
        <v>63.754617129411812</v>
      </c>
      <c r="I42" s="127">
        <v>107.89361256470593</v>
      </c>
      <c r="J42" s="128">
        <v>152.03260800000004</v>
      </c>
      <c r="K42" s="123">
        <v>150.11942400000001</v>
      </c>
      <c r="L42" s="127">
        <v>194.58202400000005</v>
      </c>
      <c r="M42" s="128">
        <v>239.04462400000003</v>
      </c>
    </row>
    <row r="43" spans="1:18" x14ac:dyDescent="0.3">
      <c r="A43" s="41">
        <v>2023</v>
      </c>
      <c r="B43" s="123">
        <v>90.358923200000007</v>
      </c>
      <c r="C43" s="127">
        <v>124.54238160000003</v>
      </c>
      <c r="D43" s="128">
        <v>158.72584000000003</v>
      </c>
      <c r="E43" s="123">
        <v>152.89060000000001</v>
      </c>
      <c r="F43" s="127">
        <v>179.48240000000001</v>
      </c>
      <c r="G43" s="128">
        <v>206.07420000000002</v>
      </c>
      <c r="H43" s="123">
        <v>63.614001788235349</v>
      </c>
      <c r="I43" s="127">
        <v>107.34500889411768</v>
      </c>
      <c r="J43" s="128">
        <v>151.07601600000001</v>
      </c>
      <c r="K43" s="123">
        <v>148.68526400000002</v>
      </c>
      <c r="L43" s="127">
        <v>192.43078400000002</v>
      </c>
      <c r="M43" s="128">
        <v>236.17630400000004</v>
      </c>
    </row>
    <row r="44" spans="1:18" x14ac:dyDescent="0.3">
      <c r="A44" s="41">
        <v>2024</v>
      </c>
      <c r="B44" s="123">
        <v>88.446612800000011</v>
      </c>
      <c r="C44" s="127">
        <v>121.67377040000001</v>
      </c>
      <c r="D44" s="128">
        <v>154.90092800000002</v>
      </c>
      <c r="E44" s="123">
        <v>148.66980000000001</v>
      </c>
      <c r="F44" s="127">
        <v>174.27670000000001</v>
      </c>
      <c r="G44" s="128">
        <v>199.88360000000003</v>
      </c>
      <c r="H44" s="123">
        <v>63.473386447058886</v>
      </c>
      <c r="I44" s="127">
        <v>107.03591722352945</v>
      </c>
      <c r="J44" s="128">
        <v>150.59844800000002</v>
      </c>
      <c r="K44" s="123">
        <v>146.77353600000001</v>
      </c>
      <c r="L44" s="127">
        <v>190.27954400000002</v>
      </c>
      <c r="M44" s="128">
        <v>233.78555200000005</v>
      </c>
    </row>
    <row r="45" spans="1:18" x14ac:dyDescent="0.3">
      <c r="A45" s="41">
        <v>2025</v>
      </c>
      <c r="B45" s="123">
        <v>87.012307200000009</v>
      </c>
      <c r="C45" s="127">
        <v>119.52245760000002</v>
      </c>
      <c r="D45" s="128">
        <v>152.03260800000004</v>
      </c>
      <c r="E45" s="123">
        <v>144.44900000000001</v>
      </c>
      <c r="F45" s="127">
        <v>169.07100000000003</v>
      </c>
      <c r="G45" s="128">
        <v>193.69300000000001</v>
      </c>
      <c r="H45" s="123">
        <v>63.332771105882415</v>
      </c>
      <c r="I45" s="127">
        <v>106.72609755294121</v>
      </c>
      <c r="J45" s="128">
        <v>150.11942400000001</v>
      </c>
      <c r="K45" s="123">
        <v>145.33923040000002</v>
      </c>
      <c r="L45" s="127">
        <v>188.36701520000003</v>
      </c>
      <c r="M45" s="128">
        <v>231.39480000000003</v>
      </c>
    </row>
    <row r="46" spans="1:18" x14ac:dyDescent="0.3">
      <c r="A46" s="41">
        <v>2026</v>
      </c>
      <c r="B46" s="123">
        <v>85.578001600000007</v>
      </c>
      <c r="C46" s="127">
        <v>117.37114480000001</v>
      </c>
      <c r="D46" s="128">
        <v>149.164288</v>
      </c>
      <c r="E46" s="123">
        <v>140.97840000000002</v>
      </c>
      <c r="F46" s="127">
        <v>164.70930000000001</v>
      </c>
      <c r="G46" s="128">
        <v>188.4402</v>
      </c>
      <c r="H46" s="123">
        <v>63.192155764705952</v>
      </c>
      <c r="I46" s="127">
        <v>106.17822188235299</v>
      </c>
      <c r="J46" s="128">
        <v>149.164288</v>
      </c>
      <c r="K46" s="123">
        <v>144.38307520000001</v>
      </c>
      <c r="L46" s="127">
        <v>186.4547776</v>
      </c>
      <c r="M46" s="128">
        <v>228.52648000000005</v>
      </c>
    </row>
    <row r="47" spans="1:18" x14ac:dyDescent="0.3">
      <c r="A47" s="41">
        <v>2027</v>
      </c>
      <c r="B47" s="123">
        <v>84.143696000000006</v>
      </c>
      <c r="C47" s="127">
        <v>115.21983200000003</v>
      </c>
      <c r="D47" s="128">
        <v>146.29596800000002</v>
      </c>
      <c r="E47" s="123">
        <v>137.50780000000003</v>
      </c>
      <c r="F47" s="127">
        <v>160.3476</v>
      </c>
      <c r="G47" s="128">
        <v>183.1874</v>
      </c>
      <c r="H47" s="123">
        <v>63.051540423529488</v>
      </c>
      <c r="I47" s="127">
        <v>105.86840221176475</v>
      </c>
      <c r="J47" s="128">
        <v>148.68526400000002</v>
      </c>
      <c r="K47" s="123">
        <v>142.94876960000002</v>
      </c>
      <c r="L47" s="127">
        <v>184.54224880000001</v>
      </c>
      <c r="M47" s="128">
        <v>226.135728</v>
      </c>
    </row>
    <row r="48" spans="1:18" x14ac:dyDescent="0.3">
      <c r="A48" s="41">
        <v>2028</v>
      </c>
      <c r="B48" s="123">
        <v>82.709536</v>
      </c>
      <c r="C48" s="127">
        <v>112.8291528</v>
      </c>
      <c r="D48" s="128">
        <v>142.94876960000002</v>
      </c>
      <c r="E48" s="123">
        <v>134.03720000000004</v>
      </c>
      <c r="F48" s="127">
        <v>155.98590000000002</v>
      </c>
      <c r="G48" s="128">
        <v>177.93459999999999</v>
      </c>
      <c r="H48" s="123">
        <v>62.910925082353018</v>
      </c>
      <c r="I48" s="127">
        <v>105.5593105411765</v>
      </c>
      <c r="J48" s="128">
        <v>148.20769600000003</v>
      </c>
      <c r="K48" s="123">
        <v>142.47061920000002</v>
      </c>
      <c r="L48" s="127">
        <v>183.34730960000005</v>
      </c>
      <c r="M48" s="128">
        <v>224.22400000000002</v>
      </c>
    </row>
    <row r="49" spans="1:18" x14ac:dyDescent="0.3">
      <c r="A49" s="41">
        <v>2029</v>
      </c>
      <c r="B49" s="123">
        <v>81.753380800000002</v>
      </c>
      <c r="C49" s="127">
        <v>111.15584480000001</v>
      </c>
      <c r="D49" s="128">
        <v>140.55830880000002</v>
      </c>
      <c r="E49" s="123">
        <v>130.56660000000005</v>
      </c>
      <c r="F49" s="127">
        <v>151.62420000000003</v>
      </c>
      <c r="G49" s="128">
        <v>172.68179999999998</v>
      </c>
      <c r="H49" s="123">
        <v>62.770309741176554</v>
      </c>
      <c r="I49" s="127">
        <v>105.25021887058828</v>
      </c>
      <c r="J49" s="128">
        <v>147.73012800000001</v>
      </c>
      <c r="K49" s="123">
        <v>141.03645920000002</v>
      </c>
      <c r="L49" s="127">
        <v>181.67436560000004</v>
      </c>
      <c r="M49" s="128">
        <v>222.31227200000004</v>
      </c>
    </row>
    <row r="50" spans="1:18" ht="15" thickBot="1" x14ac:dyDescent="0.35">
      <c r="A50" s="42">
        <v>2030</v>
      </c>
      <c r="B50" s="124">
        <v>79.84092480000001</v>
      </c>
      <c r="C50" s="129">
        <v>109.2434616</v>
      </c>
      <c r="D50" s="130">
        <v>138.64599840000002</v>
      </c>
      <c r="E50" s="124">
        <v>127.096</v>
      </c>
      <c r="F50" s="129">
        <v>147.26249999999999</v>
      </c>
      <c r="G50" s="130">
        <v>167.429</v>
      </c>
      <c r="H50" s="124">
        <v>62.629694400000005</v>
      </c>
      <c r="I50" s="129">
        <v>105.17991119999999</v>
      </c>
      <c r="J50" s="130">
        <v>147.73012800000001</v>
      </c>
      <c r="K50" s="124">
        <v>140.08030400000001</v>
      </c>
      <c r="L50" s="129">
        <v>180.71799200000004</v>
      </c>
      <c r="M50" s="130">
        <v>221.35568000000004</v>
      </c>
    </row>
    <row r="51" spans="1:18" ht="16.2" x14ac:dyDescent="0.3">
      <c r="A51" t="s">
        <v>176</v>
      </c>
    </row>
    <row r="52" spans="1:18" ht="16.2" x14ac:dyDescent="0.3">
      <c r="A52" t="s">
        <v>153</v>
      </c>
    </row>
    <row r="53" spans="1:18" ht="16.2" x14ac:dyDescent="0.3">
      <c r="A53" t="s">
        <v>146</v>
      </c>
    </row>
    <row r="54" spans="1:18" ht="16.2" x14ac:dyDescent="0.3">
      <c r="A54" t="s">
        <v>148</v>
      </c>
    </row>
    <row r="55" spans="1:18" ht="16.2" x14ac:dyDescent="0.3">
      <c r="A55" t="s">
        <v>147</v>
      </c>
    </row>
    <row r="56" spans="1:18" ht="16.2" x14ac:dyDescent="0.3">
      <c r="A56" t="s">
        <v>149</v>
      </c>
    </row>
    <row r="57" spans="1:18" ht="16.2" x14ac:dyDescent="0.3">
      <c r="A57" t="s">
        <v>150</v>
      </c>
    </row>
    <row r="58" spans="1:18" ht="15" thickBot="1" x14ac:dyDescent="0.35"/>
    <row r="59" spans="1:18" ht="20.399999999999999" thickBot="1" x14ac:dyDescent="0.35">
      <c r="A59" s="289" t="s">
        <v>0</v>
      </c>
      <c r="B59" s="338" t="s">
        <v>156</v>
      </c>
      <c r="C59" s="339"/>
      <c r="D59" s="339"/>
      <c r="E59" s="339"/>
      <c r="F59" s="339"/>
      <c r="G59" s="339"/>
      <c r="H59" s="339"/>
      <c r="I59" s="339"/>
      <c r="J59" s="339"/>
      <c r="K59" s="339"/>
      <c r="L59" s="339"/>
      <c r="M59" s="340"/>
    </row>
    <row r="60" spans="1:18" ht="18.600000000000001" thickBot="1" x14ac:dyDescent="0.4">
      <c r="A60" s="344"/>
      <c r="B60" s="380" t="s">
        <v>131</v>
      </c>
      <c r="C60" s="381"/>
      <c r="D60" s="381"/>
      <c r="E60" s="381"/>
      <c r="F60" s="381"/>
      <c r="G60" s="381"/>
      <c r="H60" s="381"/>
      <c r="I60" s="381"/>
      <c r="J60" s="381"/>
      <c r="K60" s="381"/>
      <c r="L60" s="381"/>
      <c r="M60" s="382"/>
    </row>
    <row r="61" spans="1:18" ht="18.600000000000001" thickBot="1" x14ac:dyDescent="0.4">
      <c r="A61" s="344"/>
      <c r="B61" s="368" t="s">
        <v>58</v>
      </c>
      <c r="C61" s="369"/>
      <c r="D61" s="370"/>
      <c r="E61" s="301" t="s">
        <v>155</v>
      </c>
      <c r="F61" s="302"/>
      <c r="G61" s="303"/>
      <c r="H61" s="375" t="s">
        <v>127</v>
      </c>
      <c r="I61" s="376"/>
      <c r="J61" s="377"/>
      <c r="K61" s="316" t="s">
        <v>128</v>
      </c>
      <c r="L61" s="317"/>
      <c r="M61" s="318"/>
      <c r="O61" s="378" t="s">
        <v>177</v>
      </c>
      <c r="P61" s="380" t="s">
        <v>179</v>
      </c>
      <c r="Q61" s="381"/>
      <c r="R61" s="382"/>
    </row>
    <row r="62" spans="1:18" ht="16.8" thickBot="1" x14ac:dyDescent="0.35">
      <c r="A62" s="290"/>
      <c r="B62" s="134" t="s">
        <v>133</v>
      </c>
      <c r="C62" s="135" t="s">
        <v>19</v>
      </c>
      <c r="D62" s="136" t="s">
        <v>134</v>
      </c>
      <c r="E62" s="144" t="s">
        <v>135</v>
      </c>
      <c r="F62" s="145" t="s">
        <v>19</v>
      </c>
      <c r="G62" s="146" t="s">
        <v>136</v>
      </c>
      <c r="H62" s="140" t="s">
        <v>158</v>
      </c>
      <c r="I62" s="141" t="s">
        <v>19</v>
      </c>
      <c r="J62" s="142" t="s">
        <v>159</v>
      </c>
      <c r="K62" s="137" t="s">
        <v>160</v>
      </c>
      <c r="L62" s="138" t="s">
        <v>19</v>
      </c>
      <c r="M62" s="139" t="s">
        <v>161</v>
      </c>
      <c r="O62" s="379"/>
      <c r="P62" s="78" t="s">
        <v>18</v>
      </c>
      <c r="Q62" s="79" t="s">
        <v>19</v>
      </c>
      <c r="R62" s="80" t="s">
        <v>20</v>
      </c>
    </row>
    <row r="63" spans="1:18" x14ac:dyDescent="0.3">
      <c r="A63" s="41">
        <v>2018</v>
      </c>
      <c r="B63" s="122">
        <v>53.700911999999995</v>
      </c>
      <c r="C63" s="125">
        <v>76.749544</v>
      </c>
      <c r="D63" s="126">
        <v>99.798175999999998</v>
      </c>
      <c r="E63" s="122">
        <v>106.45136799999999</v>
      </c>
      <c r="F63" s="125">
        <v>138.76672400000001</v>
      </c>
      <c r="G63" s="126">
        <v>171.08207999999999</v>
      </c>
      <c r="H63" s="122">
        <v>58.453191999999994</v>
      </c>
      <c r="I63" s="125">
        <v>89.818314000000001</v>
      </c>
      <c r="J63" s="126">
        <v>121.183436</v>
      </c>
      <c r="K63" s="122">
        <v>109.777964</v>
      </c>
      <c r="L63" s="125">
        <v>156.112842</v>
      </c>
      <c r="M63" s="126">
        <v>202.44771999999998</v>
      </c>
      <c r="O63" s="148" t="s">
        <v>180</v>
      </c>
      <c r="P63" s="163">
        <v>1776</v>
      </c>
      <c r="Q63" s="164">
        <v>1924</v>
      </c>
      <c r="R63" s="165">
        <v>2072</v>
      </c>
    </row>
    <row r="64" spans="1:18" x14ac:dyDescent="0.3">
      <c r="A64" s="41">
        <v>2019</v>
      </c>
      <c r="B64" s="123">
        <v>51.562385999999996</v>
      </c>
      <c r="C64" s="127">
        <v>73.541755000000009</v>
      </c>
      <c r="D64" s="128">
        <v>95.521124000000015</v>
      </c>
      <c r="E64" s="123">
        <v>101.69908799999999</v>
      </c>
      <c r="F64" s="127">
        <v>132.47006400000001</v>
      </c>
      <c r="G64" s="128">
        <v>163.24104</v>
      </c>
      <c r="H64" s="123">
        <v>58.005918588235289</v>
      </c>
      <c r="I64" s="127">
        <v>89.105472000000006</v>
      </c>
      <c r="J64" s="128">
        <v>120.20502541176471</v>
      </c>
      <c r="K64" s="123">
        <v>108.24046164705882</v>
      </c>
      <c r="L64" s="127">
        <v>153.76466964705881</v>
      </c>
      <c r="M64" s="128">
        <v>199.2888776470588</v>
      </c>
      <c r="O64" s="149" t="s">
        <v>181</v>
      </c>
      <c r="P64" s="166">
        <v>1184</v>
      </c>
      <c r="Q64" s="167">
        <v>1332</v>
      </c>
      <c r="R64" s="168">
        <v>1480</v>
      </c>
    </row>
    <row r="65" spans="1:18" x14ac:dyDescent="0.3">
      <c r="A65" s="41">
        <v>2020</v>
      </c>
      <c r="B65" s="123">
        <v>49.423859999999998</v>
      </c>
      <c r="C65" s="127">
        <v>70.333966000000004</v>
      </c>
      <c r="D65" s="128">
        <v>91.244072000000003</v>
      </c>
      <c r="E65" s="123">
        <v>96.94680799999999</v>
      </c>
      <c r="F65" s="127">
        <v>126.17340399999999</v>
      </c>
      <c r="G65" s="128">
        <v>155.4</v>
      </c>
      <c r="H65" s="123">
        <v>57.558645176470584</v>
      </c>
      <c r="I65" s="127">
        <v>88.392629999999983</v>
      </c>
      <c r="J65" s="128">
        <v>119.22661482352942</v>
      </c>
      <c r="K65" s="123">
        <v>106.70295929411765</v>
      </c>
      <c r="L65" s="127">
        <v>151.41649729411762</v>
      </c>
      <c r="M65" s="128">
        <v>196.13003529411762</v>
      </c>
      <c r="O65" s="150" t="s">
        <v>178</v>
      </c>
      <c r="P65" s="166">
        <v>888</v>
      </c>
      <c r="Q65" s="167">
        <v>1036</v>
      </c>
      <c r="R65" s="168">
        <v>1184</v>
      </c>
    </row>
    <row r="66" spans="1:18" x14ac:dyDescent="0.3">
      <c r="A66" s="41">
        <v>2021</v>
      </c>
      <c r="B66" s="123">
        <v>47.522948000000007</v>
      </c>
      <c r="C66" s="127">
        <v>67.482597999999996</v>
      </c>
      <c r="D66" s="128">
        <v>87.442247999999992</v>
      </c>
      <c r="E66" s="123">
        <v>93.144983999999994</v>
      </c>
      <c r="F66" s="127">
        <v>121.18351000000001</v>
      </c>
      <c r="G66" s="128">
        <v>149.222036</v>
      </c>
      <c r="H66" s="123">
        <v>57.111371764705886</v>
      </c>
      <c r="I66" s="127">
        <v>87.679788000000002</v>
      </c>
      <c r="J66" s="128">
        <v>118.24820423529412</v>
      </c>
      <c r="K66" s="123">
        <v>105.16545694117647</v>
      </c>
      <c r="L66" s="127">
        <v>149.06832494117646</v>
      </c>
      <c r="M66" s="128">
        <v>192.97119294117644</v>
      </c>
      <c r="O66" s="151" t="s">
        <v>170</v>
      </c>
      <c r="P66" s="166">
        <v>2220</v>
      </c>
      <c r="Q66" s="167">
        <v>2590</v>
      </c>
      <c r="R66" s="168">
        <v>2960</v>
      </c>
    </row>
    <row r="67" spans="1:18" ht="15" thickBot="1" x14ac:dyDescent="0.35">
      <c r="A67" s="41">
        <v>2022</v>
      </c>
      <c r="B67" s="123">
        <v>45.622036000000001</v>
      </c>
      <c r="C67" s="127">
        <v>64.631230000000002</v>
      </c>
      <c r="D67" s="128">
        <v>83.64042400000001</v>
      </c>
      <c r="E67" s="123">
        <v>89.343159999999997</v>
      </c>
      <c r="F67" s="127">
        <v>116.19361599999999</v>
      </c>
      <c r="G67" s="128">
        <v>143.044072</v>
      </c>
      <c r="H67" s="123">
        <v>56.664098352941181</v>
      </c>
      <c r="I67" s="127">
        <v>86.966946000000021</v>
      </c>
      <c r="J67" s="128">
        <v>117.26979364705883</v>
      </c>
      <c r="K67" s="123">
        <v>103.62795458823528</v>
      </c>
      <c r="L67" s="127">
        <v>146.72015258823529</v>
      </c>
      <c r="M67" s="128">
        <v>189.81235058823526</v>
      </c>
      <c r="O67" s="162" t="s">
        <v>171</v>
      </c>
      <c r="P67" s="169">
        <v>4588</v>
      </c>
      <c r="Q67" s="170">
        <v>5772</v>
      </c>
      <c r="R67" s="171">
        <v>6956</v>
      </c>
    </row>
    <row r="68" spans="1:18" x14ac:dyDescent="0.3">
      <c r="A68" s="41">
        <v>2023</v>
      </c>
      <c r="B68" s="123">
        <v>43.958737999999997</v>
      </c>
      <c r="C68" s="127">
        <v>62.373896999999999</v>
      </c>
      <c r="D68" s="128">
        <v>80.789056000000002</v>
      </c>
      <c r="E68" s="123">
        <v>86.016563999999988</v>
      </c>
      <c r="F68" s="127">
        <v>111.91656399999999</v>
      </c>
      <c r="G68" s="128">
        <v>137.816564</v>
      </c>
      <c r="H68" s="123">
        <v>56.216824941176476</v>
      </c>
      <c r="I68" s="127">
        <v>86.254104000000012</v>
      </c>
      <c r="J68" s="128">
        <v>116.29138305882354</v>
      </c>
      <c r="K68" s="123">
        <v>102.09045223529411</v>
      </c>
      <c r="L68" s="127">
        <v>144.3719802352941</v>
      </c>
      <c r="M68" s="128">
        <v>186.65350823529405</v>
      </c>
    </row>
    <row r="69" spans="1:18" x14ac:dyDescent="0.3">
      <c r="A69" s="41">
        <v>2024</v>
      </c>
      <c r="B69" s="123">
        <v>42.295439999999999</v>
      </c>
      <c r="C69" s="127">
        <v>60.116564000000004</v>
      </c>
      <c r="D69" s="128">
        <v>77.937688000000009</v>
      </c>
      <c r="E69" s="123">
        <v>82.689967999999993</v>
      </c>
      <c r="F69" s="127">
        <v>107.639512</v>
      </c>
      <c r="G69" s="128">
        <v>132.589056</v>
      </c>
      <c r="H69" s="123">
        <v>55.769551529411771</v>
      </c>
      <c r="I69" s="127">
        <v>85.541262000000003</v>
      </c>
      <c r="J69" s="128">
        <v>115.31297247058825</v>
      </c>
      <c r="K69" s="123">
        <v>100.55294988235293</v>
      </c>
      <c r="L69" s="127">
        <v>142.02380788235291</v>
      </c>
      <c r="M69" s="128">
        <v>183.4946658823529</v>
      </c>
    </row>
    <row r="70" spans="1:18" x14ac:dyDescent="0.3">
      <c r="A70" s="41">
        <v>2025</v>
      </c>
      <c r="B70" s="123">
        <v>40.869755999999995</v>
      </c>
      <c r="C70" s="127">
        <v>57.978000999999992</v>
      </c>
      <c r="D70" s="128">
        <v>75.086246000000003</v>
      </c>
      <c r="E70" s="123">
        <v>80.076139999999995</v>
      </c>
      <c r="F70" s="127">
        <v>104.075228</v>
      </c>
      <c r="G70" s="128">
        <v>128.07431599999998</v>
      </c>
      <c r="H70" s="123">
        <v>55.322278117647073</v>
      </c>
      <c r="I70" s="127">
        <v>84.828420000000008</v>
      </c>
      <c r="J70" s="128">
        <v>114.33456188235296</v>
      </c>
      <c r="K70" s="123">
        <v>99.015447529411745</v>
      </c>
      <c r="L70" s="127">
        <v>139.67563552941172</v>
      </c>
      <c r="M70" s="128">
        <v>180.33582352941173</v>
      </c>
    </row>
    <row r="71" spans="1:18" x14ac:dyDescent="0.3">
      <c r="A71" s="41">
        <v>2026</v>
      </c>
      <c r="B71" s="123">
        <v>39.444071999999998</v>
      </c>
      <c r="C71" s="127">
        <v>55.839437999999994</v>
      </c>
      <c r="D71" s="128">
        <v>72.234803999999997</v>
      </c>
      <c r="E71" s="123">
        <v>77.462311999999997</v>
      </c>
      <c r="F71" s="127">
        <v>100.51094400000001</v>
      </c>
      <c r="G71" s="128">
        <v>123.55957599999999</v>
      </c>
      <c r="H71" s="123">
        <v>54.875004705882368</v>
      </c>
      <c r="I71" s="127">
        <v>84.115578000000028</v>
      </c>
      <c r="J71" s="128">
        <v>113.35615129411767</v>
      </c>
      <c r="K71" s="123">
        <v>97.47794517647057</v>
      </c>
      <c r="L71" s="127">
        <v>137.32746317647056</v>
      </c>
      <c r="M71" s="128">
        <v>177.17698117647052</v>
      </c>
    </row>
    <row r="72" spans="1:18" x14ac:dyDescent="0.3">
      <c r="A72" s="41">
        <v>2027</v>
      </c>
      <c r="B72" s="123">
        <v>38.256001999999995</v>
      </c>
      <c r="C72" s="127">
        <v>54.176139999999997</v>
      </c>
      <c r="D72" s="128">
        <v>70.096277999999998</v>
      </c>
      <c r="E72" s="123">
        <v>75.086171999999991</v>
      </c>
      <c r="F72" s="127">
        <v>97.659575999999987</v>
      </c>
      <c r="G72" s="128">
        <v>120.23297999999998</v>
      </c>
      <c r="H72" s="123">
        <v>54.427731294117663</v>
      </c>
      <c r="I72" s="127">
        <v>83.402736000000019</v>
      </c>
      <c r="J72" s="128">
        <v>112.37774070588237</v>
      </c>
      <c r="K72" s="123">
        <v>95.940442823529395</v>
      </c>
      <c r="L72" s="127">
        <v>134.97929082352937</v>
      </c>
      <c r="M72" s="128">
        <v>174.01813882352937</v>
      </c>
    </row>
    <row r="73" spans="1:18" x14ac:dyDescent="0.3">
      <c r="A73" s="41">
        <v>2028</v>
      </c>
      <c r="B73" s="123">
        <v>37.067931999999999</v>
      </c>
      <c r="C73" s="127">
        <v>52.512841999999999</v>
      </c>
      <c r="D73" s="128">
        <v>67.957751999999999</v>
      </c>
      <c r="E73" s="123">
        <v>72.710031999999998</v>
      </c>
      <c r="F73" s="127">
        <v>94.808207999999979</v>
      </c>
      <c r="G73" s="128">
        <v>116.90638399999999</v>
      </c>
      <c r="H73" s="123">
        <v>53.980457882352958</v>
      </c>
      <c r="I73" s="127">
        <v>82.689894000000024</v>
      </c>
      <c r="J73" s="128">
        <v>111.39933011764708</v>
      </c>
      <c r="K73" s="123">
        <v>94.40294047058822</v>
      </c>
      <c r="L73" s="127">
        <v>132.63111847058818</v>
      </c>
      <c r="M73" s="128">
        <v>170.85929647058816</v>
      </c>
    </row>
    <row r="74" spans="1:18" x14ac:dyDescent="0.3">
      <c r="A74" s="41">
        <v>2029</v>
      </c>
      <c r="B74" s="123">
        <v>35.879862000000003</v>
      </c>
      <c r="C74" s="127">
        <v>51.205964999999999</v>
      </c>
      <c r="D74" s="128">
        <v>66.532067999999995</v>
      </c>
      <c r="E74" s="123">
        <v>71.046733999999987</v>
      </c>
      <c r="F74" s="127">
        <v>92.550874999999991</v>
      </c>
      <c r="G74" s="128">
        <v>114.05501599999999</v>
      </c>
      <c r="H74" s="123">
        <v>53.53318447058826</v>
      </c>
      <c r="I74" s="127">
        <v>81.977052000000029</v>
      </c>
      <c r="J74" s="128">
        <v>110.42091952941179</v>
      </c>
      <c r="K74" s="123">
        <v>92.865438117647031</v>
      </c>
      <c r="L74" s="127">
        <v>130.28294611764701</v>
      </c>
      <c r="M74" s="128">
        <v>167.70045411764698</v>
      </c>
    </row>
    <row r="75" spans="1:18" x14ac:dyDescent="0.3">
      <c r="A75" s="41">
        <v>2030</v>
      </c>
      <c r="B75" s="123">
        <v>34.691792</v>
      </c>
      <c r="C75" s="127">
        <v>49.899087999999999</v>
      </c>
      <c r="D75" s="128">
        <v>65.106384000000006</v>
      </c>
      <c r="E75" s="123">
        <v>69.383435999999989</v>
      </c>
      <c r="F75" s="127">
        <v>90.293542000000002</v>
      </c>
      <c r="G75" s="128">
        <v>111.203648</v>
      </c>
      <c r="H75" s="123">
        <v>53.085911058823555</v>
      </c>
      <c r="I75" s="127">
        <v>81.26421000000002</v>
      </c>
      <c r="J75" s="128">
        <v>109.4425089411765</v>
      </c>
      <c r="K75" s="123">
        <v>91.32793576470587</v>
      </c>
      <c r="L75" s="127">
        <v>127.93477376470584</v>
      </c>
      <c r="M75" s="128">
        <v>164.54161176470581</v>
      </c>
    </row>
    <row r="76" spans="1:18" x14ac:dyDescent="0.3">
      <c r="A76" s="41">
        <v>2031</v>
      </c>
      <c r="B76" s="123">
        <v>33.978950000000005</v>
      </c>
      <c r="C76" s="127">
        <v>48.71101800000001</v>
      </c>
      <c r="D76" s="128">
        <v>63.443086000000001</v>
      </c>
      <c r="E76" s="123">
        <v>67.720138000000006</v>
      </c>
      <c r="F76" s="127">
        <v>88.273822999999993</v>
      </c>
      <c r="G76" s="128">
        <v>108.82750799999999</v>
      </c>
      <c r="H76" s="123">
        <v>52.63863764705885</v>
      </c>
      <c r="I76" s="127">
        <v>80.551368000000025</v>
      </c>
      <c r="J76" s="128">
        <v>108.46409835294121</v>
      </c>
      <c r="K76" s="123">
        <v>89.790433411764681</v>
      </c>
      <c r="L76" s="127">
        <v>125.58660141176465</v>
      </c>
      <c r="M76" s="128">
        <v>161.38276941176463</v>
      </c>
    </row>
    <row r="77" spans="1:18" x14ac:dyDescent="0.3">
      <c r="A77" s="41">
        <v>2032</v>
      </c>
      <c r="B77" s="123">
        <v>33.266108000000003</v>
      </c>
      <c r="C77" s="127">
        <v>47.522948000000007</v>
      </c>
      <c r="D77" s="128">
        <v>61.779787999999996</v>
      </c>
      <c r="E77" s="123">
        <v>66.056840000000008</v>
      </c>
      <c r="F77" s="127">
        <v>86.254103999999984</v>
      </c>
      <c r="G77" s="128">
        <v>106.45136799999999</v>
      </c>
      <c r="H77" s="123">
        <v>52.191364235294145</v>
      </c>
      <c r="I77" s="127">
        <v>79.838526000000044</v>
      </c>
      <c r="J77" s="128">
        <v>107.48568776470592</v>
      </c>
      <c r="K77" s="123">
        <v>88.252931058823492</v>
      </c>
      <c r="L77" s="127">
        <v>123.23842905882346</v>
      </c>
      <c r="M77" s="128">
        <v>158.22392705882345</v>
      </c>
    </row>
    <row r="78" spans="1:18" x14ac:dyDescent="0.3">
      <c r="A78" s="41">
        <v>2033</v>
      </c>
      <c r="B78" s="123">
        <v>32.632470666666663</v>
      </c>
      <c r="C78" s="127">
        <v>46.572491999999997</v>
      </c>
      <c r="D78" s="128">
        <v>60.512513333333338</v>
      </c>
      <c r="E78" s="123">
        <v>64.472746666666666</v>
      </c>
      <c r="F78" s="127">
        <v>84.353192000000007</v>
      </c>
      <c r="G78" s="128">
        <v>104.23363733333333</v>
      </c>
      <c r="H78" s="123">
        <v>51.744090823529447</v>
      </c>
      <c r="I78" s="127">
        <v>79.125684000000035</v>
      </c>
      <c r="J78" s="128">
        <v>106.50727717647062</v>
      </c>
      <c r="K78" s="123">
        <v>86.715428705882317</v>
      </c>
      <c r="L78" s="127">
        <v>120.89025670588229</v>
      </c>
      <c r="M78" s="128">
        <v>155.06508470588224</v>
      </c>
    </row>
    <row r="79" spans="1:18" x14ac:dyDescent="0.3">
      <c r="A79" s="41">
        <v>2034</v>
      </c>
      <c r="B79" s="123">
        <v>31.998833333333327</v>
      </c>
      <c r="C79" s="127">
        <v>45.622036000000001</v>
      </c>
      <c r="D79" s="128">
        <v>59.245238666666673</v>
      </c>
      <c r="E79" s="123">
        <v>62.888653333333323</v>
      </c>
      <c r="F79" s="127">
        <v>82.452280000000002</v>
      </c>
      <c r="G79" s="128">
        <v>102.01590666666668</v>
      </c>
      <c r="H79" s="123">
        <v>51.296817411764742</v>
      </c>
      <c r="I79" s="127">
        <v>78.41284200000004</v>
      </c>
      <c r="J79" s="128">
        <v>105.52886658823533</v>
      </c>
      <c r="K79" s="123">
        <v>85.177926352941142</v>
      </c>
      <c r="L79" s="127">
        <v>118.54208435294113</v>
      </c>
      <c r="M79" s="128">
        <v>151.90624235294109</v>
      </c>
    </row>
    <row r="80" spans="1:18" ht="15" thickBot="1" x14ac:dyDescent="0.35">
      <c r="A80" s="42">
        <v>2035</v>
      </c>
      <c r="B80" s="124">
        <v>31.365195999999997</v>
      </c>
      <c r="C80" s="129">
        <v>44.671580000000006</v>
      </c>
      <c r="D80" s="130">
        <v>57.977964</v>
      </c>
      <c r="E80" s="124">
        <v>61.304559999999995</v>
      </c>
      <c r="F80" s="129">
        <v>80.551367999999997</v>
      </c>
      <c r="G80" s="130">
        <v>99.798175999999998</v>
      </c>
      <c r="H80" s="124">
        <v>50.849543999999995</v>
      </c>
      <c r="I80" s="129">
        <v>77.7</v>
      </c>
      <c r="J80" s="130">
        <v>104.550456</v>
      </c>
      <c r="K80" s="124">
        <v>83.64042400000001</v>
      </c>
      <c r="L80" s="129">
        <v>116.193912</v>
      </c>
      <c r="M80" s="130">
        <v>148.7474</v>
      </c>
    </row>
    <row r="81" spans="1:29" ht="16.2" x14ac:dyDescent="0.3">
      <c r="A81" t="s">
        <v>176</v>
      </c>
    </row>
    <row r="82" spans="1:29" ht="16.2" x14ac:dyDescent="0.3">
      <c r="A82" t="s">
        <v>162</v>
      </c>
    </row>
    <row r="83" spans="1:29" ht="16.2" x14ac:dyDescent="0.3">
      <c r="A83" t="s">
        <v>163</v>
      </c>
    </row>
    <row r="84" spans="1:29" ht="16.2" x14ac:dyDescent="0.3">
      <c r="A84" t="s">
        <v>164</v>
      </c>
    </row>
    <row r="85" spans="1:29" ht="16.2" x14ac:dyDescent="0.3">
      <c r="A85" t="s">
        <v>165</v>
      </c>
    </row>
    <row r="86" spans="1:29" ht="16.2" x14ac:dyDescent="0.3">
      <c r="A86" t="s">
        <v>166</v>
      </c>
    </row>
    <row r="87" spans="1:29" ht="16.2" x14ac:dyDescent="0.3">
      <c r="A87" t="s">
        <v>167</v>
      </c>
    </row>
    <row r="88" spans="1:29" ht="16.2" x14ac:dyDescent="0.3">
      <c r="A88" t="s">
        <v>168</v>
      </c>
    </row>
    <row r="89" spans="1:29" ht="16.2" x14ac:dyDescent="0.3">
      <c r="A89" t="s">
        <v>169</v>
      </c>
    </row>
    <row r="90" spans="1:29" ht="15" thickBot="1" x14ac:dyDescent="0.35"/>
    <row r="91" spans="1:29" ht="20.399999999999999" thickBot="1" x14ac:dyDescent="0.35">
      <c r="A91" s="289" t="s">
        <v>0</v>
      </c>
      <c r="B91" s="338" t="s">
        <v>182</v>
      </c>
      <c r="C91" s="339"/>
      <c r="D91" s="339"/>
      <c r="E91" s="339"/>
      <c r="F91" s="339"/>
      <c r="G91" s="339"/>
      <c r="H91" s="339"/>
      <c r="I91" s="339"/>
      <c r="J91" s="339"/>
      <c r="K91" s="339"/>
      <c r="L91" s="339"/>
      <c r="M91" s="339"/>
      <c r="N91" s="339"/>
      <c r="O91" s="339"/>
      <c r="P91" s="339"/>
      <c r="Q91" s="339"/>
      <c r="R91" s="339"/>
      <c r="S91" s="340"/>
      <c r="U91" s="338" t="s">
        <v>189</v>
      </c>
      <c r="V91" s="339"/>
      <c r="W91" s="339"/>
      <c r="X91" s="339"/>
      <c r="Y91" s="339"/>
      <c r="Z91" s="339"/>
      <c r="AA91" s="339"/>
      <c r="AB91" s="339"/>
      <c r="AC91" s="340"/>
    </row>
    <row r="92" spans="1:29" ht="18.600000000000001" thickBot="1" x14ac:dyDescent="0.4">
      <c r="A92" s="344"/>
      <c r="B92" s="380" t="s">
        <v>131</v>
      </c>
      <c r="C92" s="381"/>
      <c r="D92" s="381"/>
      <c r="E92" s="381"/>
      <c r="F92" s="381"/>
      <c r="G92" s="381"/>
      <c r="H92" s="381"/>
      <c r="I92" s="381"/>
      <c r="J92" s="381"/>
      <c r="K92" s="381"/>
      <c r="L92" s="381"/>
      <c r="M92" s="381"/>
      <c r="N92" s="381"/>
      <c r="O92" s="381"/>
      <c r="P92" s="381"/>
      <c r="Q92" s="381"/>
      <c r="R92" s="381"/>
      <c r="S92" s="382"/>
      <c r="U92" s="380" t="s">
        <v>131</v>
      </c>
      <c r="V92" s="381"/>
      <c r="W92" s="381"/>
      <c r="X92" s="381"/>
      <c r="Y92" s="381"/>
      <c r="Z92" s="381"/>
      <c r="AA92" s="381"/>
      <c r="AB92" s="381"/>
      <c r="AC92" s="382"/>
    </row>
    <row r="93" spans="1:29" ht="18.600000000000001" customHeight="1" thickBot="1" x14ac:dyDescent="0.35">
      <c r="A93" s="344"/>
      <c r="B93" s="368" t="s">
        <v>126</v>
      </c>
      <c r="C93" s="369"/>
      <c r="D93" s="370"/>
      <c r="E93" s="368" t="s">
        <v>193</v>
      </c>
      <c r="F93" s="369"/>
      <c r="G93" s="370"/>
      <c r="H93" s="301" t="s">
        <v>194</v>
      </c>
      <c r="I93" s="302"/>
      <c r="J93" s="303"/>
      <c r="K93" s="301" t="s">
        <v>195</v>
      </c>
      <c r="L93" s="302"/>
      <c r="M93" s="303"/>
      <c r="N93" s="375" t="s">
        <v>127</v>
      </c>
      <c r="O93" s="376"/>
      <c r="P93" s="377"/>
      <c r="Q93" s="316" t="s">
        <v>128</v>
      </c>
      <c r="R93" s="317"/>
      <c r="S93" s="318"/>
      <c r="U93" s="383" t="s">
        <v>185</v>
      </c>
      <c r="V93" s="384"/>
      <c r="W93" s="385"/>
      <c r="X93" s="383" t="s">
        <v>186</v>
      </c>
      <c r="Y93" s="384"/>
      <c r="Z93" s="385"/>
      <c r="AA93" s="383" t="s">
        <v>187</v>
      </c>
      <c r="AB93" s="384"/>
      <c r="AC93" s="385"/>
    </row>
    <row r="94" spans="1:29" ht="16.8" thickBot="1" x14ac:dyDescent="0.35">
      <c r="A94" s="290"/>
      <c r="B94" s="134" t="s">
        <v>133</v>
      </c>
      <c r="C94" s="135" t="s">
        <v>19</v>
      </c>
      <c r="D94" s="136" t="s">
        <v>134</v>
      </c>
      <c r="E94" s="134" t="s">
        <v>18</v>
      </c>
      <c r="F94" s="135" t="s">
        <v>19</v>
      </c>
      <c r="G94" s="136" t="s">
        <v>20</v>
      </c>
      <c r="H94" s="144" t="s">
        <v>18</v>
      </c>
      <c r="I94" s="145" t="s">
        <v>19</v>
      </c>
      <c r="J94" s="146" t="s">
        <v>20</v>
      </c>
      <c r="K94" s="144" t="s">
        <v>18</v>
      </c>
      <c r="L94" s="145" t="s">
        <v>19</v>
      </c>
      <c r="M94" s="146" t="s">
        <v>20</v>
      </c>
      <c r="N94" s="140" t="s">
        <v>196</v>
      </c>
      <c r="O94" s="141" t="s">
        <v>19</v>
      </c>
      <c r="P94" s="142" t="s">
        <v>197</v>
      </c>
      <c r="Q94" s="137" t="s">
        <v>198</v>
      </c>
      <c r="R94" s="138" t="s">
        <v>19</v>
      </c>
      <c r="S94" s="139" t="s">
        <v>199</v>
      </c>
      <c r="U94" s="173" t="s">
        <v>18</v>
      </c>
      <c r="V94" s="174" t="s">
        <v>19</v>
      </c>
      <c r="W94" s="175" t="s">
        <v>20</v>
      </c>
      <c r="X94" s="173" t="s">
        <v>18</v>
      </c>
      <c r="Y94" s="174" t="s">
        <v>19</v>
      </c>
      <c r="Z94" s="175" t="s">
        <v>20</v>
      </c>
      <c r="AA94" s="173" t="s">
        <v>18</v>
      </c>
      <c r="AB94" s="174" t="s">
        <v>19</v>
      </c>
      <c r="AC94" s="175" t="s">
        <v>20</v>
      </c>
    </row>
    <row r="95" spans="1:29" x14ac:dyDescent="0.3">
      <c r="A95" s="41">
        <v>2021</v>
      </c>
      <c r="B95" s="122">
        <v>41.928800000000003</v>
      </c>
      <c r="C95" s="125">
        <v>96.289900000000003</v>
      </c>
      <c r="D95" s="126">
        <v>150.65100000000001</v>
      </c>
      <c r="E95" s="122">
        <v>71.668999999999997</v>
      </c>
      <c r="F95" s="125">
        <v>103.84700000000001</v>
      </c>
      <c r="G95" s="126">
        <v>136.02500000000001</v>
      </c>
      <c r="H95" s="122">
        <v>113.598</v>
      </c>
      <c r="I95" s="125">
        <v>191.84900000000002</v>
      </c>
      <c r="J95" s="126">
        <v>270.10000000000002</v>
      </c>
      <c r="K95" s="122">
        <v>90.195700000000002</v>
      </c>
      <c r="L95" s="125">
        <v>143.82585</v>
      </c>
      <c r="M95" s="126">
        <v>197.45599999999999</v>
      </c>
      <c r="N95" s="122">
        <v>54.117400000000004</v>
      </c>
      <c r="O95" s="125">
        <v>83.613699999999994</v>
      </c>
      <c r="P95" s="126">
        <v>113.11</v>
      </c>
      <c r="Q95" s="122">
        <v>98.971500000000006</v>
      </c>
      <c r="R95" s="125">
        <v>132.61224999999999</v>
      </c>
      <c r="S95" s="126">
        <v>166.25299999999999</v>
      </c>
      <c r="U95" s="122">
        <v>685</v>
      </c>
      <c r="V95" s="125">
        <v>1164.5</v>
      </c>
      <c r="W95" s="126">
        <v>1644.0000000000002</v>
      </c>
      <c r="X95" s="122">
        <v>822.00000000000011</v>
      </c>
      <c r="Y95" s="125">
        <v>1096</v>
      </c>
      <c r="Z95" s="126">
        <v>1370</v>
      </c>
      <c r="AA95" s="122">
        <v>685</v>
      </c>
      <c r="AB95" s="125">
        <v>822.00000000000011</v>
      </c>
      <c r="AC95" s="126">
        <v>959.00000000000011</v>
      </c>
    </row>
    <row r="96" spans="1:29" x14ac:dyDescent="0.3">
      <c r="A96" s="41">
        <v>2022</v>
      </c>
      <c r="B96" s="123">
        <v>40.953699999999998</v>
      </c>
      <c r="C96" s="127">
        <v>93.364850000000004</v>
      </c>
      <c r="D96" s="128">
        <v>145.77600000000001</v>
      </c>
      <c r="E96" s="123"/>
      <c r="F96" s="127"/>
      <c r="G96" s="128"/>
      <c r="H96" s="123"/>
      <c r="I96" s="127"/>
      <c r="J96" s="128"/>
      <c r="K96" s="123"/>
      <c r="L96" s="127"/>
      <c r="M96" s="128"/>
      <c r="N96" s="123">
        <v>53.706836842105268</v>
      </c>
      <c r="O96" s="127">
        <v>82.843902631578956</v>
      </c>
      <c r="P96" s="128">
        <v>111.98096842105264</v>
      </c>
      <c r="Q96" s="123">
        <v>97.996410526315799</v>
      </c>
      <c r="R96" s="127">
        <v>131.22660000000002</v>
      </c>
      <c r="S96" s="128">
        <v>164.45678947368421</v>
      </c>
      <c r="U96" s="123"/>
      <c r="V96" s="127"/>
      <c r="W96" s="128"/>
      <c r="X96" s="123"/>
      <c r="Y96" s="127"/>
      <c r="Z96" s="128"/>
      <c r="AA96" s="123"/>
      <c r="AB96" s="127"/>
      <c r="AC96" s="128"/>
    </row>
    <row r="97" spans="1:29" x14ac:dyDescent="0.3">
      <c r="A97" s="41">
        <v>2023</v>
      </c>
      <c r="B97" s="123">
        <v>39.003550000000004</v>
      </c>
      <c r="C97" s="127">
        <v>89.708275000000015</v>
      </c>
      <c r="D97" s="128">
        <v>140.41300000000001</v>
      </c>
      <c r="E97" s="123"/>
      <c r="F97" s="127"/>
      <c r="G97" s="128"/>
      <c r="H97" s="123"/>
      <c r="I97" s="127"/>
      <c r="J97" s="128"/>
      <c r="K97" s="123"/>
      <c r="L97" s="127"/>
      <c r="M97" s="128"/>
      <c r="N97" s="123">
        <v>53.296273684210533</v>
      </c>
      <c r="O97" s="127">
        <v>82.074105263157904</v>
      </c>
      <c r="P97" s="128">
        <v>110.85193684210527</v>
      </c>
      <c r="Q97" s="123">
        <v>97.021321052631592</v>
      </c>
      <c r="R97" s="127">
        <v>129.84095000000002</v>
      </c>
      <c r="S97" s="128">
        <v>162.66057894736844</v>
      </c>
      <c r="U97" s="123"/>
      <c r="V97" s="127"/>
      <c r="W97" s="128"/>
      <c r="X97" s="123"/>
      <c r="Y97" s="127"/>
      <c r="Z97" s="128"/>
      <c r="AA97" s="123"/>
      <c r="AB97" s="127"/>
      <c r="AC97" s="128"/>
    </row>
    <row r="98" spans="1:29" x14ac:dyDescent="0.3">
      <c r="A98" s="41">
        <v>2024</v>
      </c>
      <c r="B98" s="123">
        <v>37.053400000000003</v>
      </c>
      <c r="C98" s="127">
        <v>86.051700000000011</v>
      </c>
      <c r="D98" s="128">
        <v>135.05000000000001</v>
      </c>
      <c r="E98" s="123"/>
      <c r="F98" s="127"/>
      <c r="G98" s="128"/>
      <c r="H98" s="123"/>
      <c r="I98" s="127"/>
      <c r="J98" s="128"/>
      <c r="K98" s="123"/>
      <c r="L98" s="127"/>
      <c r="M98" s="128"/>
      <c r="N98" s="123">
        <v>52.885710526315798</v>
      </c>
      <c r="O98" s="127">
        <v>81.304307894736851</v>
      </c>
      <c r="P98" s="128">
        <v>109.72290526315791</v>
      </c>
      <c r="Q98" s="123">
        <v>96.046231578947385</v>
      </c>
      <c r="R98" s="127">
        <v>128.45530000000002</v>
      </c>
      <c r="S98" s="128">
        <v>160.86436842105266</v>
      </c>
      <c r="U98" s="123"/>
      <c r="V98" s="127"/>
      <c r="W98" s="128"/>
      <c r="X98" s="123"/>
      <c r="Y98" s="127"/>
      <c r="Z98" s="128"/>
      <c r="AA98" s="123"/>
      <c r="AB98" s="127"/>
      <c r="AC98" s="128"/>
    </row>
    <row r="99" spans="1:29" x14ac:dyDescent="0.3">
      <c r="A99" s="41">
        <v>2025</v>
      </c>
      <c r="B99" s="123">
        <v>35.59075</v>
      </c>
      <c r="C99" s="127">
        <v>83.12637500000001</v>
      </c>
      <c r="D99" s="128">
        <v>130.66200000000001</v>
      </c>
      <c r="E99" s="123"/>
      <c r="F99" s="127"/>
      <c r="G99" s="128"/>
      <c r="H99" s="123"/>
      <c r="I99" s="127"/>
      <c r="J99" s="128"/>
      <c r="K99" s="123"/>
      <c r="L99" s="127"/>
      <c r="M99" s="128"/>
      <c r="N99" s="123">
        <v>52.475147368421062</v>
      </c>
      <c r="O99" s="127">
        <v>80.534510526315813</v>
      </c>
      <c r="P99" s="128">
        <v>108.59387368421055</v>
      </c>
      <c r="Q99" s="123">
        <v>95.071142105263178</v>
      </c>
      <c r="R99" s="127">
        <v>127.06965000000002</v>
      </c>
      <c r="S99" s="128">
        <v>159.06815789473688</v>
      </c>
      <c r="U99" s="123"/>
      <c r="V99" s="127"/>
      <c r="W99" s="128"/>
      <c r="X99" s="123"/>
      <c r="Y99" s="127"/>
      <c r="Z99" s="128"/>
      <c r="AA99" s="123"/>
      <c r="AB99" s="127"/>
      <c r="AC99" s="128"/>
    </row>
    <row r="100" spans="1:29" x14ac:dyDescent="0.3">
      <c r="A100" s="41">
        <v>2026</v>
      </c>
      <c r="B100" s="123">
        <v>34.128100000000003</v>
      </c>
      <c r="C100" s="127">
        <v>80.201050000000009</v>
      </c>
      <c r="D100" s="128">
        <v>126.274</v>
      </c>
      <c r="E100" s="123"/>
      <c r="F100" s="127"/>
      <c r="G100" s="128"/>
      <c r="H100" s="123"/>
      <c r="I100" s="127"/>
      <c r="J100" s="128"/>
      <c r="K100" s="123"/>
      <c r="L100" s="127"/>
      <c r="M100" s="128"/>
      <c r="N100" s="123">
        <v>52.064584210526327</v>
      </c>
      <c r="O100" s="127">
        <v>79.764713157894761</v>
      </c>
      <c r="P100" s="128">
        <v>107.46484210526319</v>
      </c>
      <c r="Q100" s="123">
        <v>94.096052631578971</v>
      </c>
      <c r="R100" s="127">
        <v>125.68400000000004</v>
      </c>
      <c r="S100" s="128">
        <v>157.27194736842111</v>
      </c>
      <c r="U100" s="123"/>
      <c r="V100" s="127"/>
      <c r="W100" s="128"/>
      <c r="X100" s="123"/>
      <c r="Y100" s="127"/>
      <c r="Z100" s="128"/>
      <c r="AA100" s="123"/>
      <c r="AB100" s="127"/>
      <c r="AC100" s="128"/>
    </row>
    <row r="101" spans="1:29" x14ac:dyDescent="0.3">
      <c r="A101" s="41">
        <v>2027</v>
      </c>
      <c r="B101" s="123">
        <v>33.640550000000005</v>
      </c>
      <c r="C101" s="127">
        <v>78.250775000000004</v>
      </c>
      <c r="D101" s="128">
        <v>122.86099999999999</v>
      </c>
      <c r="E101" s="123"/>
      <c r="F101" s="127"/>
      <c r="G101" s="128"/>
      <c r="H101" s="123"/>
      <c r="I101" s="127"/>
      <c r="J101" s="128"/>
      <c r="K101" s="123"/>
      <c r="L101" s="127"/>
      <c r="M101" s="128"/>
      <c r="N101" s="123">
        <v>51.654021052631592</v>
      </c>
      <c r="O101" s="127">
        <v>78.994915789473708</v>
      </c>
      <c r="P101" s="128">
        <v>106.33581052631583</v>
      </c>
      <c r="Q101" s="123">
        <v>93.120963157894764</v>
      </c>
      <c r="R101" s="127">
        <v>124.29835000000006</v>
      </c>
      <c r="S101" s="128">
        <v>155.47573684210533</v>
      </c>
      <c r="U101" s="123"/>
      <c r="V101" s="127"/>
      <c r="W101" s="128"/>
      <c r="X101" s="123"/>
      <c r="Y101" s="127"/>
      <c r="Z101" s="128"/>
      <c r="AA101" s="123"/>
      <c r="AB101" s="127"/>
      <c r="AC101" s="128"/>
    </row>
    <row r="102" spans="1:29" x14ac:dyDescent="0.3">
      <c r="A102" s="41">
        <v>2028</v>
      </c>
      <c r="B102" s="123">
        <v>33.152999999999999</v>
      </c>
      <c r="C102" s="127">
        <v>76.3005</v>
      </c>
      <c r="D102" s="128">
        <v>119.44799999999999</v>
      </c>
      <c r="E102" s="123"/>
      <c r="F102" s="127"/>
      <c r="G102" s="128"/>
      <c r="H102" s="123"/>
      <c r="I102" s="127"/>
      <c r="J102" s="128"/>
      <c r="K102" s="123"/>
      <c r="L102" s="127"/>
      <c r="M102" s="128"/>
      <c r="N102" s="123">
        <v>51.243457894736856</v>
      </c>
      <c r="O102" s="127">
        <v>78.225118421052656</v>
      </c>
      <c r="P102" s="128">
        <v>105.20677894736846</v>
      </c>
      <c r="Q102" s="123">
        <v>92.145873684210557</v>
      </c>
      <c r="R102" s="127">
        <v>122.91270000000006</v>
      </c>
      <c r="S102" s="128">
        <v>153.67952631578956</v>
      </c>
      <c r="U102" s="123"/>
      <c r="V102" s="127"/>
      <c r="W102" s="128"/>
      <c r="X102" s="123"/>
      <c r="Y102" s="127"/>
      <c r="Z102" s="128"/>
      <c r="AA102" s="123"/>
      <c r="AB102" s="127"/>
      <c r="AC102" s="128"/>
    </row>
    <row r="103" spans="1:29" x14ac:dyDescent="0.3">
      <c r="A103" s="41">
        <v>2029</v>
      </c>
      <c r="B103" s="123">
        <v>31.934149999999999</v>
      </c>
      <c r="C103" s="127">
        <v>74.106574999999992</v>
      </c>
      <c r="D103" s="128">
        <v>116.279</v>
      </c>
      <c r="E103" s="123"/>
      <c r="F103" s="127"/>
      <c r="G103" s="128"/>
      <c r="H103" s="123"/>
      <c r="I103" s="127"/>
      <c r="J103" s="128"/>
      <c r="K103" s="123"/>
      <c r="L103" s="127"/>
      <c r="M103" s="128"/>
      <c r="N103" s="123">
        <v>50.832894736842121</v>
      </c>
      <c r="O103" s="127">
        <v>77.455321052631604</v>
      </c>
      <c r="P103" s="128">
        <v>104.0777473684211</v>
      </c>
      <c r="Q103" s="123">
        <v>91.17078421052635</v>
      </c>
      <c r="R103" s="127">
        <v>121.52705000000006</v>
      </c>
      <c r="S103" s="128">
        <v>151.88331578947378</v>
      </c>
      <c r="U103" s="123"/>
      <c r="V103" s="127"/>
      <c r="W103" s="128"/>
      <c r="X103" s="123"/>
      <c r="Y103" s="127"/>
      <c r="Z103" s="128"/>
      <c r="AA103" s="123"/>
      <c r="AB103" s="127"/>
      <c r="AC103" s="128"/>
    </row>
    <row r="104" spans="1:29" x14ac:dyDescent="0.3">
      <c r="A104" s="41">
        <v>2030</v>
      </c>
      <c r="B104" s="123">
        <v>30.715299999999999</v>
      </c>
      <c r="C104" s="127">
        <v>71.912649999999999</v>
      </c>
      <c r="D104" s="128">
        <v>113.11</v>
      </c>
      <c r="E104" s="123">
        <v>49.241999999999997</v>
      </c>
      <c r="F104" s="127">
        <v>75.325500000000005</v>
      </c>
      <c r="G104" s="128">
        <v>101.40900000000001</v>
      </c>
      <c r="H104" s="123">
        <v>80.932400000000001</v>
      </c>
      <c r="I104" s="127">
        <v>144.55670000000001</v>
      </c>
      <c r="J104" s="128">
        <v>208.18100000000001</v>
      </c>
      <c r="K104" s="123">
        <v>63.380800000000001</v>
      </c>
      <c r="L104" s="127">
        <v>105.3094</v>
      </c>
      <c r="M104" s="128">
        <v>147.238</v>
      </c>
      <c r="N104" s="123">
        <v>50.422331578947386</v>
      </c>
      <c r="O104" s="127">
        <v>76.685523684210565</v>
      </c>
      <c r="P104" s="128">
        <v>102.94871578947374</v>
      </c>
      <c r="Q104" s="123">
        <v>90.195694736842142</v>
      </c>
      <c r="R104" s="127">
        <v>120.14140000000008</v>
      </c>
      <c r="S104" s="128">
        <v>150.08710526315801</v>
      </c>
      <c r="U104" s="123">
        <v>411.00000000000006</v>
      </c>
      <c r="V104" s="127">
        <v>863.1</v>
      </c>
      <c r="W104" s="128">
        <v>1315.2</v>
      </c>
      <c r="X104" s="123">
        <v>493.20000000000005</v>
      </c>
      <c r="Y104" s="127">
        <v>760.35</v>
      </c>
      <c r="Z104" s="128">
        <v>1027.5</v>
      </c>
      <c r="AA104" s="123">
        <v>411.00000000000006</v>
      </c>
      <c r="AB104" s="127">
        <v>568.55000000000007</v>
      </c>
      <c r="AC104" s="128">
        <v>726.1</v>
      </c>
    </row>
    <row r="105" spans="1:29" x14ac:dyDescent="0.3">
      <c r="A105" s="41">
        <v>2031</v>
      </c>
      <c r="B105" s="123">
        <v>29.984000000000002</v>
      </c>
      <c r="C105" s="127">
        <v>70.449999999999989</v>
      </c>
      <c r="D105" s="128">
        <v>110.916</v>
      </c>
      <c r="E105" s="123"/>
      <c r="F105" s="127"/>
      <c r="G105" s="128"/>
      <c r="H105" s="123"/>
      <c r="I105" s="127"/>
      <c r="J105" s="128"/>
      <c r="K105" s="123"/>
      <c r="L105" s="127"/>
      <c r="M105" s="128"/>
      <c r="N105" s="123">
        <v>50.011768421052651</v>
      </c>
      <c r="O105" s="127">
        <v>75.915726315789513</v>
      </c>
      <c r="P105" s="128">
        <v>101.81968421052638</v>
      </c>
      <c r="Q105" s="123">
        <v>89.220605263157935</v>
      </c>
      <c r="R105" s="127">
        <v>118.75575000000009</v>
      </c>
      <c r="S105" s="128">
        <v>148.29089473684223</v>
      </c>
      <c r="U105" s="123"/>
      <c r="V105" s="127"/>
      <c r="W105" s="128"/>
      <c r="X105" s="123"/>
      <c r="Y105" s="127"/>
      <c r="Z105" s="128"/>
      <c r="AA105" s="123"/>
      <c r="AB105" s="127"/>
      <c r="AC105" s="128"/>
    </row>
    <row r="106" spans="1:29" x14ac:dyDescent="0.3">
      <c r="A106" s="41">
        <v>2032</v>
      </c>
      <c r="B106" s="123">
        <v>29.252700000000001</v>
      </c>
      <c r="C106" s="127">
        <v>68.987349999999992</v>
      </c>
      <c r="D106" s="128">
        <v>108.72199999999999</v>
      </c>
      <c r="E106" s="123"/>
      <c r="F106" s="127"/>
      <c r="G106" s="128"/>
      <c r="H106" s="123"/>
      <c r="I106" s="127"/>
      <c r="J106" s="128"/>
      <c r="K106" s="123"/>
      <c r="L106" s="127"/>
      <c r="M106" s="128"/>
      <c r="N106" s="123">
        <v>49.601205263157915</v>
      </c>
      <c r="O106" s="127">
        <v>75.145928947368461</v>
      </c>
      <c r="P106" s="128">
        <v>100.69065263157901</v>
      </c>
      <c r="Q106" s="123">
        <v>88.245515789473728</v>
      </c>
      <c r="R106" s="127">
        <v>117.37010000000009</v>
      </c>
      <c r="S106" s="128">
        <v>146.49468421052646</v>
      </c>
      <c r="U106" s="123"/>
      <c r="V106" s="127"/>
      <c r="W106" s="128"/>
      <c r="X106" s="123"/>
      <c r="Y106" s="127"/>
      <c r="Z106" s="128"/>
      <c r="AA106" s="123"/>
      <c r="AB106" s="127"/>
      <c r="AC106" s="128"/>
    </row>
    <row r="107" spans="1:29" x14ac:dyDescent="0.3">
      <c r="A107" s="41">
        <v>2033</v>
      </c>
      <c r="B107" s="123">
        <v>28.765149999999998</v>
      </c>
      <c r="C107" s="127">
        <v>67.524824999999993</v>
      </c>
      <c r="D107" s="128">
        <v>106.28449999999999</v>
      </c>
      <c r="E107" s="123"/>
      <c r="F107" s="127"/>
      <c r="G107" s="128"/>
      <c r="H107" s="123"/>
      <c r="I107" s="127"/>
      <c r="J107" s="128"/>
      <c r="K107" s="123"/>
      <c r="L107" s="127"/>
      <c r="M107" s="128"/>
      <c r="N107" s="123">
        <v>49.19064210526318</v>
      </c>
      <c r="O107" s="127">
        <v>74.376131578947422</v>
      </c>
      <c r="P107" s="128">
        <v>99.561621052631651</v>
      </c>
      <c r="Q107" s="123">
        <v>87.270426315789521</v>
      </c>
      <c r="R107" s="127">
        <v>115.98445000000009</v>
      </c>
      <c r="S107" s="128">
        <v>144.69847368421068</v>
      </c>
      <c r="U107" s="123"/>
      <c r="V107" s="127"/>
      <c r="W107" s="128"/>
      <c r="X107" s="123"/>
      <c r="Y107" s="127"/>
      <c r="Z107" s="128"/>
      <c r="AA107" s="123"/>
      <c r="AB107" s="127"/>
      <c r="AC107" s="128"/>
    </row>
    <row r="108" spans="1:29" x14ac:dyDescent="0.3">
      <c r="A108" s="41">
        <v>2034</v>
      </c>
      <c r="B108" s="123">
        <v>28.2776</v>
      </c>
      <c r="C108" s="127">
        <v>66.062299999999993</v>
      </c>
      <c r="D108" s="128">
        <v>103.84699999999999</v>
      </c>
      <c r="E108" s="123"/>
      <c r="F108" s="127"/>
      <c r="G108" s="128"/>
      <c r="H108" s="123"/>
      <c r="I108" s="127"/>
      <c r="J108" s="128"/>
      <c r="K108" s="123"/>
      <c r="L108" s="127"/>
      <c r="M108" s="128"/>
      <c r="N108" s="123">
        <v>48.780078947368445</v>
      </c>
      <c r="O108" s="127">
        <v>73.60633421052637</v>
      </c>
      <c r="P108" s="128">
        <v>98.432589473684288</v>
      </c>
      <c r="Q108" s="123">
        <v>86.295336842105314</v>
      </c>
      <c r="R108" s="127">
        <v>114.59880000000011</v>
      </c>
      <c r="S108" s="128">
        <v>142.90226315789491</v>
      </c>
      <c r="U108" s="123"/>
      <c r="V108" s="127"/>
      <c r="W108" s="128"/>
      <c r="X108" s="123"/>
      <c r="Y108" s="127"/>
      <c r="Z108" s="128"/>
      <c r="AA108" s="123"/>
      <c r="AB108" s="127"/>
      <c r="AC108" s="128"/>
    </row>
    <row r="109" spans="1:29" x14ac:dyDescent="0.3">
      <c r="A109" s="41">
        <v>2035</v>
      </c>
      <c r="B109" s="123">
        <v>27.546250000000001</v>
      </c>
      <c r="C109" s="127">
        <v>64.599649999999997</v>
      </c>
      <c r="D109" s="128">
        <v>101.65305000000001</v>
      </c>
      <c r="E109" s="123"/>
      <c r="F109" s="127"/>
      <c r="G109" s="128"/>
      <c r="H109" s="123"/>
      <c r="I109" s="127"/>
      <c r="J109" s="128"/>
      <c r="K109" s="123"/>
      <c r="L109" s="127"/>
      <c r="M109" s="128"/>
      <c r="N109" s="123">
        <v>48.369515789473709</v>
      </c>
      <c r="O109" s="127">
        <v>72.836536842105318</v>
      </c>
      <c r="P109" s="128">
        <v>97.303557894736926</v>
      </c>
      <c r="Q109" s="123">
        <v>85.320247368421107</v>
      </c>
      <c r="R109" s="127">
        <v>113.21315000000013</v>
      </c>
      <c r="S109" s="128">
        <v>141.10605263157913</v>
      </c>
      <c r="U109" s="123"/>
      <c r="V109" s="127"/>
      <c r="W109" s="128"/>
      <c r="X109" s="123"/>
      <c r="Y109" s="127"/>
      <c r="Z109" s="128"/>
      <c r="AA109" s="123"/>
      <c r="AB109" s="127"/>
      <c r="AC109" s="128"/>
    </row>
    <row r="110" spans="1:29" x14ac:dyDescent="0.3">
      <c r="A110" s="41">
        <v>2036</v>
      </c>
      <c r="B110" s="123">
        <v>26.814900000000002</v>
      </c>
      <c r="C110" s="127">
        <v>63.137</v>
      </c>
      <c r="D110" s="128">
        <v>99.459100000000007</v>
      </c>
      <c r="E110" s="123"/>
      <c r="F110" s="127"/>
      <c r="G110" s="128"/>
      <c r="H110" s="123"/>
      <c r="I110" s="127"/>
      <c r="J110" s="128"/>
      <c r="K110" s="123"/>
      <c r="L110" s="127"/>
      <c r="M110" s="128"/>
      <c r="N110" s="123">
        <v>47.958952631578974</v>
      </c>
      <c r="O110" s="127">
        <v>72.066739473684265</v>
      </c>
      <c r="P110" s="128">
        <v>96.174526315789564</v>
      </c>
      <c r="Q110" s="123">
        <v>84.3451578947369</v>
      </c>
      <c r="R110" s="127">
        <v>111.82750000000013</v>
      </c>
      <c r="S110" s="128">
        <v>139.30984210526336</v>
      </c>
      <c r="U110" s="123"/>
      <c r="V110" s="127"/>
      <c r="W110" s="128"/>
      <c r="X110" s="123"/>
      <c r="Y110" s="127"/>
      <c r="Z110" s="128"/>
      <c r="AA110" s="123"/>
      <c r="AB110" s="127"/>
      <c r="AC110" s="128"/>
    </row>
    <row r="111" spans="1:29" x14ac:dyDescent="0.3">
      <c r="A111" s="41">
        <v>2037</v>
      </c>
      <c r="B111" s="123">
        <v>26.571150000000003</v>
      </c>
      <c r="C111" s="127">
        <v>62.283799999999999</v>
      </c>
      <c r="D111" s="128">
        <v>97.99645000000001</v>
      </c>
      <c r="E111" s="123"/>
      <c r="F111" s="127"/>
      <c r="G111" s="128"/>
      <c r="H111" s="123"/>
      <c r="I111" s="127"/>
      <c r="J111" s="128"/>
      <c r="K111" s="123"/>
      <c r="L111" s="127"/>
      <c r="M111" s="128"/>
      <c r="N111" s="123">
        <v>47.548389473684239</v>
      </c>
      <c r="O111" s="127">
        <v>71.296942105263213</v>
      </c>
      <c r="P111" s="128">
        <v>95.045494736842201</v>
      </c>
      <c r="Q111" s="123">
        <v>83.370068421052693</v>
      </c>
      <c r="R111" s="127">
        <v>110.44185000000013</v>
      </c>
      <c r="S111" s="128">
        <v>137.51363157894758</v>
      </c>
      <c r="U111" s="123"/>
      <c r="V111" s="127"/>
      <c r="W111" s="128"/>
      <c r="X111" s="123"/>
      <c r="Y111" s="127"/>
      <c r="Z111" s="128"/>
      <c r="AA111" s="123"/>
      <c r="AB111" s="127"/>
      <c r="AC111" s="128"/>
    </row>
    <row r="112" spans="1:29" x14ac:dyDescent="0.3">
      <c r="A112" s="41">
        <v>2038</v>
      </c>
      <c r="B112" s="123">
        <v>26.327400000000001</v>
      </c>
      <c r="C112" s="127">
        <v>61.430599999999998</v>
      </c>
      <c r="D112" s="128">
        <v>96.533799999999999</v>
      </c>
      <c r="E112" s="123"/>
      <c r="F112" s="127"/>
      <c r="G112" s="128"/>
      <c r="H112" s="123"/>
      <c r="I112" s="127"/>
      <c r="J112" s="128"/>
      <c r="K112" s="123"/>
      <c r="L112" s="127"/>
      <c r="M112" s="128"/>
      <c r="N112" s="123">
        <v>47.137826315789503</v>
      </c>
      <c r="O112" s="127">
        <v>70.527144736842175</v>
      </c>
      <c r="P112" s="128">
        <v>93.916463157894839</v>
      </c>
      <c r="Q112" s="123">
        <v>82.394978947368486</v>
      </c>
      <c r="R112" s="127">
        <v>109.05620000000015</v>
      </c>
      <c r="S112" s="128">
        <v>135.71742105263181</v>
      </c>
      <c r="U112" s="123"/>
      <c r="V112" s="127"/>
      <c r="W112" s="128"/>
      <c r="X112" s="123"/>
      <c r="Y112" s="127"/>
      <c r="Z112" s="128"/>
      <c r="AA112" s="123"/>
      <c r="AB112" s="127"/>
      <c r="AC112" s="128"/>
    </row>
    <row r="113" spans="1:29" x14ac:dyDescent="0.3">
      <c r="A113" s="41">
        <v>2039</v>
      </c>
      <c r="B113" s="123">
        <v>25.839849999999998</v>
      </c>
      <c r="C113" s="127">
        <v>60.699275</v>
      </c>
      <c r="D113" s="128">
        <v>95.558700000000002</v>
      </c>
      <c r="E113" s="123"/>
      <c r="F113" s="127"/>
      <c r="G113" s="128"/>
      <c r="H113" s="123"/>
      <c r="I113" s="127"/>
      <c r="J113" s="128"/>
      <c r="K113" s="123"/>
      <c r="L113" s="127"/>
      <c r="M113" s="128"/>
      <c r="N113" s="123">
        <v>46.727263157894768</v>
      </c>
      <c r="O113" s="127">
        <v>69.757347368421122</v>
      </c>
      <c r="P113" s="128">
        <v>92.787431578947476</v>
      </c>
      <c r="Q113" s="123">
        <v>81.419889473684279</v>
      </c>
      <c r="R113" s="127">
        <v>107.67055000000016</v>
      </c>
      <c r="S113" s="128">
        <v>133.92121052631603</v>
      </c>
      <c r="U113" s="123"/>
      <c r="V113" s="127"/>
      <c r="W113" s="128"/>
      <c r="X113" s="123"/>
      <c r="Y113" s="127"/>
      <c r="Z113" s="128"/>
      <c r="AA113" s="123"/>
      <c r="AB113" s="127"/>
      <c r="AC113" s="128"/>
    </row>
    <row r="114" spans="1:29" ht="15" thickBot="1" x14ac:dyDescent="0.35">
      <c r="A114" s="42">
        <v>2040</v>
      </c>
      <c r="B114" s="124">
        <v>25.3523</v>
      </c>
      <c r="C114" s="129">
        <v>59.967950000000002</v>
      </c>
      <c r="D114" s="130">
        <v>94.583600000000004</v>
      </c>
      <c r="E114" s="124">
        <v>35.103200000000001</v>
      </c>
      <c r="F114" s="129">
        <v>58.749099999999999</v>
      </c>
      <c r="G114" s="130">
        <v>82.394999999999996</v>
      </c>
      <c r="H114" s="124">
        <v>63.380800000000001</v>
      </c>
      <c r="I114" s="129">
        <v>114.08539999999999</v>
      </c>
      <c r="J114" s="130">
        <v>164.79</v>
      </c>
      <c r="K114" s="124">
        <v>46.804299999999998</v>
      </c>
      <c r="L114" s="129">
        <v>83.613650000000007</v>
      </c>
      <c r="M114" s="130">
        <v>120.423</v>
      </c>
      <c r="N114" s="124">
        <v>46.316699999999997</v>
      </c>
      <c r="O114" s="129">
        <v>68.987549999999999</v>
      </c>
      <c r="P114" s="130">
        <v>91.6584</v>
      </c>
      <c r="Q114" s="124">
        <v>80.444800000000001</v>
      </c>
      <c r="R114" s="129">
        <v>106.28489999999999</v>
      </c>
      <c r="S114" s="130">
        <v>132.125</v>
      </c>
      <c r="U114" s="124">
        <v>274</v>
      </c>
      <c r="V114" s="129">
        <v>630.20000000000005</v>
      </c>
      <c r="W114" s="130">
        <v>986.40000000000009</v>
      </c>
      <c r="X114" s="124">
        <v>246.60000000000002</v>
      </c>
      <c r="Y114" s="129">
        <v>534.30000000000007</v>
      </c>
      <c r="Z114" s="130">
        <v>822.00000000000011</v>
      </c>
      <c r="AA114" s="124">
        <v>205.50000000000003</v>
      </c>
      <c r="AB114" s="129">
        <v>390.45000000000005</v>
      </c>
      <c r="AC114" s="130">
        <v>575.40000000000009</v>
      </c>
    </row>
    <row r="115" spans="1:29" ht="16.8" thickBot="1" x14ac:dyDescent="0.35">
      <c r="A115" t="s">
        <v>188</v>
      </c>
    </row>
    <row r="116" spans="1:29" ht="18.600000000000001" thickBot="1" x14ac:dyDescent="0.4">
      <c r="A116" t="s">
        <v>162</v>
      </c>
      <c r="O116" s="378" t="s">
        <v>177</v>
      </c>
      <c r="P116" s="380" t="s">
        <v>179</v>
      </c>
      <c r="Q116" s="381"/>
      <c r="R116" s="382"/>
    </row>
    <row r="117" spans="1:29" ht="16.8" thickBot="1" x14ac:dyDescent="0.35">
      <c r="A117" t="s">
        <v>163</v>
      </c>
      <c r="O117" s="379"/>
      <c r="P117" s="78" t="s">
        <v>18</v>
      </c>
      <c r="Q117" s="79" t="s">
        <v>19</v>
      </c>
      <c r="R117" s="80" t="s">
        <v>20</v>
      </c>
    </row>
    <row r="118" spans="1:29" ht="16.8" x14ac:dyDescent="0.35">
      <c r="A118" t="s">
        <v>202</v>
      </c>
      <c r="O118" s="158" t="s">
        <v>180</v>
      </c>
      <c r="P118" s="163">
        <v>1370</v>
      </c>
      <c r="Q118" s="164">
        <v>1781.0000000000002</v>
      </c>
      <c r="R118" s="165">
        <v>2192</v>
      </c>
    </row>
    <row r="119" spans="1:29" ht="16.8" x14ac:dyDescent="0.35">
      <c r="A119" t="s">
        <v>200</v>
      </c>
      <c r="O119" s="159" t="s">
        <v>181</v>
      </c>
      <c r="P119" s="166">
        <v>1027.5</v>
      </c>
      <c r="Q119" s="167">
        <v>1472.7500000000002</v>
      </c>
      <c r="R119" s="168">
        <v>1918.0000000000002</v>
      </c>
      <c r="U119" s="167"/>
      <c r="V119" s="167"/>
    </row>
    <row r="120" spans="1:29" ht="16.8" x14ac:dyDescent="0.35">
      <c r="A120" t="s">
        <v>201</v>
      </c>
      <c r="O120" s="160" t="s">
        <v>178</v>
      </c>
      <c r="P120" s="166">
        <v>726.1</v>
      </c>
      <c r="Q120" s="167">
        <v>911.05000000000007</v>
      </c>
      <c r="R120" s="168">
        <v>1096</v>
      </c>
      <c r="U120" s="167"/>
      <c r="V120" s="167"/>
    </row>
    <row r="121" spans="1:29" ht="16.2" x14ac:dyDescent="0.3">
      <c r="A121" t="s">
        <v>167</v>
      </c>
      <c r="O121" s="161" t="s">
        <v>170</v>
      </c>
      <c r="P121" s="166">
        <v>1918.0000000000002</v>
      </c>
      <c r="Q121" s="167">
        <v>2329</v>
      </c>
      <c r="R121" s="168">
        <v>2740</v>
      </c>
      <c r="U121" s="167"/>
      <c r="V121" s="167"/>
    </row>
    <row r="122" spans="1:29" ht="16.8" thickBot="1" x14ac:dyDescent="0.35">
      <c r="A122" t="s">
        <v>203</v>
      </c>
      <c r="O122" s="172" t="s">
        <v>171</v>
      </c>
      <c r="P122" s="169">
        <v>4110</v>
      </c>
      <c r="Q122" s="170">
        <v>4795</v>
      </c>
      <c r="R122" s="171">
        <v>5480</v>
      </c>
    </row>
    <row r="123" spans="1:29" ht="16.2" x14ac:dyDescent="0.3">
      <c r="A123" t="s">
        <v>205</v>
      </c>
      <c r="U123" s="167"/>
      <c r="V123" s="167"/>
    </row>
    <row r="124" spans="1:29" ht="16.2" x14ac:dyDescent="0.3">
      <c r="A124" t="s">
        <v>204</v>
      </c>
      <c r="U124" s="167"/>
      <c r="V124" s="167"/>
    </row>
    <row r="125" spans="1:29" x14ac:dyDescent="0.3">
      <c r="U125" s="167"/>
      <c r="V125" s="167"/>
    </row>
    <row r="126" spans="1:29" ht="15" thickBot="1" x14ac:dyDescent="0.35">
      <c r="U126" s="167"/>
      <c r="V126" s="167"/>
    </row>
    <row r="127" spans="1:29" ht="20.399999999999999" thickBot="1" x14ac:dyDescent="0.35">
      <c r="A127" s="289" t="s">
        <v>0</v>
      </c>
      <c r="B127" s="338" t="s">
        <v>191</v>
      </c>
      <c r="C127" s="339"/>
      <c r="D127" s="339"/>
      <c r="E127" s="339"/>
      <c r="F127" s="339"/>
      <c r="G127" s="339"/>
      <c r="H127" s="339"/>
      <c r="I127" s="339"/>
      <c r="J127" s="339"/>
      <c r="K127" s="339"/>
      <c r="L127" s="339"/>
      <c r="M127" s="339"/>
      <c r="N127" s="339"/>
      <c r="O127" s="339"/>
      <c r="P127" s="339"/>
      <c r="Q127" s="339"/>
      <c r="R127" s="339"/>
      <c r="S127" s="340"/>
      <c r="U127" s="338" t="s">
        <v>192</v>
      </c>
      <c r="V127" s="339"/>
      <c r="W127" s="339"/>
      <c r="X127" s="339"/>
      <c r="Y127" s="339"/>
      <c r="Z127" s="339"/>
      <c r="AA127" s="339"/>
      <c r="AB127" s="339"/>
      <c r="AC127" s="340"/>
    </row>
    <row r="128" spans="1:29" ht="18.600000000000001" thickBot="1" x14ac:dyDescent="0.4">
      <c r="A128" s="344"/>
      <c r="B128" s="380" t="s">
        <v>131</v>
      </c>
      <c r="C128" s="381"/>
      <c r="D128" s="381"/>
      <c r="E128" s="381"/>
      <c r="F128" s="381"/>
      <c r="G128" s="381"/>
      <c r="H128" s="381"/>
      <c r="I128" s="381"/>
      <c r="J128" s="381"/>
      <c r="K128" s="381"/>
      <c r="L128" s="381"/>
      <c r="M128" s="381"/>
      <c r="N128" s="381"/>
      <c r="O128" s="381"/>
      <c r="P128" s="381"/>
      <c r="Q128" s="381"/>
      <c r="R128" s="381"/>
      <c r="S128" s="382"/>
      <c r="U128" s="380" t="s">
        <v>131</v>
      </c>
      <c r="V128" s="381"/>
      <c r="W128" s="381"/>
      <c r="X128" s="381"/>
      <c r="Y128" s="381"/>
      <c r="Z128" s="381"/>
      <c r="AA128" s="381"/>
      <c r="AB128" s="381"/>
      <c r="AC128" s="382"/>
    </row>
    <row r="129" spans="1:29" ht="18.600000000000001" customHeight="1" thickBot="1" x14ac:dyDescent="0.35">
      <c r="A129" s="344"/>
      <c r="B129" s="368" t="s">
        <v>126</v>
      </c>
      <c r="C129" s="369"/>
      <c r="D129" s="370"/>
      <c r="E129" s="368" t="s">
        <v>193</v>
      </c>
      <c r="F129" s="369"/>
      <c r="G129" s="370"/>
      <c r="H129" s="301" t="s">
        <v>194</v>
      </c>
      <c r="I129" s="302"/>
      <c r="J129" s="303"/>
      <c r="K129" s="301" t="s">
        <v>195</v>
      </c>
      <c r="L129" s="302"/>
      <c r="M129" s="303"/>
      <c r="N129" s="375" t="s">
        <v>127</v>
      </c>
      <c r="O129" s="376"/>
      <c r="P129" s="377"/>
      <c r="Q129" s="316" t="s">
        <v>128</v>
      </c>
      <c r="R129" s="317"/>
      <c r="S129" s="318"/>
      <c r="U129" s="383" t="s">
        <v>185</v>
      </c>
      <c r="V129" s="384"/>
      <c r="W129" s="385"/>
      <c r="X129" s="383" t="s">
        <v>186</v>
      </c>
      <c r="Y129" s="384"/>
      <c r="Z129" s="385"/>
      <c r="AA129" s="383" t="s">
        <v>187</v>
      </c>
      <c r="AB129" s="384"/>
      <c r="AC129" s="385"/>
    </row>
    <row r="130" spans="1:29" ht="16.8" thickBot="1" x14ac:dyDescent="0.35">
      <c r="A130" s="290"/>
      <c r="B130" s="134" t="s">
        <v>133</v>
      </c>
      <c r="C130" s="135" t="s">
        <v>19</v>
      </c>
      <c r="D130" s="136" t="s">
        <v>134</v>
      </c>
      <c r="E130" s="134" t="s">
        <v>18</v>
      </c>
      <c r="F130" s="135" t="s">
        <v>19</v>
      </c>
      <c r="G130" s="136" t="s">
        <v>20</v>
      </c>
      <c r="H130" s="144" t="s">
        <v>18</v>
      </c>
      <c r="I130" s="145" t="s">
        <v>19</v>
      </c>
      <c r="J130" s="146" t="s">
        <v>20</v>
      </c>
      <c r="K130" s="144" t="s">
        <v>18</v>
      </c>
      <c r="L130" s="145" t="s">
        <v>19</v>
      </c>
      <c r="M130" s="146" t="s">
        <v>20</v>
      </c>
      <c r="N130" s="140" t="s">
        <v>196</v>
      </c>
      <c r="O130" s="141" t="s">
        <v>19</v>
      </c>
      <c r="P130" s="142" t="s">
        <v>197</v>
      </c>
      <c r="Q130" s="137" t="s">
        <v>198</v>
      </c>
      <c r="R130" s="138" t="s">
        <v>19</v>
      </c>
      <c r="S130" s="139" t="s">
        <v>199</v>
      </c>
      <c r="U130" s="173" t="s">
        <v>18</v>
      </c>
      <c r="V130" s="174" t="s">
        <v>19</v>
      </c>
      <c r="W130" s="175" t="s">
        <v>20</v>
      </c>
      <c r="X130" s="173" t="s">
        <v>18</v>
      </c>
      <c r="Y130" s="174" t="s">
        <v>19</v>
      </c>
      <c r="Z130" s="175" t="s">
        <v>20</v>
      </c>
      <c r="AA130" s="173" t="s">
        <v>18</v>
      </c>
      <c r="AB130" s="174" t="s">
        <v>19</v>
      </c>
      <c r="AC130" s="175" t="s">
        <v>20</v>
      </c>
    </row>
    <row r="131" spans="1:29" x14ac:dyDescent="0.3">
      <c r="A131" s="41">
        <v>2024</v>
      </c>
      <c r="B131" s="122">
        <v>44.301599999999993</v>
      </c>
      <c r="C131" s="125">
        <v>99.618799999999993</v>
      </c>
      <c r="D131" s="126">
        <v>154.93599999999998</v>
      </c>
      <c r="E131" s="122">
        <v>64.416899999999998</v>
      </c>
      <c r="F131" s="125">
        <v>90.398949999999999</v>
      </c>
      <c r="G131" s="126">
        <v>116.381</v>
      </c>
      <c r="H131" s="122">
        <v>98.421300000000002</v>
      </c>
      <c r="I131" s="125">
        <v>170.98015000000001</v>
      </c>
      <c r="J131" s="126">
        <v>243.53900000000002</v>
      </c>
      <c r="K131" s="122">
        <v>78.066499999999991</v>
      </c>
      <c r="L131" s="125">
        <v>125.48124999999999</v>
      </c>
      <c r="M131" s="126">
        <v>172.89599999999999</v>
      </c>
      <c r="N131" s="122">
        <v>44.780500000000004</v>
      </c>
      <c r="O131" s="125">
        <v>71.600899999999996</v>
      </c>
      <c r="P131" s="126">
        <v>98.421300000000002</v>
      </c>
      <c r="Q131" s="122">
        <v>59.148600000000002</v>
      </c>
      <c r="R131" s="125">
        <v>85.3703</v>
      </c>
      <c r="S131" s="126">
        <v>111.592</v>
      </c>
      <c r="U131" s="122">
        <v>540</v>
      </c>
      <c r="V131" s="125">
        <v>810</v>
      </c>
      <c r="W131" s="126">
        <v>1080</v>
      </c>
      <c r="X131" s="122">
        <v>486.00000000000006</v>
      </c>
      <c r="Y131" s="125">
        <v>675</v>
      </c>
      <c r="Z131" s="126">
        <v>864</v>
      </c>
      <c r="AA131" s="122">
        <v>432</v>
      </c>
      <c r="AB131" s="125">
        <v>540</v>
      </c>
      <c r="AC131" s="126">
        <v>648</v>
      </c>
    </row>
    <row r="132" spans="1:29" x14ac:dyDescent="0.3">
      <c r="A132" s="41">
        <v>2025</v>
      </c>
      <c r="B132" s="123">
        <v>43.343699999999998</v>
      </c>
      <c r="C132" s="127">
        <v>97.343850000000003</v>
      </c>
      <c r="D132" s="128">
        <v>151.34399999999999</v>
      </c>
      <c r="E132" s="123"/>
      <c r="F132" s="127"/>
      <c r="G132" s="128"/>
      <c r="H132" s="123"/>
      <c r="I132" s="127"/>
      <c r="J132" s="128"/>
      <c r="K132" s="123"/>
      <c r="L132" s="127"/>
      <c r="M132" s="128"/>
      <c r="N132" s="123">
        <v>44.541033333333338</v>
      </c>
      <c r="O132" s="127">
        <v>71.161876190476193</v>
      </c>
      <c r="P132" s="128">
        <v>97.782719047619054</v>
      </c>
      <c r="Q132" s="123">
        <v>58.943338095238097</v>
      </c>
      <c r="R132" s="127">
        <v>85.045311904761903</v>
      </c>
      <c r="S132" s="128">
        <v>111.14728571428572</v>
      </c>
      <c r="U132" s="123"/>
      <c r="V132" s="127"/>
      <c r="W132" s="128"/>
      <c r="X132" s="123"/>
      <c r="Y132" s="127"/>
      <c r="Z132" s="128"/>
      <c r="AA132" s="123"/>
      <c r="AB132" s="127"/>
      <c r="AC132" s="128"/>
    </row>
    <row r="133" spans="1:29" x14ac:dyDescent="0.3">
      <c r="A133" s="41">
        <v>2026</v>
      </c>
      <c r="B133" s="123">
        <v>42.577379999999998</v>
      </c>
      <c r="C133" s="127">
        <v>95.284290000000013</v>
      </c>
      <c r="D133" s="128">
        <v>147.99120000000002</v>
      </c>
      <c r="E133" s="123"/>
      <c r="F133" s="127"/>
      <c r="G133" s="128"/>
      <c r="H133" s="123"/>
      <c r="I133" s="127"/>
      <c r="J133" s="128"/>
      <c r="K133" s="123"/>
      <c r="L133" s="127"/>
      <c r="M133" s="128"/>
      <c r="N133" s="123">
        <v>44.301566666666673</v>
      </c>
      <c r="O133" s="127">
        <v>70.722852380952389</v>
      </c>
      <c r="P133" s="128">
        <v>97.144138095238105</v>
      </c>
      <c r="Q133" s="123">
        <v>58.738076190476193</v>
      </c>
      <c r="R133" s="127">
        <v>84.720323809523819</v>
      </c>
      <c r="S133" s="128">
        <v>110.70257142857143</v>
      </c>
      <c r="U133" s="123"/>
      <c r="V133" s="127"/>
      <c r="W133" s="128"/>
      <c r="X133" s="123"/>
      <c r="Y133" s="127"/>
      <c r="Z133" s="128"/>
      <c r="AA133" s="123"/>
      <c r="AB133" s="127"/>
      <c r="AC133" s="128"/>
    </row>
    <row r="134" spans="1:29" x14ac:dyDescent="0.3">
      <c r="A134" s="41">
        <v>2027</v>
      </c>
      <c r="B134" s="123">
        <v>41.811059999999998</v>
      </c>
      <c r="C134" s="127">
        <v>93.224730000000008</v>
      </c>
      <c r="D134" s="128">
        <v>144.63840000000002</v>
      </c>
      <c r="E134" s="123"/>
      <c r="F134" s="127"/>
      <c r="G134" s="128"/>
      <c r="H134" s="123"/>
      <c r="I134" s="127"/>
      <c r="J134" s="128"/>
      <c r="K134" s="123"/>
      <c r="L134" s="127"/>
      <c r="M134" s="128"/>
      <c r="N134" s="123">
        <v>44.062100000000008</v>
      </c>
      <c r="O134" s="127">
        <v>70.283828571428586</v>
      </c>
      <c r="P134" s="128">
        <v>96.505557142857157</v>
      </c>
      <c r="Q134" s="123">
        <v>58.532814285714288</v>
      </c>
      <c r="R134" s="127">
        <v>84.395335714285721</v>
      </c>
      <c r="S134" s="128">
        <v>110.25785714285715</v>
      </c>
      <c r="U134" s="123"/>
      <c r="V134" s="127"/>
      <c r="W134" s="128"/>
      <c r="X134" s="123"/>
      <c r="Y134" s="127"/>
      <c r="Z134" s="128"/>
      <c r="AA134" s="123"/>
      <c r="AB134" s="127"/>
      <c r="AC134" s="128"/>
    </row>
    <row r="135" spans="1:29" x14ac:dyDescent="0.3">
      <c r="A135" s="41">
        <v>2028</v>
      </c>
      <c r="B135" s="123">
        <v>40.90108</v>
      </c>
      <c r="C135" s="127">
        <v>91.14134</v>
      </c>
      <c r="D135" s="128">
        <v>141.38159999999999</v>
      </c>
      <c r="E135" s="123"/>
      <c r="F135" s="127"/>
      <c r="G135" s="128"/>
      <c r="H135" s="123"/>
      <c r="I135" s="127"/>
      <c r="J135" s="128"/>
      <c r="K135" s="123"/>
      <c r="L135" s="127"/>
      <c r="M135" s="128"/>
      <c r="N135" s="123">
        <v>43.822633333333343</v>
      </c>
      <c r="O135" s="127">
        <v>69.844804761904783</v>
      </c>
      <c r="P135" s="128">
        <v>95.866976190476208</v>
      </c>
      <c r="Q135" s="123">
        <v>58.327552380952383</v>
      </c>
      <c r="R135" s="127">
        <v>84.070347619047624</v>
      </c>
      <c r="S135" s="128">
        <v>109.81314285714286</v>
      </c>
      <c r="U135" s="123"/>
      <c r="V135" s="127"/>
      <c r="W135" s="128"/>
      <c r="X135" s="123"/>
      <c r="Y135" s="127"/>
      <c r="Z135" s="128"/>
      <c r="AA135" s="123"/>
      <c r="AB135" s="127"/>
      <c r="AC135" s="128"/>
    </row>
    <row r="136" spans="1:29" x14ac:dyDescent="0.3">
      <c r="A136" s="41">
        <v>2029</v>
      </c>
      <c r="B136" s="123">
        <v>39.847440000000006</v>
      </c>
      <c r="C136" s="127">
        <v>89.034120000000001</v>
      </c>
      <c r="D136" s="128">
        <v>138.22079999999997</v>
      </c>
      <c r="E136" s="123"/>
      <c r="F136" s="127"/>
      <c r="G136" s="128"/>
      <c r="H136" s="123"/>
      <c r="I136" s="127"/>
      <c r="J136" s="128"/>
      <c r="K136" s="123"/>
      <c r="L136" s="127"/>
      <c r="M136" s="128"/>
      <c r="N136" s="123">
        <v>43.583166666666678</v>
      </c>
      <c r="O136" s="127">
        <v>69.405780952380965</v>
      </c>
      <c r="P136" s="128">
        <v>95.22839523809526</v>
      </c>
      <c r="Q136" s="123">
        <v>58.122290476190479</v>
      </c>
      <c r="R136" s="127">
        <v>83.745359523809526</v>
      </c>
      <c r="S136" s="128">
        <v>109.36842857142858</v>
      </c>
      <c r="U136" s="123"/>
      <c r="V136" s="127"/>
      <c r="W136" s="128"/>
      <c r="X136" s="123"/>
      <c r="Y136" s="127"/>
      <c r="Z136" s="128"/>
      <c r="AA136" s="123"/>
      <c r="AB136" s="127"/>
      <c r="AC136" s="128"/>
    </row>
    <row r="137" spans="1:29" x14ac:dyDescent="0.3">
      <c r="A137" s="41">
        <v>2030</v>
      </c>
      <c r="B137" s="123">
        <v>38.793800000000005</v>
      </c>
      <c r="C137" s="127">
        <v>86.926900000000003</v>
      </c>
      <c r="D137" s="128">
        <v>135.06</v>
      </c>
      <c r="E137" s="123"/>
      <c r="F137" s="127"/>
      <c r="G137" s="128"/>
      <c r="H137" s="123"/>
      <c r="I137" s="127"/>
      <c r="J137" s="128"/>
      <c r="K137" s="123"/>
      <c r="L137" s="127"/>
      <c r="M137" s="128"/>
      <c r="N137" s="123">
        <v>43.343700000000013</v>
      </c>
      <c r="O137" s="127">
        <v>68.966757142857162</v>
      </c>
      <c r="P137" s="128">
        <v>94.589814285714311</v>
      </c>
      <c r="Q137" s="123">
        <v>57.917028571428574</v>
      </c>
      <c r="R137" s="127">
        <v>83.420371428571428</v>
      </c>
      <c r="S137" s="128">
        <v>108.9237142857143</v>
      </c>
      <c r="U137" s="123"/>
      <c r="V137" s="127"/>
      <c r="W137" s="128"/>
      <c r="X137" s="123"/>
      <c r="Y137" s="127"/>
      <c r="Z137" s="128"/>
      <c r="AA137" s="123"/>
      <c r="AB137" s="127"/>
      <c r="AC137" s="128"/>
    </row>
    <row r="138" spans="1:29" x14ac:dyDescent="0.3">
      <c r="A138" s="41">
        <v>2031</v>
      </c>
      <c r="B138" s="123">
        <v>38.314879999999995</v>
      </c>
      <c r="C138" s="127">
        <v>85.538040000000009</v>
      </c>
      <c r="D138" s="128">
        <v>132.76120000000003</v>
      </c>
      <c r="E138" s="123"/>
      <c r="F138" s="127"/>
      <c r="G138" s="128"/>
      <c r="H138" s="123"/>
      <c r="I138" s="127"/>
      <c r="J138" s="128"/>
      <c r="K138" s="123"/>
      <c r="L138" s="127"/>
      <c r="M138" s="128"/>
      <c r="N138" s="123">
        <v>43.104233333333347</v>
      </c>
      <c r="O138" s="127">
        <v>68.527733333333359</v>
      </c>
      <c r="P138" s="128">
        <v>93.951233333333363</v>
      </c>
      <c r="Q138" s="123">
        <v>57.711766666666669</v>
      </c>
      <c r="R138" s="127">
        <v>83.095383333333345</v>
      </c>
      <c r="S138" s="128">
        <v>108.47900000000001</v>
      </c>
      <c r="U138" s="123"/>
      <c r="V138" s="127"/>
      <c r="W138" s="128"/>
      <c r="X138" s="123"/>
      <c r="Y138" s="127"/>
      <c r="Z138" s="128"/>
      <c r="AA138" s="123"/>
      <c r="AB138" s="127"/>
      <c r="AC138" s="128"/>
    </row>
    <row r="139" spans="1:29" x14ac:dyDescent="0.3">
      <c r="A139" s="41">
        <v>2032</v>
      </c>
      <c r="B139" s="123">
        <v>37.835959999999986</v>
      </c>
      <c r="C139" s="127">
        <v>84.149180000000015</v>
      </c>
      <c r="D139" s="128">
        <v>130.46240000000003</v>
      </c>
      <c r="E139" s="123"/>
      <c r="F139" s="127"/>
      <c r="G139" s="128"/>
      <c r="H139" s="123"/>
      <c r="I139" s="127"/>
      <c r="J139" s="128"/>
      <c r="K139" s="123"/>
      <c r="L139" s="127"/>
      <c r="M139" s="128"/>
      <c r="N139" s="123">
        <v>42.864766666666682</v>
      </c>
      <c r="O139" s="127">
        <v>68.088709523809541</v>
      </c>
      <c r="P139" s="128">
        <v>93.312652380952414</v>
      </c>
      <c r="Q139" s="123">
        <v>57.506504761904765</v>
      </c>
      <c r="R139" s="127">
        <v>82.770395238095247</v>
      </c>
      <c r="S139" s="128">
        <v>108.03428571428573</v>
      </c>
      <c r="U139" s="123"/>
      <c r="V139" s="127"/>
      <c r="W139" s="128"/>
      <c r="X139" s="123"/>
      <c r="Y139" s="127"/>
      <c r="Z139" s="128"/>
      <c r="AA139" s="123"/>
      <c r="AB139" s="127"/>
      <c r="AC139" s="128"/>
    </row>
    <row r="140" spans="1:29" x14ac:dyDescent="0.3">
      <c r="A140" s="41">
        <v>2033</v>
      </c>
      <c r="B140" s="123">
        <v>37.261240000000001</v>
      </c>
      <c r="C140" s="127">
        <v>82.760220000000004</v>
      </c>
      <c r="D140" s="128">
        <v>128.25920000000002</v>
      </c>
      <c r="E140" s="123"/>
      <c r="F140" s="127"/>
      <c r="G140" s="128"/>
      <c r="H140" s="123"/>
      <c r="I140" s="127"/>
      <c r="J140" s="128"/>
      <c r="K140" s="123"/>
      <c r="L140" s="127"/>
      <c r="M140" s="128"/>
      <c r="N140" s="123">
        <v>42.625300000000017</v>
      </c>
      <c r="O140" s="127">
        <v>67.649685714285738</v>
      </c>
      <c r="P140" s="128">
        <v>92.674071428571466</v>
      </c>
      <c r="Q140" s="123">
        <v>57.30124285714286</v>
      </c>
      <c r="R140" s="127">
        <v>82.44540714285715</v>
      </c>
      <c r="S140" s="128">
        <v>107.58957142857145</v>
      </c>
      <c r="U140" s="123"/>
      <c r="V140" s="127"/>
      <c r="W140" s="128"/>
      <c r="X140" s="123"/>
      <c r="Y140" s="127"/>
      <c r="Z140" s="128"/>
      <c r="AA140" s="123"/>
      <c r="AB140" s="127"/>
      <c r="AC140" s="128"/>
    </row>
    <row r="141" spans="1:29" x14ac:dyDescent="0.3">
      <c r="A141" s="41">
        <v>2034</v>
      </c>
      <c r="B141" s="123">
        <v>36.590720000000005</v>
      </c>
      <c r="C141" s="127">
        <v>81.371160000000032</v>
      </c>
      <c r="D141" s="128">
        <v>126.15160000000003</v>
      </c>
      <c r="E141" s="123"/>
      <c r="F141" s="127"/>
      <c r="G141" s="128"/>
      <c r="H141" s="123"/>
      <c r="I141" s="127"/>
      <c r="J141" s="128"/>
      <c r="K141" s="123"/>
      <c r="L141" s="127"/>
      <c r="M141" s="128"/>
      <c r="N141" s="123">
        <v>42.385833333333352</v>
      </c>
      <c r="O141" s="127">
        <v>67.210661904761935</v>
      </c>
      <c r="P141" s="128">
        <v>92.035490476190517</v>
      </c>
      <c r="Q141" s="123">
        <v>57.095980952380955</v>
      </c>
      <c r="R141" s="127">
        <v>82.120419047619066</v>
      </c>
      <c r="S141" s="128">
        <v>107.14485714285716</v>
      </c>
      <c r="U141" s="123"/>
      <c r="V141" s="127"/>
      <c r="W141" s="128"/>
      <c r="X141" s="123"/>
      <c r="Y141" s="127"/>
      <c r="Z141" s="128"/>
      <c r="AA141" s="123"/>
      <c r="AB141" s="127"/>
      <c r="AC141" s="128"/>
    </row>
    <row r="142" spans="1:29" x14ac:dyDescent="0.3">
      <c r="A142" s="41">
        <v>2035</v>
      </c>
      <c r="B142" s="123">
        <v>35.920200000000001</v>
      </c>
      <c r="C142" s="127">
        <v>79.982100000000003</v>
      </c>
      <c r="D142" s="128">
        <v>124.044</v>
      </c>
      <c r="E142" s="123">
        <v>55.5565</v>
      </c>
      <c r="F142" s="127">
        <v>81.77825</v>
      </c>
      <c r="G142" s="128">
        <v>108</v>
      </c>
      <c r="H142" s="123">
        <v>86.208399999999997</v>
      </c>
      <c r="I142" s="127">
        <v>157.92920000000001</v>
      </c>
      <c r="J142" s="128">
        <v>229.65</v>
      </c>
      <c r="K142" s="123">
        <v>71.600899999999996</v>
      </c>
      <c r="L142" s="127">
        <v>119.01545</v>
      </c>
      <c r="M142" s="128">
        <v>166.43</v>
      </c>
      <c r="N142" s="123">
        <v>42.146366666666687</v>
      </c>
      <c r="O142" s="127">
        <v>66.771638095238131</v>
      </c>
      <c r="P142" s="128">
        <v>91.396909523809569</v>
      </c>
      <c r="Q142" s="123">
        <v>56.890719047619051</v>
      </c>
      <c r="R142" s="127">
        <v>81.795430952380968</v>
      </c>
      <c r="S142" s="128">
        <v>106.70014285714288</v>
      </c>
      <c r="U142" s="123">
        <v>311.04000000000002</v>
      </c>
      <c r="V142" s="127">
        <v>609.12</v>
      </c>
      <c r="W142" s="128">
        <v>907.2</v>
      </c>
      <c r="X142" s="123">
        <v>291.60000000000002</v>
      </c>
      <c r="Y142" s="127">
        <v>510.3</v>
      </c>
      <c r="Z142" s="128">
        <v>729</v>
      </c>
      <c r="AA142" s="123">
        <v>243.00000000000003</v>
      </c>
      <c r="AB142" s="127">
        <v>376.92</v>
      </c>
      <c r="AC142" s="128">
        <v>510.84000000000003</v>
      </c>
    </row>
    <row r="143" spans="1:29" x14ac:dyDescent="0.3">
      <c r="A143" s="41">
        <v>2036</v>
      </c>
      <c r="B143" s="123">
        <v>35.537040000000005</v>
      </c>
      <c r="C143" s="127">
        <v>78.976320000000001</v>
      </c>
      <c r="D143" s="128">
        <v>122.4156</v>
      </c>
      <c r="E143" s="123"/>
      <c r="F143" s="127"/>
      <c r="G143" s="128"/>
      <c r="H143" s="123"/>
      <c r="I143" s="127"/>
      <c r="J143" s="128"/>
      <c r="K143" s="123"/>
      <c r="L143" s="127"/>
      <c r="M143" s="128"/>
      <c r="N143" s="123">
        <v>41.906900000000022</v>
      </c>
      <c r="O143" s="127">
        <v>66.332614285714328</v>
      </c>
      <c r="P143" s="128">
        <v>90.758328571428621</v>
      </c>
      <c r="Q143" s="123">
        <v>56.685457142857146</v>
      </c>
      <c r="R143" s="127">
        <v>81.470442857142871</v>
      </c>
      <c r="S143" s="128">
        <v>106.2554285714286</v>
      </c>
      <c r="U143" s="123"/>
      <c r="V143" s="127"/>
      <c r="W143" s="128"/>
      <c r="X143" s="123"/>
      <c r="Y143" s="127"/>
      <c r="Z143" s="128"/>
      <c r="AA143" s="123"/>
      <c r="AB143" s="127"/>
      <c r="AC143" s="128"/>
    </row>
    <row r="144" spans="1:29" x14ac:dyDescent="0.3">
      <c r="A144" s="41">
        <v>2037</v>
      </c>
      <c r="B144" s="123">
        <v>35.153880000000015</v>
      </c>
      <c r="C144" s="127">
        <v>77.97054</v>
      </c>
      <c r="D144" s="128">
        <v>120.7872</v>
      </c>
      <c r="E144" s="123"/>
      <c r="F144" s="127"/>
      <c r="G144" s="128"/>
      <c r="H144" s="123"/>
      <c r="I144" s="127"/>
      <c r="J144" s="128"/>
      <c r="K144" s="123"/>
      <c r="L144" s="127"/>
      <c r="M144" s="128"/>
      <c r="N144" s="123">
        <v>41.667433333333356</v>
      </c>
      <c r="O144" s="127">
        <v>65.893590476190511</v>
      </c>
      <c r="P144" s="128">
        <v>90.119747619047672</v>
      </c>
      <c r="Q144" s="123">
        <v>56.480195238095241</v>
      </c>
      <c r="R144" s="127">
        <v>81.145454761904773</v>
      </c>
      <c r="S144" s="128">
        <v>105.81071428571431</v>
      </c>
      <c r="U144" s="123"/>
      <c r="V144" s="127"/>
      <c r="W144" s="128"/>
      <c r="X144" s="123"/>
      <c r="Y144" s="127"/>
      <c r="Z144" s="128"/>
      <c r="AA144" s="123"/>
      <c r="AB144" s="127"/>
      <c r="AC144" s="128"/>
    </row>
    <row r="145" spans="1:29" x14ac:dyDescent="0.3">
      <c r="A145" s="41">
        <v>2038</v>
      </c>
      <c r="B145" s="123">
        <v>34.722840000000005</v>
      </c>
      <c r="C145" s="127">
        <v>77.012720000000002</v>
      </c>
      <c r="D145" s="128">
        <v>119.3026</v>
      </c>
      <c r="E145" s="123"/>
      <c r="F145" s="127"/>
      <c r="G145" s="128"/>
      <c r="H145" s="123"/>
      <c r="I145" s="127"/>
      <c r="J145" s="128"/>
      <c r="K145" s="123"/>
      <c r="L145" s="127"/>
      <c r="M145" s="128"/>
      <c r="N145" s="123">
        <v>41.427966666666691</v>
      </c>
      <c r="O145" s="127">
        <v>65.454566666666707</v>
      </c>
      <c r="P145" s="128">
        <v>89.481166666666724</v>
      </c>
      <c r="Q145" s="123">
        <v>56.274933333333337</v>
      </c>
      <c r="R145" s="127">
        <v>80.820466666666675</v>
      </c>
      <c r="S145" s="128">
        <v>105.36600000000003</v>
      </c>
      <c r="U145" s="123"/>
      <c r="V145" s="127"/>
      <c r="W145" s="128"/>
      <c r="X145" s="123"/>
      <c r="Y145" s="127"/>
      <c r="Z145" s="128"/>
      <c r="AA145" s="123"/>
      <c r="AB145" s="127"/>
      <c r="AC145" s="128"/>
    </row>
    <row r="146" spans="1:29" x14ac:dyDescent="0.3">
      <c r="A146" s="41">
        <v>2039</v>
      </c>
      <c r="B146" s="123">
        <v>34.24392000000001</v>
      </c>
      <c r="C146" s="127">
        <v>76.102859999999993</v>
      </c>
      <c r="D146" s="128">
        <v>117.9618</v>
      </c>
      <c r="E146" s="123"/>
      <c r="F146" s="127"/>
      <c r="G146" s="128"/>
      <c r="H146" s="123"/>
      <c r="I146" s="127"/>
      <c r="J146" s="128"/>
      <c r="K146" s="123"/>
      <c r="L146" s="127"/>
      <c r="M146" s="128"/>
      <c r="N146" s="123">
        <v>41.188500000000026</v>
      </c>
      <c r="O146" s="127">
        <v>65.015542857142904</v>
      </c>
      <c r="P146" s="128">
        <v>88.842585714285775</v>
      </c>
      <c r="Q146" s="123">
        <v>56.069671428571432</v>
      </c>
      <c r="R146" s="127">
        <v>80.495478571428592</v>
      </c>
      <c r="S146" s="128">
        <v>104.92128571428574</v>
      </c>
      <c r="U146" s="123"/>
      <c r="V146" s="127"/>
      <c r="W146" s="128"/>
      <c r="X146" s="123"/>
      <c r="Y146" s="127"/>
      <c r="Z146" s="128"/>
      <c r="AA146" s="123"/>
      <c r="AB146" s="127"/>
      <c r="AC146" s="128"/>
    </row>
    <row r="147" spans="1:29" x14ac:dyDescent="0.3">
      <c r="A147" s="41">
        <v>2040</v>
      </c>
      <c r="B147" s="123">
        <v>33.765000000000001</v>
      </c>
      <c r="C147" s="127">
        <v>75.193000000000012</v>
      </c>
      <c r="D147" s="128">
        <v>116.62100000000001</v>
      </c>
      <c r="E147" s="123"/>
      <c r="F147" s="127"/>
      <c r="G147" s="128"/>
      <c r="H147" s="123"/>
      <c r="I147" s="127"/>
      <c r="J147" s="128"/>
      <c r="K147" s="123"/>
      <c r="L147" s="127"/>
      <c r="M147" s="128"/>
      <c r="N147" s="123">
        <v>40.949033333333361</v>
      </c>
      <c r="O147" s="127">
        <v>64.576519047619087</v>
      </c>
      <c r="P147" s="128">
        <v>88.204004761904827</v>
      </c>
      <c r="Q147" s="123">
        <v>55.864409523809528</v>
      </c>
      <c r="R147" s="127">
        <v>80.170490476190494</v>
      </c>
      <c r="S147" s="128">
        <v>104.47657142857146</v>
      </c>
      <c r="U147" s="123"/>
      <c r="V147" s="127"/>
      <c r="W147" s="128"/>
      <c r="X147" s="123"/>
      <c r="Y147" s="127"/>
      <c r="Z147" s="128"/>
      <c r="AA147" s="123"/>
      <c r="AB147" s="127"/>
      <c r="AC147" s="128"/>
    </row>
    <row r="148" spans="1:29" x14ac:dyDescent="0.3">
      <c r="A148" s="41">
        <v>2041</v>
      </c>
      <c r="B148" s="123">
        <v>33.669199999999996</v>
      </c>
      <c r="C148" s="127">
        <v>74.809900000000013</v>
      </c>
      <c r="D148" s="128">
        <v>115.95060000000001</v>
      </c>
      <c r="E148" s="123"/>
      <c r="F148" s="127"/>
      <c r="G148" s="128"/>
      <c r="H148" s="123"/>
      <c r="I148" s="127"/>
      <c r="J148" s="128"/>
      <c r="K148" s="123"/>
      <c r="L148" s="127"/>
      <c r="M148" s="128"/>
      <c r="N148" s="123">
        <v>40.709566666666696</v>
      </c>
      <c r="O148" s="127">
        <v>64.137495238095283</v>
      </c>
      <c r="P148" s="128">
        <v>87.565423809523878</v>
      </c>
      <c r="Q148" s="123">
        <v>55.659147619047623</v>
      </c>
      <c r="R148" s="127">
        <v>79.845502380952396</v>
      </c>
      <c r="S148" s="128">
        <v>104.03185714285718</v>
      </c>
      <c r="U148" s="123"/>
      <c r="V148" s="127"/>
      <c r="W148" s="128"/>
      <c r="X148" s="123"/>
      <c r="Y148" s="127"/>
      <c r="Z148" s="128"/>
      <c r="AA148" s="123"/>
      <c r="AB148" s="127"/>
      <c r="AC148" s="128"/>
    </row>
    <row r="149" spans="1:29" x14ac:dyDescent="0.3">
      <c r="A149" s="41">
        <v>2042</v>
      </c>
      <c r="B149" s="123">
        <v>33.573399999999992</v>
      </c>
      <c r="C149" s="127">
        <v>74.426800000000014</v>
      </c>
      <c r="D149" s="128">
        <v>115.28020000000002</v>
      </c>
      <c r="E149" s="123"/>
      <c r="F149" s="127"/>
      <c r="G149" s="128"/>
      <c r="H149" s="123"/>
      <c r="I149" s="127"/>
      <c r="J149" s="128"/>
      <c r="K149" s="123"/>
      <c r="L149" s="127"/>
      <c r="M149" s="128"/>
      <c r="N149" s="123">
        <v>40.470100000000031</v>
      </c>
      <c r="O149" s="127">
        <v>63.69847142857148</v>
      </c>
      <c r="P149" s="128">
        <v>86.92684285714293</v>
      </c>
      <c r="Q149" s="123">
        <v>55.453885714285718</v>
      </c>
      <c r="R149" s="127">
        <v>79.520514285714313</v>
      </c>
      <c r="S149" s="128">
        <v>103.58714285714289</v>
      </c>
      <c r="U149" s="123"/>
      <c r="V149" s="127"/>
      <c r="W149" s="128"/>
      <c r="X149" s="123"/>
      <c r="Y149" s="127"/>
      <c r="Z149" s="128"/>
      <c r="AA149" s="123"/>
      <c r="AB149" s="127"/>
      <c r="AC149" s="128"/>
    </row>
    <row r="150" spans="1:29" x14ac:dyDescent="0.3">
      <c r="A150" s="41">
        <v>2043</v>
      </c>
      <c r="B150" s="123">
        <v>33.381819999999998</v>
      </c>
      <c r="C150" s="127">
        <v>73.971810000000005</v>
      </c>
      <c r="D150" s="128">
        <v>114.56180000000001</v>
      </c>
      <c r="E150" s="123"/>
      <c r="F150" s="127"/>
      <c r="G150" s="128"/>
      <c r="H150" s="123"/>
      <c r="I150" s="127"/>
      <c r="J150" s="128"/>
      <c r="K150" s="123"/>
      <c r="L150" s="127"/>
      <c r="M150" s="128"/>
      <c r="N150" s="123">
        <v>40.230633333333365</v>
      </c>
      <c r="O150" s="127">
        <v>63.259447619047677</v>
      </c>
      <c r="P150" s="128">
        <v>86.288261904761981</v>
      </c>
      <c r="Q150" s="123">
        <v>55.248623809523814</v>
      </c>
      <c r="R150" s="127">
        <v>79.195526190476215</v>
      </c>
      <c r="S150" s="128">
        <v>103.14242857142861</v>
      </c>
      <c r="U150" s="123"/>
      <c r="V150" s="127"/>
      <c r="W150" s="128"/>
      <c r="X150" s="123"/>
      <c r="Y150" s="127"/>
      <c r="Z150" s="128"/>
      <c r="AA150" s="123"/>
      <c r="AB150" s="127"/>
      <c r="AC150" s="128"/>
    </row>
    <row r="151" spans="1:29" x14ac:dyDescent="0.3">
      <c r="A151" s="41">
        <v>2044</v>
      </c>
      <c r="B151" s="123">
        <v>33.094459999999998</v>
      </c>
      <c r="C151" s="127">
        <v>73.444929999999999</v>
      </c>
      <c r="D151" s="128">
        <v>113.7954</v>
      </c>
      <c r="E151" s="123"/>
      <c r="F151" s="127"/>
      <c r="G151" s="128"/>
      <c r="H151" s="123"/>
      <c r="I151" s="127"/>
      <c r="J151" s="128"/>
      <c r="K151" s="123"/>
      <c r="L151" s="127"/>
      <c r="M151" s="128"/>
      <c r="N151" s="123">
        <v>39.9911666666667</v>
      </c>
      <c r="O151" s="127">
        <v>62.820423809523867</v>
      </c>
      <c r="P151" s="128">
        <v>85.649680952381033</v>
      </c>
      <c r="Q151" s="123">
        <v>55.043361904761909</v>
      </c>
      <c r="R151" s="127">
        <v>78.870538095238118</v>
      </c>
      <c r="S151" s="128">
        <v>102.69771428571433</v>
      </c>
      <c r="U151" s="123"/>
      <c r="V151" s="127"/>
      <c r="W151" s="128"/>
      <c r="X151" s="123"/>
      <c r="Y151" s="127"/>
      <c r="Z151" s="128"/>
      <c r="AA151" s="123"/>
      <c r="AB151" s="127"/>
      <c r="AC151" s="128"/>
    </row>
    <row r="152" spans="1:29" ht="15" thickBot="1" x14ac:dyDescent="0.35">
      <c r="A152" s="42">
        <v>2045</v>
      </c>
      <c r="B152" s="124">
        <v>32.807099999999998</v>
      </c>
      <c r="C152" s="129">
        <v>72.918049999999994</v>
      </c>
      <c r="D152" s="130">
        <v>113.02900000000001</v>
      </c>
      <c r="E152" s="124">
        <v>46.935699999999997</v>
      </c>
      <c r="F152" s="129">
        <v>72.079800000000006</v>
      </c>
      <c r="G152" s="130">
        <v>97.2239</v>
      </c>
      <c r="H152" s="124">
        <v>70.882500000000007</v>
      </c>
      <c r="I152" s="129">
        <v>138.29275000000001</v>
      </c>
      <c r="J152" s="130">
        <v>205.703</v>
      </c>
      <c r="K152" s="124">
        <v>60.106400000000001</v>
      </c>
      <c r="L152" s="129">
        <v>105.96470000000001</v>
      </c>
      <c r="M152" s="130">
        <v>151.82300000000001</v>
      </c>
      <c r="N152" s="124">
        <v>39.7517</v>
      </c>
      <c r="O152" s="129">
        <v>62.381399999999999</v>
      </c>
      <c r="P152" s="130">
        <v>85.011099999999999</v>
      </c>
      <c r="Q152" s="124">
        <v>54.838099999999997</v>
      </c>
      <c r="R152" s="129">
        <v>78.545549999999992</v>
      </c>
      <c r="S152" s="130">
        <v>102.253</v>
      </c>
      <c r="U152" s="124">
        <v>194.4</v>
      </c>
      <c r="V152" s="129">
        <v>475.20000000000005</v>
      </c>
      <c r="W152" s="130">
        <v>756</v>
      </c>
      <c r="X152" s="124">
        <v>162</v>
      </c>
      <c r="Y152" s="129">
        <v>394.20000000000005</v>
      </c>
      <c r="Z152" s="130">
        <v>626.40000000000009</v>
      </c>
      <c r="AA152" s="124">
        <v>140.4</v>
      </c>
      <c r="AB152" s="129">
        <v>286.20000000000005</v>
      </c>
      <c r="AC152" s="130">
        <v>432</v>
      </c>
    </row>
    <row r="153" spans="1:29" ht="16.8" thickBot="1" x14ac:dyDescent="0.35">
      <c r="A153" t="s">
        <v>188</v>
      </c>
    </row>
    <row r="154" spans="1:29" ht="18.600000000000001" thickBot="1" x14ac:dyDescent="0.4">
      <c r="A154" t="s">
        <v>162</v>
      </c>
      <c r="O154" s="378" t="s">
        <v>177</v>
      </c>
      <c r="P154" s="380" t="s">
        <v>179</v>
      </c>
      <c r="Q154" s="381"/>
      <c r="R154" s="382"/>
    </row>
    <row r="155" spans="1:29" ht="16.8" thickBot="1" x14ac:dyDescent="0.35">
      <c r="A155" t="s">
        <v>163</v>
      </c>
      <c r="O155" s="379"/>
      <c r="P155" s="78" t="s">
        <v>18</v>
      </c>
      <c r="Q155" s="79" t="s">
        <v>19</v>
      </c>
      <c r="R155" s="80" t="s">
        <v>20</v>
      </c>
    </row>
    <row r="156" spans="1:29" ht="16.8" x14ac:dyDescent="0.35">
      <c r="A156" t="s">
        <v>202</v>
      </c>
      <c r="O156" s="158" t="s">
        <v>180</v>
      </c>
      <c r="P156" s="163">
        <v>1080</v>
      </c>
      <c r="Q156" s="164">
        <v>1620</v>
      </c>
      <c r="R156" s="165">
        <v>2160</v>
      </c>
    </row>
    <row r="157" spans="1:29" ht="16.8" x14ac:dyDescent="0.35">
      <c r="A157" t="s">
        <v>200</v>
      </c>
      <c r="O157" s="159" t="s">
        <v>181</v>
      </c>
      <c r="P157" s="166">
        <v>972.00000000000011</v>
      </c>
      <c r="Q157" s="167">
        <v>1350</v>
      </c>
      <c r="R157" s="168">
        <v>1728</v>
      </c>
      <c r="U157" s="167"/>
    </row>
    <row r="158" spans="1:29" ht="16.8" x14ac:dyDescent="0.35">
      <c r="A158" t="s">
        <v>201</v>
      </c>
      <c r="O158" s="176" t="s">
        <v>190</v>
      </c>
      <c r="P158" s="166">
        <v>972.00000000000011</v>
      </c>
      <c r="Q158" s="167">
        <v>1404</v>
      </c>
      <c r="R158" s="168">
        <v>1836.0000000000002</v>
      </c>
      <c r="U158" s="167"/>
    </row>
    <row r="159" spans="1:29" ht="16.2" x14ac:dyDescent="0.3">
      <c r="A159" t="s">
        <v>167</v>
      </c>
      <c r="O159" s="160" t="s">
        <v>178</v>
      </c>
      <c r="P159" s="166">
        <v>756</v>
      </c>
      <c r="Q159" s="167">
        <v>864</v>
      </c>
      <c r="R159" s="168">
        <v>972.00000000000011</v>
      </c>
      <c r="U159" s="167"/>
    </row>
    <row r="160" spans="1:29" ht="16.2" x14ac:dyDescent="0.3">
      <c r="A160" t="s">
        <v>203</v>
      </c>
      <c r="O160" s="161" t="s">
        <v>170</v>
      </c>
      <c r="P160" s="166">
        <v>1404</v>
      </c>
      <c r="Q160" s="167">
        <v>1728</v>
      </c>
      <c r="R160" s="168">
        <v>2052</v>
      </c>
    </row>
    <row r="161" spans="1:18" ht="16.8" thickBot="1" x14ac:dyDescent="0.35">
      <c r="A161" t="s">
        <v>205</v>
      </c>
      <c r="O161" s="172" t="s">
        <v>171</v>
      </c>
      <c r="P161" s="169">
        <v>2376</v>
      </c>
      <c r="Q161" s="170">
        <v>3024</v>
      </c>
      <c r="R161" s="171">
        <v>3672.0000000000005</v>
      </c>
    </row>
    <row r="162" spans="1:18" ht="16.2" x14ac:dyDescent="0.3">
      <c r="A162" t="s">
        <v>204</v>
      </c>
    </row>
  </sheetData>
  <mergeCells count="60">
    <mergeCell ref="O154:O155"/>
    <mergeCell ref="P154:R154"/>
    <mergeCell ref="A127:A130"/>
    <mergeCell ref="B127:S127"/>
    <mergeCell ref="U127:AC127"/>
    <mergeCell ref="B128:S128"/>
    <mergeCell ref="U128:AC128"/>
    <mergeCell ref="B129:D129"/>
    <mergeCell ref="E129:G129"/>
    <mergeCell ref="H129:J129"/>
    <mergeCell ref="K129:M129"/>
    <mergeCell ref="N129:P129"/>
    <mergeCell ref="Q129:S129"/>
    <mergeCell ref="U129:W129"/>
    <mergeCell ref="X129:Z129"/>
    <mergeCell ref="AA129:AC129"/>
    <mergeCell ref="G2:J2"/>
    <mergeCell ref="A1:A4"/>
    <mergeCell ref="B1:J1"/>
    <mergeCell ref="B2:F2"/>
    <mergeCell ref="E3:E4"/>
    <mergeCell ref="F3:F4"/>
    <mergeCell ref="G3:I3"/>
    <mergeCell ref="J3:J4"/>
    <mergeCell ref="B3:D3"/>
    <mergeCell ref="A29:A32"/>
    <mergeCell ref="A23:K23"/>
    <mergeCell ref="A59:A62"/>
    <mergeCell ref="B61:D61"/>
    <mergeCell ref="E61:G61"/>
    <mergeCell ref="K61:M61"/>
    <mergeCell ref="H61:J61"/>
    <mergeCell ref="B31:D31"/>
    <mergeCell ref="H31:J31"/>
    <mergeCell ref="K31:M31"/>
    <mergeCell ref="O61:O62"/>
    <mergeCell ref="P61:R61"/>
    <mergeCell ref="E31:G31"/>
    <mergeCell ref="B30:M30"/>
    <mergeCell ref="B29:M29"/>
    <mergeCell ref="B59:M59"/>
    <mergeCell ref="B60:M60"/>
    <mergeCell ref="O31:O32"/>
    <mergeCell ref="P31:R31"/>
    <mergeCell ref="A91:A94"/>
    <mergeCell ref="N93:P93"/>
    <mergeCell ref="O116:O117"/>
    <mergeCell ref="P116:R116"/>
    <mergeCell ref="AA93:AC93"/>
    <mergeCell ref="X93:Z93"/>
    <mergeCell ref="Q93:S93"/>
    <mergeCell ref="K93:M93"/>
    <mergeCell ref="H93:J93"/>
    <mergeCell ref="E93:G93"/>
    <mergeCell ref="U93:W93"/>
    <mergeCell ref="B93:D93"/>
    <mergeCell ref="B92:S92"/>
    <mergeCell ref="U92:AC92"/>
    <mergeCell ref="B91:S91"/>
    <mergeCell ref="U91:AC91"/>
  </mergeCells>
  <pageMargins left="0.19685039370078741" right="0.19685039370078741" top="0.19685039370078741" bottom="0.19685039370078741" header="0.19685039370078741" footer="0.19685039370078741"/>
  <pageSetup paperSize="9" scale="21" orientation="landscape" r:id="rId1"/>
  <headerFooter>
    <oddFooter>&amp;C_x000D_&amp;1#&amp;"Calibri"&amp;7&amp;K000000 Classification: In-Confidence</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BBD7D-7355-4F5B-8B56-94533C940F1A}">
  <sheetPr>
    <tabColor theme="0" tint="-0.499984740745262"/>
    <pageSetUpPr fitToPage="1"/>
  </sheetPr>
  <dimension ref="A1:AG188"/>
  <sheetViews>
    <sheetView topLeftCell="A63" zoomScale="70" zoomScaleNormal="70" workbookViewId="0">
      <selection activeCell="O39" sqref="O39"/>
    </sheetView>
  </sheetViews>
  <sheetFormatPr defaultRowHeight="14.4" x14ac:dyDescent="0.3"/>
  <cols>
    <col min="2" max="2" width="28.21875" bestFit="1" customWidth="1"/>
    <col min="3" max="3" width="22.109375" bestFit="1" customWidth="1"/>
    <col min="4" max="4" width="24.33203125" bestFit="1" customWidth="1"/>
    <col min="5" max="5" width="20.5546875" bestFit="1" customWidth="1"/>
  </cols>
  <sheetData>
    <row r="1" spans="1:33" ht="18.600000000000001" customHeight="1" thickBot="1" x14ac:dyDescent="0.35">
      <c r="A1" s="289" t="s">
        <v>0</v>
      </c>
      <c r="B1" s="338" t="s">
        <v>377</v>
      </c>
      <c r="C1" s="339"/>
      <c r="D1" s="339"/>
      <c r="E1" s="340"/>
      <c r="G1" s="289" t="s">
        <v>0</v>
      </c>
      <c r="H1" s="338" t="s">
        <v>378</v>
      </c>
      <c r="I1" s="339"/>
      <c r="J1" s="339"/>
      <c r="K1" s="339"/>
      <c r="L1" s="339"/>
      <c r="M1" s="339"/>
      <c r="N1" s="339"/>
      <c r="O1" s="339"/>
      <c r="P1" s="339"/>
      <c r="Q1" s="339"/>
      <c r="R1" s="339"/>
      <c r="S1" s="340"/>
      <c r="U1" s="289" t="s">
        <v>0</v>
      </c>
      <c r="V1" s="338" t="s">
        <v>378</v>
      </c>
      <c r="W1" s="339"/>
      <c r="X1" s="339"/>
      <c r="Y1" s="339"/>
      <c r="Z1" s="339"/>
      <c r="AA1" s="339"/>
      <c r="AB1" s="339"/>
      <c r="AC1" s="339"/>
      <c r="AD1" s="339"/>
      <c r="AE1" s="339"/>
      <c r="AF1" s="339"/>
      <c r="AG1" s="340"/>
    </row>
    <row r="2" spans="1:33" ht="18.600000000000001" customHeight="1" thickBot="1" x14ac:dyDescent="0.4">
      <c r="A2" s="344"/>
      <c r="B2" s="380" t="s">
        <v>206</v>
      </c>
      <c r="C2" s="381"/>
      <c r="D2" s="381"/>
      <c r="E2" s="382"/>
      <c r="G2" s="344"/>
      <c r="H2" s="380" t="s">
        <v>206</v>
      </c>
      <c r="I2" s="381"/>
      <c r="J2" s="381"/>
      <c r="K2" s="381"/>
      <c r="L2" s="381"/>
      <c r="M2" s="381"/>
      <c r="N2" s="381"/>
      <c r="O2" s="381"/>
      <c r="P2" s="381"/>
      <c r="Q2" s="381"/>
      <c r="R2" s="381"/>
      <c r="S2" s="382"/>
      <c r="U2" s="344"/>
      <c r="V2" s="380" t="s">
        <v>206</v>
      </c>
      <c r="W2" s="381"/>
      <c r="X2" s="381"/>
      <c r="Y2" s="381"/>
      <c r="Z2" s="381"/>
      <c r="AA2" s="381"/>
      <c r="AB2" s="381"/>
      <c r="AC2" s="381"/>
      <c r="AD2" s="381"/>
      <c r="AE2" s="381"/>
      <c r="AF2" s="381"/>
      <c r="AG2" s="382"/>
    </row>
    <row r="3" spans="1:33" ht="20.399999999999999" customHeight="1" thickBot="1" x14ac:dyDescent="0.35">
      <c r="A3" s="344"/>
      <c r="B3" s="177" t="s">
        <v>210</v>
      </c>
      <c r="C3" s="178" t="s">
        <v>207</v>
      </c>
      <c r="D3" s="178" t="s">
        <v>208</v>
      </c>
      <c r="E3" s="182" t="s">
        <v>209</v>
      </c>
      <c r="G3" s="344"/>
      <c r="H3" s="404" t="s">
        <v>207</v>
      </c>
      <c r="I3" s="405"/>
      <c r="J3" s="405"/>
      <c r="K3" s="405"/>
      <c r="L3" s="405"/>
      <c r="M3" s="405"/>
      <c r="N3" s="405"/>
      <c r="O3" s="405"/>
      <c r="P3" s="405"/>
      <c r="Q3" s="405"/>
      <c r="R3" s="405"/>
      <c r="S3" s="406"/>
      <c r="U3" s="344"/>
      <c r="V3" s="404" t="s">
        <v>209</v>
      </c>
      <c r="W3" s="405"/>
      <c r="X3" s="405"/>
      <c r="Y3" s="405"/>
      <c r="Z3" s="405"/>
      <c r="AA3" s="405"/>
      <c r="AB3" s="405"/>
      <c r="AC3" s="405"/>
      <c r="AD3" s="405"/>
      <c r="AE3" s="405"/>
      <c r="AF3" s="405"/>
      <c r="AG3" s="406"/>
    </row>
    <row r="4" spans="1:33" ht="15" customHeight="1" thickBot="1" x14ac:dyDescent="0.35">
      <c r="A4" s="290"/>
      <c r="B4" s="179" t="s">
        <v>19</v>
      </c>
      <c r="C4" s="180" t="s">
        <v>19</v>
      </c>
      <c r="D4" s="180" t="s">
        <v>19</v>
      </c>
      <c r="E4" s="181" t="s">
        <v>19</v>
      </c>
      <c r="G4" s="344"/>
      <c r="H4" s="401" t="s">
        <v>214</v>
      </c>
      <c r="I4" s="402"/>
      <c r="J4" s="403"/>
      <c r="K4" s="401" t="s">
        <v>211</v>
      </c>
      <c r="L4" s="402"/>
      <c r="M4" s="403"/>
      <c r="N4" s="401" t="s">
        <v>212</v>
      </c>
      <c r="O4" s="402"/>
      <c r="P4" s="403"/>
      <c r="Q4" s="401" t="s">
        <v>213</v>
      </c>
      <c r="R4" s="402"/>
      <c r="S4" s="403"/>
      <c r="U4" s="344"/>
      <c r="V4" s="401" t="s">
        <v>214</v>
      </c>
      <c r="W4" s="402"/>
      <c r="X4" s="403"/>
      <c r="Y4" s="401" t="s">
        <v>211</v>
      </c>
      <c r="Z4" s="402"/>
      <c r="AA4" s="403"/>
      <c r="AB4" s="401" t="s">
        <v>212</v>
      </c>
      <c r="AC4" s="402"/>
      <c r="AD4" s="403"/>
      <c r="AE4" s="401" t="s">
        <v>213</v>
      </c>
      <c r="AF4" s="402"/>
      <c r="AG4" s="403"/>
    </row>
    <row r="5" spans="1:33" ht="13.8" customHeight="1" thickBot="1" x14ac:dyDescent="0.35">
      <c r="A5" s="41">
        <v>2017</v>
      </c>
      <c r="B5" s="122">
        <v>998.01599999999996</v>
      </c>
      <c r="C5" s="122">
        <v>1952.6399999999999</v>
      </c>
      <c r="D5" s="122">
        <v>1533.184</v>
      </c>
      <c r="E5" s="131">
        <v>1171.5839999999998</v>
      </c>
      <c r="G5" s="290"/>
      <c r="H5" s="180" t="s">
        <v>218</v>
      </c>
      <c r="I5" s="183" t="s">
        <v>219</v>
      </c>
      <c r="J5" s="184" t="s">
        <v>134</v>
      </c>
      <c r="K5" s="180" t="s">
        <v>218</v>
      </c>
      <c r="L5" s="183" t="s">
        <v>219</v>
      </c>
      <c r="M5" s="184" t="s">
        <v>134</v>
      </c>
      <c r="N5" s="180" t="s">
        <v>218</v>
      </c>
      <c r="O5" s="183" t="s">
        <v>219</v>
      </c>
      <c r="P5" s="184" t="s">
        <v>134</v>
      </c>
      <c r="Q5" s="180" t="s">
        <v>218</v>
      </c>
      <c r="R5" s="183" t="s">
        <v>219</v>
      </c>
      <c r="S5" s="184" t="s">
        <v>134</v>
      </c>
      <c r="U5" s="290"/>
      <c r="V5" s="180" t="s">
        <v>218</v>
      </c>
      <c r="W5" s="183" t="s">
        <v>219</v>
      </c>
      <c r="X5" s="184" t="s">
        <v>134</v>
      </c>
      <c r="Y5" s="180" t="s">
        <v>218</v>
      </c>
      <c r="Z5" s="183" t="s">
        <v>219</v>
      </c>
      <c r="AA5" s="184" t="s">
        <v>134</v>
      </c>
      <c r="AB5" s="180" t="s">
        <v>218</v>
      </c>
      <c r="AC5" s="183" t="s">
        <v>219</v>
      </c>
      <c r="AD5" s="184" t="s">
        <v>134</v>
      </c>
      <c r="AE5" s="180" t="s">
        <v>218</v>
      </c>
      <c r="AF5" s="183" t="s">
        <v>219</v>
      </c>
      <c r="AG5" s="184" t="s">
        <v>134</v>
      </c>
    </row>
    <row r="6" spans="1:33" x14ac:dyDescent="0.3">
      <c r="A6" s="41">
        <v>2020</v>
      </c>
      <c r="B6" s="123">
        <v>838.91199999999992</v>
      </c>
      <c r="C6" s="123">
        <v>1692.2879999999998</v>
      </c>
      <c r="D6" s="123">
        <v>1316.2239999999999</v>
      </c>
      <c r="E6" s="132">
        <v>983.55199999999991</v>
      </c>
      <c r="G6" s="52">
        <v>2017</v>
      </c>
      <c r="H6" s="122">
        <f>MIN(H19:H23)</f>
        <v>58.993099999999998</v>
      </c>
      <c r="I6" s="125">
        <f>AVERAGE(H19:H23)</f>
        <v>76.129140000000007</v>
      </c>
      <c r="J6" s="126">
        <f>MAX(H19:H23)</f>
        <v>93.506</v>
      </c>
      <c r="K6" s="122">
        <f>MIN(I19:I23)</f>
        <v>72.637699999999995</v>
      </c>
      <c r="L6" s="125">
        <f>AVERAGE(I19:I23)</f>
        <v>93.546080000000003</v>
      </c>
      <c r="M6" s="126">
        <f>MAX(I19:I23)</f>
        <v>114.575</v>
      </c>
      <c r="N6" s="122">
        <f>MIN(J19:J23)</f>
        <v>88.890900000000002</v>
      </c>
      <c r="O6" s="125">
        <f>AVERAGE(J19:J23)</f>
        <v>114.1335</v>
      </c>
      <c r="P6" s="126">
        <f>MAX(J19:J23)</f>
        <v>138.654</v>
      </c>
      <c r="Q6" s="122">
        <f>MIN(K19:K23)</f>
        <v>108.55500000000001</v>
      </c>
      <c r="R6" s="125">
        <f>AVERAGE(K19:K23)</f>
        <v>138.4128</v>
      </c>
      <c r="S6" s="126">
        <f>MAX(K19:K23)</f>
        <v>167.749</v>
      </c>
      <c r="U6" s="52">
        <v>2017</v>
      </c>
      <c r="V6" s="122">
        <f>MIN(V19:V23)</f>
        <v>43.863258145372797</v>
      </c>
      <c r="W6" s="125">
        <f>AVERAGE(V19:V23)</f>
        <v>58.394853625083272</v>
      </c>
      <c r="X6" s="126">
        <f>MAX(V19:V23)</f>
        <v>75.897850014257997</v>
      </c>
      <c r="Y6" s="122">
        <f>MIN(W19:W23)</f>
        <v>50.932130325823799</v>
      </c>
      <c r="Z6" s="125">
        <f>AVERAGE(W19:W23)</f>
        <v>68.203687085980889</v>
      </c>
      <c r="AA6" s="126">
        <f>MAX(W19:W23)</f>
        <v>88.551272312518407</v>
      </c>
      <c r="AB6" s="122">
        <f>MIN(X19:X23)</f>
        <v>64.526115288229704</v>
      </c>
      <c r="AC6" s="125">
        <f>AVERAGE(X19:X23)</f>
        <v>86.179591349633739</v>
      </c>
      <c r="AD6" s="126">
        <f>MAX(X19:X23)</f>
        <v>111.668101511263</v>
      </c>
      <c r="AE6" s="122">
        <f>MIN(Y19:Y23)</f>
        <v>79.932631578956304</v>
      </c>
      <c r="AF6" s="125">
        <f>AVERAGE(Y19:Y23)</f>
        <v>106.90268531208451</v>
      </c>
      <c r="AG6" s="126">
        <f>MAX(Y19:Y23)</f>
        <v>138.799958939264</v>
      </c>
    </row>
    <row r="7" spans="1:33" x14ac:dyDescent="0.3">
      <c r="A7" s="41">
        <v>2025</v>
      </c>
      <c r="B7" s="123">
        <v>679.80799999999999</v>
      </c>
      <c r="C7" s="123">
        <v>1403.0079999999998</v>
      </c>
      <c r="D7" s="123">
        <v>1070.336</v>
      </c>
      <c r="E7" s="132">
        <v>795.52</v>
      </c>
      <c r="G7" s="24">
        <v>2020</v>
      </c>
      <c r="H7" s="123">
        <f>MIN(L19:L23)</f>
        <v>51.368099999999998</v>
      </c>
      <c r="I7" s="127">
        <f>AVERAGE(L19:L23)</f>
        <v>66.296959999999984</v>
      </c>
      <c r="J7" s="128">
        <f>MAX(L19:L23)</f>
        <v>81.667299999999997</v>
      </c>
      <c r="K7" s="123">
        <f>MIN(M19:M23)</f>
        <v>62.805500000000002</v>
      </c>
      <c r="L7" s="127">
        <f>AVERAGE(M19:M23)</f>
        <v>81.02516</v>
      </c>
      <c r="M7" s="128">
        <f>MAX(M19:M23)</f>
        <v>99.726399999999998</v>
      </c>
      <c r="N7" s="123">
        <f>MIN(N19:N23)</f>
        <v>77.052199999999999</v>
      </c>
      <c r="O7" s="127">
        <f>AVERAGE(N19:N23)</f>
        <v>98.602620000000002</v>
      </c>
      <c r="P7" s="128">
        <f>MAX(N19:N23)</f>
        <v>120.39400000000001</v>
      </c>
      <c r="Q7" s="123">
        <f>MIN(O19:O23)</f>
        <v>93.104699999999994</v>
      </c>
      <c r="R7" s="127">
        <f>AVERAGE(O19:O23)</f>
        <v>118.9893</v>
      </c>
      <c r="S7" s="128">
        <f>MAX(O19:O23)</f>
        <v>144.673</v>
      </c>
      <c r="U7" s="24">
        <v>2020</v>
      </c>
      <c r="V7" s="123">
        <f>MIN(Z19:Z23)</f>
        <v>37.700651629082401</v>
      </c>
      <c r="W7" s="127">
        <f>AVERAGE(Z19:Z23)</f>
        <v>50.42195159755952</v>
      </c>
      <c r="X7" s="128">
        <f>MAX(Z19:Z23)</f>
        <v>65.434443113773298</v>
      </c>
      <c r="Y7" s="123">
        <f>MIN(AA19:AA23)</f>
        <v>43.682005012540998</v>
      </c>
      <c r="Z7" s="127">
        <f>AVERAGE(AA19:AA23)</f>
        <v>58.601938042714231</v>
      </c>
      <c r="AA7" s="128">
        <f>MAX(AA19:AA23)</f>
        <v>76.262852580553897</v>
      </c>
      <c r="AB7" s="123">
        <f>MIN(AB19:AB23)</f>
        <v>55.100952380961999</v>
      </c>
      <c r="AC7" s="127">
        <f>AVERAGE(AB19:AB23)</f>
        <v>73.466149301399724</v>
      </c>
      <c r="AD7" s="128">
        <f>MAX(AB19:AB23)</f>
        <v>95.3646535500433</v>
      </c>
      <c r="AE7" s="123">
        <f>MIN(AC19:AC23)</f>
        <v>67.788671679207397</v>
      </c>
      <c r="AF7" s="127">
        <f>AVERAGE(AC19:AC23)</f>
        <v>90.676796326146956</v>
      </c>
      <c r="AG7" s="128">
        <f>MAX(AC19:AC23)</f>
        <v>117.873145138295</v>
      </c>
    </row>
    <row r="8" spans="1:33" x14ac:dyDescent="0.3">
      <c r="A8" s="41">
        <v>2030</v>
      </c>
      <c r="B8" s="123">
        <v>564.096</v>
      </c>
      <c r="C8" s="123">
        <v>1200.5119999999999</v>
      </c>
      <c r="D8" s="123">
        <v>896.76799999999992</v>
      </c>
      <c r="E8" s="132">
        <v>665.34399999999994</v>
      </c>
      <c r="G8" s="24">
        <v>2025</v>
      </c>
      <c r="H8" s="123">
        <f>MIN(P19:P23)</f>
        <v>42.739899999999999</v>
      </c>
      <c r="I8" s="127">
        <f>AVERAGE(P19:P23)</f>
        <v>55.020060000000001</v>
      </c>
      <c r="J8" s="128">
        <f>MAX(P19:P23)</f>
        <v>68.022599999999997</v>
      </c>
      <c r="K8" s="123">
        <f>MIN(Q19:Q23)</f>
        <v>51.368099999999998</v>
      </c>
      <c r="L8" s="127">
        <f>AVERAGE(Q19:Q23)</f>
        <v>66.537740000000014</v>
      </c>
      <c r="M8" s="128">
        <f>MAX(Q19:Q23)</f>
        <v>81.867900000000006</v>
      </c>
      <c r="N8" s="123">
        <f>MIN(R19:R23)</f>
        <v>62.805500000000002</v>
      </c>
      <c r="O8" s="127">
        <f>AVERAGE(R19:R23)</f>
        <v>80.744239999999991</v>
      </c>
      <c r="P8" s="128">
        <f>MAX(R19:R23)</f>
        <v>98.723100000000002</v>
      </c>
      <c r="Q8" s="123">
        <f>MIN(S19:S23)</f>
        <v>75.848200000000006</v>
      </c>
      <c r="R8" s="127">
        <f>AVERAGE(S19:S23)</f>
        <v>96.957180000000022</v>
      </c>
      <c r="S8" s="128">
        <f>MAX(S19:S23)</f>
        <v>117.986</v>
      </c>
      <c r="U8" s="24">
        <v>2025</v>
      </c>
      <c r="V8" s="123">
        <f>MIN(AD19:AD23)</f>
        <v>31.175538847127999</v>
      </c>
      <c r="W8" s="127">
        <f>AVERAGE(AD19:AD23)</f>
        <v>41.524875662212359</v>
      </c>
      <c r="X8" s="128">
        <f>MAX(AD19:AD23)</f>
        <v>54.119363558598103</v>
      </c>
      <c r="Y8" s="123">
        <f>MIN(AE19:AE23)</f>
        <v>35.525614035097902</v>
      </c>
      <c r="Z8" s="127">
        <f>AVERAGE(AE19:AE23)</f>
        <v>47.845595689826247</v>
      </c>
      <c r="AA8" s="128">
        <f>MAX(AE19:AE23)</f>
        <v>62.271087539208203</v>
      </c>
      <c r="AB8" s="123">
        <f>MIN(AF19:AF23)</f>
        <v>44.225764411037602</v>
      </c>
      <c r="AC8" s="127">
        <f>AVERAGE(AF19:AF23)</f>
        <v>59.367694541746346</v>
      </c>
      <c r="AD8" s="128">
        <f>MAX(AF19:AF23)</f>
        <v>77.236192757343204</v>
      </c>
      <c r="AE8" s="123">
        <f>MIN(AG19:AG23)</f>
        <v>54.194686716801897</v>
      </c>
      <c r="AF8" s="127">
        <f>AVERAGE(AG19:AG23)</f>
        <v>72.627891549234917</v>
      </c>
      <c r="AG8" s="128">
        <f>MAX(AG19:AG23)</f>
        <v>94.391313373253993</v>
      </c>
    </row>
    <row r="9" spans="1:33" x14ac:dyDescent="0.3">
      <c r="A9" s="41">
        <v>2040</v>
      </c>
      <c r="B9" s="123">
        <v>433.91999999999996</v>
      </c>
      <c r="C9" s="123">
        <v>940.16</v>
      </c>
      <c r="D9" s="123">
        <v>694.27199999999993</v>
      </c>
      <c r="E9" s="132">
        <v>506.23999999999995</v>
      </c>
      <c r="G9" s="24">
        <v>2030</v>
      </c>
      <c r="H9" s="123">
        <f>MIN(H26:H30)</f>
        <v>35.917499999999997</v>
      </c>
      <c r="I9" s="127">
        <f>AVERAGE(H26:H30)</f>
        <v>46.632600000000004</v>
      </c>
      <c r="J9" s="128">
        <f>MAX(H26:H30)</f>
        <v>57.989800000000002</v>
      </c>
      <c r="K9" s="123">
        <f>MIN(I26:I30)</f>
        <v>43.743099999999998</v>
      </c>
      <c r="L9" s="127">
        <f>AVERAGE(I26:I30)</f>
        <v>56.344360000000009</v>
      </c>
      <c r="M9" s="128">
        <f>MAX(I26:I30)</f>
        <v>69.226500000000001</v>
      </c>
      <c r="N9" s="123">
        <f>MIN(J26:J30)</f>
        <v>52.7727</v>
      </c>
      <c r="O9" s="127">
        <f>AVERAGE(J26:J30)</f>
        <v>68.022619999999989</v>
      </c>
      <c r="P9" s="128">
        <f>MAX(J26:J30)</f>
        <v>83.071899999999999</v>
      </c>
      <c r="Q9" s="123">
        <f>MIN(K26:K30)</f>
        <v>63.206800000000001</v>
      </c>
      <c r="R9" s="127">
        <f>AVERAGE(K26:K30)</f>
        <v>81.34620000000001</v>
      </c>
      <c r="S9" s="128">
        <f>MAX(K26:K30)</f>
        <v>98.923699999999997</v>
      </c>
      <c r="U9" s="24">
        <v>2030</v>
      </c>
      <c r="V9" s="123">
        <f>MIN(V26:V30)</f>
        <v>26.4629573934943</v>
      </c>
      <c r="W9" s="127">
        <f>AVERAGE(V26:V30)</f>
        <v>35.168252319425761</v>
      </c>
      <c r="X9" s="128">
        <f>MAX(V26:V30)</f>
        <v>45.967639577988002</v>
      </c>
      <c r="Y9" s="123">
        <f>MIN(W26:W30)</f>
        <v>30.0880200501358</v>
      </c>
      <c r="Z9" s="127">
        <f>AVERAGE(W26:W30)</f>
        <v>40.327888655775538</v>
      </c>
      <c r="AA9" s="128">
        <f>MAX(W26:W30)</f>
        <v>52.2943507271182</v>
      </c>
      <c r="AB9" s="123">
        <f>MIN(X26:X30)</f>
        <v>36.975639097754801</v>
      </c>
      <c r="AC9" s="127">
        <f>AVERAGE(X26:X30)</f>
        <v>49.554649930219064</v>
      </c>
      <c r="AD9" s="128">
        <f>MAX(X26:X30)</f>
        <v>64.461102936984105</v>
      </c>
      <c r="AE9" s="123">
        <f>MIN(Y26:Y30)</f>
        <v>45.132030075198401</v>
      </c>
      <c r="AF9" s="127">
        <f>AVERAGE(Y26:Y30)</f>
        <v>60.561772815276321</v>
      </c>
      <c r="AG9" s="128">
        <f>MAX(Y26:Y30)</f>
        <v>78.452867978329806</v>
      </c>
    </row>
    <row r="10" spans="1:33" ht="15" thickBot="1" x14ac:dyDescent="0.35">
      <c r="A10" s="42">
        <v>2050</v>
      </c>
      <c r="B10" s="124">
        <v>361.59999999999997</v>
      </c>
      <c r="C10" s="124">
        <v>781.05599999999993</v>
      </c>
      <c r="D10" s="124">
        <v>578.55999999999995</v>
      </c>
      <c r="E10" s="133">
        <v>419.45599999999996</v>
      </c>
      <c r="G10" s="24">
        <v>2040</v>
      </c>
      <c r="H10" s="123">
        <f>MIN(L26:L30)</f>
        <v>28.693899999999999</v>
      </c>
      <c r="I10" s="127">
        <f>AVERAGE(L26:L30)</f>
        <v>37.643180000000008</v>
      </c>
      <c r="J10" s="128">
        <f>MAX(L26:L30)</f>
        <v>46.753</v>
      </c>
      <c r="K10" s="123">
        <f>MIN(M26:M30)</f>
        <v>34.7136</v>
      </c>
      <c r="L10" s="127">
        <f>AVERAGE(M26:M30)</f>
        <v>44.98724</v>
      </c>
      <c r="M10" s="128">
        <f>MAX(M26:M30)</f>
        <v>55.581899999999997</v>
      </c>
      <c r="N10" s="123">
        <f>MIN(N26:N30)</f>
        <v>41.937199999999997</v>
      </c>
      <c r="O10" s="127">
        <f>AVERAGE(N26:N30)</f>
        <v>54.137159999999994</v>
      </c>
      <c r="P10" s="128">
        <f>MAX(N26:N30)</f>
        <v>66.216700000000003</v>
      </c>
      <c r="Q10" s="123">
        <f>MIN(O26:O30)</f>
        <v>50.164200000000001</v>
      </c>
      <c r="R10" s="127">
        <f>AVERAGE(O26:O30)</f>
        <v>64.611459999999994</v>
      </c>
      <c r="S10" s="128">
        <f>MAX(O26:O30)</f>
        <v>78.858099999999993</v>
      </c>
      <c r="U10" s="24">
        <v>2040</v>
      </c>
      <c r="V10" s="123">
        <f>MIN(Z26:Z30)</f>
        <v>21.0253634085323</v>
      </c>
      <c r="W10" s="127">
        <f>AVERAGE(Z26:Z30)</f>
        <v>28.030178344068464</v>
      </c>
      <c r="X10" s="128">
        <f>MAX(Z26:Z30)</f>
        <v>36.355905332193998</v>
      </c>
      <c r="Y10" s="123">
        <f>MIN(AA26:AA30)</f>
        <v>23.7441604010133</v>
      </c>
      <c r="Z10" s="127">
        <f>AVERAGE(AA26:AA30)</f>
        <v>31.938885873370658</v>
      </c>
      <c r="AA10" s="128">
        <f>MAX(AA26:AA30)</f>
        <v>41.344273738239004</v>
      </c>
      <c r="AB10" s="123">
        <f>MIN(AB26:AB30)</f>
        <v>29.1817543859758</v>
      </c>
      <c r="AC10" s="127">
        <f>AVERAGE(AB26:AB30)</f>
        <v>39.138043239840663</v>
      </c>
      <c r="AD10" s="128">
        <f>MAX(AB26:AB30)</f>
        <v>50.834340461934303</v>
      </c>
      <c r="AE10" s="123">
        <f>MIN(AC26:AC30)</f>
        <v>35.525614035098599</v>
      </c>
      <c r="AF10" s="127">
        <f>AVERAGE(AC26:AC30)</f>
        <v>47.442128386839805</v>
      </c>
      <c r="AG10" s="128">
        <f>MAX(AC26:AC30)</f>
        <v>61.662749928714902</v>
      </c>
    </row>
    <row r="11" spans="1:33" ht="15" thickBot="1" x14ac:dyDescent="0.35">
      <c r="G11" s="25">
        <v>2050</v>
      </c>
      <c r="H11" s="124">
        <f>MIN(P26:P30)</f>
        <v>24.078800000000001</v>
      </c>
      <c r="I11" s="129">
        <f>AVERAGE(P26:P30)</f>
        <v>31.2623</v>
      </c>
      <c r="J11" s="130">
        <f>MAX(P26:P30)</f>
        <v>39.128</v>
      </c>
      <c r="K11" s="124">
        <f>MIN(Q26:Q30)</f>
        <v>28.894600000000001</v>
      </c>
      <c r="L11" s="129">
        <f>AVERAGE(Q26:Q30)</f>
        <v>37.442540000000001</v>
      </c>
      <c r="M11" s="130">
        <f>MAX(Q26:Q30)</f>
        <v>46.151000000000003</v>
      </c>
      <c r="N11" s="124">
        <f>MIN(R26:R30)</f>
        <v>34.914299999999997</v>
      </c>
      <c r="O11" s="129">
        <f>AVERAGE(R26:R30)</f>
        <v>44.906959999999998</v>
      </c>
      <c r="P11" s="130">
        <f>MAX(R26:R30)</f>
        <v>54.979900000000001</v>
      </c>
      <c r="Q11" s="124">
        <f>MIN(S26:S30)</f>
        <v>41.937199999999997</v>
      </c>
      <c r="R11" s="129">
        <f>AVERAGE(S26:S30)</f>
        <v>53.775959999999998</v>
      </c>
      <c r="S11" s="130">
        <f>MAX(S26:S30)</f>
        <v>65.614699999999999</v>
      </c>
      <c r="U11" s="25">
        <v>2050</v>
      </c>
      <c r="V11" s="124">
        <f>MIN(AD26:AD30)</f>
        <v>17.400300751891098</v>
      </c>
      <c r="W11" s="129">
        <f>AVERAGE(AD26:AD30)</f>
        <v>23.341214065108801</v>
      </c>
      <c r="X11" s="130">
        <f>MAX(AD26:AD30)</f>
        <v>30.515864271458401</v>
      </c>
      <c r="Y11" s="124">
        <f>MIN(AE26:AE30)</f>
        <v>19.575338345875799</v>
      </c>
      <c r="Z11" s="129">
        <f>AVERAGE(AE26:AE30)</f>
        <v>26.523650059283181</v>
      </c>
      <c r="AA11" s="130">
        <f>MAX(AE26:AE30)</f>
        <v>34.530892500714103</v>
      </c>
      <c r="AB11" s="124">
        <f>MIN(AF26:AF30)</f>
        <v>24.28791979951</v>
      </c>
      <c r="AC11" s="129">
        <f>AVERAGE(AF26:AF30)</f>
        <v>32.242305788427906</v>
      </c>
      <c r="AD11" s="130">
        <f>MAX(AF26:AF30)</f>
        <v>41.8309438266336</v>
      </c>
      <c r="AE11" s="124">
        <f>MIN(AG26:AG30)</f>
        <v>29.181754385976099</v>
      </c>
      <c r="AF11" s="129">
        <f>AVERAGE(AG26:AG30)</f>
        <v>39.113709735421061</v>
      </c>
      <c r="AG11" s="130">
        <f>MAX(AG26:AG30)</f>
        <v>50.834340461934303</v>
      </c>
    </row>
    <row r="12" spans="1:33" ht="16.2" x14ac:dyDescent="0.3">
      <c r="G12" t="s">
        <v>221</v>
      </c>
      <c r="U12" t="s">
        <v>221</v>
      </c>
    </row>
    <row r="13" spans="1:33" ht="16.2" x14ac:dyDescent="0.3">
      <c r="G13" t="s">
        <v>220</v>
      </c>
      <c r="U13" t="s">
        <v>220</v>
      </c>
    </row>
    <row r="14" spans="1:33" ht="16.2" x14ac:dyDescent="0.3">
      <c r="G14" t="s">
        <v>222</v>
      </c>
      <c r="U14" t="s">
        <v>222</v>
      </c>
    </row>
    <row r="16" spans="1:33" x14ac:dyDescent="0.3">
      <c r="G16" t="s">
        <v>216</v>
      </c>
      <c r="H16" t="s">
        <v>217</v>
      </c>
      <c r="U16" t="s">
        <v>216</v>
      </c>
      <c r="V16" t="s">
        <v>217</v>
      </c>
    </row>
    <row r="17" spans="7:33" x14ac:dyDescent="0.3">
      <c r="G17" t="s">
        <v>0</v>
      </c>
      <c r="H17">
        <v>2017</v>
      </c>
      <c r="L17">
        <v>2020</v>
      </c>
      <c r="P17">
        <v>2025</v>
      </c>
      <c r="U17" t="s">
        <v>0</v>
      </c>
      <c r="V17">
        <v>2017</v>
      </c>
      <c r="Z17">
        <v>2020</v>
      </c>
      <c r="AD17">
        <v>2025</v>
      </c>
    </row>
    <row r="18" spans="7:33" x14ac:dyDescent="0.3">
      <c r="G18" t="s">
        <v>215</v>
      </c>
      <c r="H18">
        <v>2</v>
      </c>
      <c r="I18">
        <v>4</v>
      </c>
      <c r="J18">
        <v>7</v>
      </c>
      <c r="K18">
        <v>10</v>
      </c>
      <c r="L18">
        <v>2</v>
      </c>
      <c r="M18">
        <v>4</v>
      </c>
      <c r="N18">
        <v>7</v>
      </c>
      <c r="O18">
        <v>10</v>
      </c>
      <c r="P18">
        <v>2</v>
      </c>
      <c r="Q18">
        <v>4</v>
      </c>
      <c r="R18">
        <v>7</v>
      </c>
      <c r="S18">
        <v>10</v>
      </c>
      <c r="U18" t="s">
        <v>215</v>
      </c>
      <c r="V18">
        <v>2</v>
      </c>
      <c r="W18">
        <v>4</v>
      </c>
      <c r="X18">
        <v>7</v>
      </c>
      <c r="Y18">
        <v>10</v>
      </c>
      <c r="Z18">
        <v>2</v>
      </c>
      <c r="AA18">
        <v>4</v>
      </c>
      <c r="AB18">
        <v>7</v>
      </c>
      <c r="AC18">
        <v>10</v>
      </c>
      <c r="AD18">
        <v>2</v>
      </c>
      <c r="AE18">
        <v>4</v>
      </c>
      <c r="AF18">
        <v>7</v>
      </c>
      <c r="AG18">
        <v>10</v>
      </c>
    </row>
    <row r="19" spans="7:33" x14ac:dyDescent="0.3">
      <c r="G19" t="e" vm="1">
        <v>#VALUE!</v>
      </c>
      <c r="H19" s="4">
        <v>93.506</v>
      </c>
      <c r="I19" s="4">
        <v>114.575</v>
      </c>
      <c r="J19" s="4">
        <v>138.654</v>
      </c>
      <c r="K19" s="4">
        <v>167.749</v>
      </c>
      <c r="L19" s="4">
        <v>81.667299999999997</v>
      </c>
      <c r="M19" s="4">
        <v>99.726399999999998</v>
      </c>
      <c r="N19" s="4">
        <v>120.39400000000001</v>
      </c>
      <c r="O19" s="4">
        <v>144.673</v>
      </c>
      <c r="P19" s="4">
        <v>68.022599999999997</v>
      </c>
      <c r="Q19" s="4">
        <v>81.867900000000006</v>
      </c>
      <c r="R19" s="4">
        <v>98.723100000000002</v>
      </c>
      <c r="S19" s="4">
        <v>117.986</v>
      </c>
      <c r="U19" t="e" vm="1">
        <v>#VALUE!</v>
      </c>
      <c r="V19" s="4">
        <v>75.897850014257997</v>
      </c>
      <c r="W19" s="4">
        <v>88.551272312518407</v>
      </c>
      <c r="X19" s="4">
        <v>111.668101511263</v>
      </c>
      <c r="Y19" s="4">
        <v>138.799958939264</v>
      </c>
      <c r="Z19" s="4">
        <v>65.434443113773298</v>
      </c>
      <c r="AA19" s="4">
        <v>76.262852580553897</v>
      </c>
      <c r="AB19" s="4">
        <v>95.3646535500433</v>
      </c>
      <c r="AC19" s="4">
        <v>117.873145138295</v>
      </c>
      <c r="AD19" s="4">
        <v>54.119363558598103</v>
      </c>
      <c r="AE19" s="4">
        <v>62.271087539208203</v>
      </c>
      <c r="AF19" s="4">
        <v>77.236192757343204</v>
      </c>
      <c r="AG19" s="4">
        <v>94.391313373253993</v>
      </c>
    </row>
    <row r="20" spans="7:33" x14ac:dyDescent="0.3">
      <c r="G20" t="e" vm="2">
        <v>#VALUE!</v>
      </c>
      <c r="H20" s="4">
        <v>87.084999999999994</v>
      </c>
      <c r="I20" s="4">
        <v>107.351</v>
      </c>
      <c r="J20" s="4">
        <v>131.631</v>
      </c>
      <c r="K20" s="4">
        <v>159.321</v>
      </c>
      <c r="L20" s="4">
        <v>75.848200000000006</v>
      </c>
      <c r="M20" s="4">
        <v>92.903999999999996</v>
      </c>
      <c r="N20" s="4">
        <v>113.17</v>
      </c>
      <c r="O20" s="4">
        <v>136.84800000000001</v>
      </c>
      <c r="P20" s="4">
        <v>62.805500000000002</v>
      </c>
      <c r="Q20" s="4">
        <v>76.249499999999998</v>
      </c>
      <c r="R20" s="4">
        <v>92.903999999999996</v>
      </c>
      <c r="S20" s="4">
        <v>111.364</v>
      </c>
      <c r="U20" t="e" vm="2">
        <v>#VALUE!</v>
      </c>
      <c r="V20" s="4">
        <v>64.947773025378694</v>
      </c>
      <c r="W20" s="4">
        <v>76.262852580553897</v>
      </c>
      <c r="X20" s="4">
        <v>96.216326204733903</v>
      </c>
      <c r="Y20" s="4">
        <v>119.333155403479</v>
      </c>
      <c r="Z20" s="4">
        <v>56.309378956373997</v>
      </c>
      <c r="AA20" s="4">
        <v>65.434443113773298</v>
      </c>
      <c r="AB20" s="4">
        <v>82.102893641289498</v>
      </c>
      <c r="AC20" s="4">
        <v>101.08302708868</v>
      </c>
      <c r="AD20" s="4">
        <v>46.332642144284002</v>
      </c>
      <c r="AE20" s="4">
        <v>53.632693470203499</v>
      </c>
      <c r="AF20" s="4">
        <v>66.286115768464001</v>
      </c>
      <c r="AG20" s="4">
        <v>81.251220986598895</v>
      </c>
    </row>
    <row r="21" spans="7:33" x14ac:dyDescent="0.3">
      <c r="G21" t="e" vm="3">
        <v>#VALUE!</v>
      </c>
      <c r="H21" s="4">
        <v>77.6541</v>
      </c>
      <c r="I21" s="4">
        <v>96.114500000000007</v>
      </c>
      <c r="J21" s="4">
        <v>117.18300000000001</v>
      </c>
      <c r="K21" s="4">
        <v>142.46600000000001</v>
      </c>
      <c r="L21" s="4">
        <v>67.621300000000005</v>
      </c>
      <c r="M21" s="4">
        <v>82.871200000000002</v>
      </c>
      <c r="N21" s="4">
        <v>101.131</v>
      </c>
      <c r="O21" s="4">
        <v>122.601</v>
      </c>
      <c r="P21" s="4">
        <v>56.183900000000001</v>
      </c>
      <c r="Q21" s="4">
        <v>68.223299999999995</v>
      </c>
      <c r="R21" s="4">
        <v>82.871200000000002</v>
      </c>
      <c r="S21" s="4">
        <v>99.525700000000001</v>
      </c>
      <c r="U21" t="e" vm="3">
        <v>#VALUE!</v>
      </c>
      <c r="V21" s="4">
        <v>57.769389221557802</v>
      </c>
      <c r="W21" s="4">
        <v>67.624458511549193</v>
      </c>
      <c r="X21" s="4">
        <v>85.387916737953304</v>
      </c>
      <c r="Y21" s="4">
        <v>105.706392928429</v>
      </c>
      <c r="Z21" s="4">
        <v>49.982667807243701</v>
      </c>
      <c r="AA21" s="4">
        <v>58.1343917878539</v>
      </c>
      <c r="AB21" s="4">
        <v>72.612826917594205</v>
      </c>
      <c r="AC21" s="4">
        <v>89.889615055603699</v>
      </c>
      <c r="AD21" s="4">
        <v>40.979271171942997</v>
      </c>
      <c r="AE21" s="4">
        <v>47.305982321073202</v>
      </c>
      <c r="AF21" s="4">
        <v>58.621061876248497</v>
      </c>
      <c r="AG21" s="4">
        <v>71.639486740804898</v>
      </c>
    </row>
    <row r="22" spans="7:33" x14ac:dyDescent="0.3">
      <c r="G22" t="e" vm="4">
        <v>#VALUE!</v>
      </c>
      <c r="H22" s="4">
        <v>63.407499999999999</v>
      </c>
      <c r="I22" s="4">
        <v>77.052199999999999</v>
      </c>
      <c r="J22" s="4">
        <v>94.308599999999998</v>
      </c>
      <c r="K22" s="4">
        <v>113.973</v>
      </c>
      <c r="L22" s="4">
        <v>54.979900000000001</v>
      </c>
      <c r="M22" s="4">
        <v>66.818700000000007</v>
      </c>
      <c r="N22" s="4">
        <v>81.265900000000002</v>
      </c>
      <c r="O22" s="4">
        <v>97.719800000000006</v>
      </c>
      <c r="P22" s="4">
        <v>45.348399999999998</v>
      </c>
      <c r="Q22" s="4">
        <v>54.979900000000001</v>
      </c>
      <c r="R22" s="4">
        <v>66.417400000000001</v>
      </c>
      <c r="S22" s="4">
        <v>80.061999999999998</v>
      </c>
      <c r="U22" t="e" vm="4">
        <v>#VALUE!</v>
      </c>
      <c r="V22" s="4">
        <v>49.495997718849097</v>
      </c>
      <c r="W22" s="4">
        <v>57.647721699459197</v>
      </c>
      <c r="X22" s="4">
        <v>73.099497005988795</v>
      </c>
      <c r="Y22" s="4">
        <v>90.741287710294301</v>
      </c>
      <c r="Z22" s="4">
        <v>42.682616481324203</v>
      </c>
      <c r="AA22" s="4">
        <v>49.495997718849097</v>
      </c>
      <c r="AB22" s="4">
        <v>62.149420017109598</v>
      </c>
      <c r="AC22" s="4">
        <v>76.7495226689486</v>
      </c>
      <c r="AD22" s="4">
        <v>35.017562589108699</v>
      </c>
      <c r="AE22" s="4">
        <v>40.492601083548401</v>
      </c>
      <c r="AF22" s="4">
        <v>50.469337895638397</v>
      </c>
      <c r="AG22" s="4">
        <v>61.662749928714902</v>
      </c>
    </row>
    <row r="23" spans="7:33" x14ac:dyDescent="0.3">
      <c r="G23" t="e" vm="5">
        <v>#VALUE!</v>
      </c>
      <c r="H23" s="4">
        <v>58.993099999999998</v>
      </c>
      <c r="I23" s="4">
        <v>72.637699999999995</v>
      </c>
      <c r="J23" s="4">
        <v>88.890900000000002</v>
      </c>
      <c r="K23" s="4">
        <v>108.55500000000001</v>
      </c>
      <c r="L23" s="4">
        <v>51.368099999999998</v>
      </c>
      <c r="M23" s="4">
        <v>62.805500000000002</v>
      </c>
      <c r="N23" s="4">
        <v>77.052199999999999</v>
      </c>
      <c r="O23" s="4">
        <v>93.104699999999994</v>
      </c>
      <c r="P23" s="4">
        <v>42.739899999999999</v>
      </c>
      <c r="Q23" s="4">
        <v>51.368099999999998</v>
      </c>
      <c r="R23" s="4">
        <v>62.805500000000002</v>
      </c>
      <c r="S23" s="4">
        <v>75.848200000000006</v>
      </c>
      <c r="U23" t="e" vm="5">
        <v>#VALUE!</v>
      </c>
      <c r="V23" s="4">
        <v>43.863258145372797</v>
      </c>
      <c r="W23" s="4">
        <v>50.932130325823799</v>
      </c>
      <c r="X23" s="4">
        <v>64.526115288229704</v>
      </c>
      <c r="Y23" s="4">
        <v>79.932631578956304</v>
      </c>
      <c r="Z23" s="4">
        <v>37.700651629082401</v>
      </c>
      <c r="AA23" s="4">
        <v>43.682005012540998</v>
      </c>
      <c r="AB23" s="4">
        <v>55.100952380961999</v>
      </c>
      <c r="AC23" s="4">
        <v>67.788671679207397</v>
      </c>
      <c r="AD23" s="4">
        <v>31.175538847127999</v>
      </c>
      <c r="AE23" s="4">
        <v>35.525614035097902</v>
      </c>
      <c r="AF23" s="4">
        <v>44.225764411037602</v>
      </c>
      <c r="AG23" s="4">
        <v>54.194686716801897</v>
      </c>
    </row>
    <row r="24" spans="7:33" x14ac:dyDescent="0.3">
      <c r="G24" t="s">
        <v>0</v>
      </c>
      <c r="H24">
        <v>2030</v>
      </c>
      <c r="L24">
        <v>2040</v>
      </c>
      <c r="P24">
        <v>2050</v>
      </c>
      <c r="U24" t="s">
        <v>0</v>
      </c>
      <c r="V24">
        <v>2030</v>
      </c>
      <c r="Z24">
        <v>2040</v>
      </c>
      <c r="AD24">
        <v>2050</v>
      </c>
    </row>
    <row r="25" spans="7:33" x14ac:dyDescent="0.3">
      <c r="G25" t="s">
        <v>215</v>
      </c>
      <c r="H25">
        <v>2</v>
      </c>
      <c r="I25">
        <v>4</v>
      </c>
      <c r="J25">
        <v>7</v>
      </c>
      <c r="K25">
        <v>10</v>
      </c>
      <c r="L25">
        <v>2</v>
      </c>
      <c r="M25">
        <v>4</v>
      </c>
      <c r="N25">
        <v>7</v>
      </c>
      <c r="O25">
        <v>10</v>
      </c>
      <c r="P25">
        <v>2</v>
      </c>
      <c r="Q25">
        <v>4</v>
      </c>
      <c r="R25">
        <v>7</v>
      </c>
      <c r="S25">
        <v>10</v>
      </c>
      <c r="U25" t="s">
        <v>215</v>
      </c>
      <c r="V25">
        <v>2</v>
      </c>
      <c r="W25">
        <v>4</v>
      </c>
      <c r="X25">
        <v>7</v>
      </c>
      <c r="Y25">
        <v>10</v>
      </c>
      <c r="Z25">
        <v>2</v>
      </c>
      <c r="AA25">
        <v>4</v>
      </c>
      <c r="AB25">
        <v>7</v>
      </c>
      <c r="AC25">
        <v>10</v>
      </c>
      <c r="AD25">
        <v>2</v>
      </c>
      <c r="AE25">
        <v>4</v>
      </c>
      <c r="AF25">
        <v>7</v>
      </c>
      <c r="AG25">
        <v>10</v>
      </c>
    </row>
    <row r="26" spans="7:33" x14ac:dyDescent="0.3">
      <c r="G26" t="e" vm="1">
        <v>#VALUE!</v>
      </c>
      <c r="H26" s="4">
        <v>57.989800000000002</v>
      </c>
      <c r="I26" s="4">
        <v>69.226500000000001</v>
      </c>
      <c r="J26" s="4">
        <v>83.071899999999999</v>
      </c>
      <c r="K26" s="4">
        <v>98.923699999999997</v>
      </c>
      <c r="L26" s="4">
        <v>46.753</v>
      </c>
      <c r="M26" s="4">
        <v>55.581899999999997</v>
      </c>
      <c r="N26" s="4">
        <v>66.216700000000003</v>
      </c>
      <c r="O26" s="4">
        <v>78.858099999999993</v>
      </c>
      <c r="P26" s="4">
        <v>39.128</v>
      </c>
      <c r="Q26" s="4">
        <v>46.151000000000003</v>
      </c>
      <c r="R26" s="4">
        <v>54.979900000000001</v>
      </c>
      <c r="S26" s="4">
        <v>65.614699999999999</v>
      </c>
      <c r="U26" t="e" vm="1">
        <v>#VALUE!</v>
      </c>
      <c r="V26" s="4">
        <v>45.967639577988002</v>
      </c>
      <c r="W26" s="4">
        <v>52.2943507271182</v>
      </c>
      <c r="X26" s="4">
        <v>64.461102936984105</v>
      </c>
      <c r="Y26" s="4">
        <v>78.452867978329806</v>
      </c>
      <c r="Z26" s="4">
        <v>36.355905332193998</v>
      </c>
      <c r="AA26" s="4">
        <v>41.344273738239004</v>
      </c>
      <c r="AB26" s="4">
        <v>50.834340461934303</v>
      </c>
      <c r="AC26" s="4">
        <v>61.662749928714902</v>
      </c>
      <c r="AD26" s="4">
        <v>30.515864271458401</v>
      </c>
      <c r="AE26" s="4">
        <v>34.530892500714103</v>
      </c>
      <c r="AF26" s="4">
        <v>41.8309438266336</v>
      </c>
      <c r="AG26" s="4">
        <v>50.834340461934303</v>
      </c>
    </row>
    <row r="27" spans="7:33" x14ac:dyDescent="0.3">
      <c r="G27" t="e" vm="2">
        <v>#VALUE!</v>
      </c>
      <c r="H27" s="4">
        <v>53.173999999999999</v>
      </c>
      <c r="I27" s="4">
        <v>64.611400000000003</v>
      </c>
      <c r="J27" s="4">
        <v>78.256100000000004</v>
      </c>
      <c r="K27" s="4">
        <v>94.308599999999998</v>
      </c>
      <c r="L27" s="4">
        <v>43.141199999999998</v>
      </c>
      <c r="M27" s="4">
        <v>51.568800000000003</v>
      </c>
      <c r="N27" s="4">
        <v>62.203600000000002</v>
      </c>
      <c r="O27" s="4">
        <v>74.644300000000001</v>
      </c>
      <c r="P27" s="4">
        <v>35.516199999999998</v>
      </c>
      <c r="Q27" s="4">
        <v>43.141199999999998</v>
      </c>
      <c r="R27" s="4">
        <v>51.368099999999998</v>
      </c>
      <c r="S27" s="4">
        <v>62.002899999999997</v>
      </c>
      <c r="U27" t="e" vm="2">
        <v>#VALUE!</v>
      </c>
      <c r="V27" s="4">
        <v>39.154258340463102</v>
      </c>
      <c r="W27" s="4">
        <v>44.994299401198703</v>
      </c>
      <c r="X27" s="4">
        <v>55.457706301683302</v>
      </c>
      <c r="Y27" s="4">
        <v>67.788671679201002</v>
      </c>
      <c r="Z27" s="4">
        <v>31.367536926149</v>
      </c>
      <c r="AA27" s="4">
        <v>35.869235243799402</v>
      </c>
      <c r="AB27" s="4">
        <v>43.655956658113503</v>
      </c>
      <c r="AC27" s="4">
        <v>53.146023381808803</v>
      </c>
      <c r="AD27" s="4">
        <v>26.014165953808</v>
      </c>
      <c r="AE27" s="4">
        <v>29.542524094669101</v>
      </c>
      <c r="AF27" s="4">
        <v>35.869235243799302</v>
      </c>
      <c r="AG27" s="4">
        <v>43.655956658113503</v>
      </c>
    </row>
    <row r="28" spans="7:33" x14ac:dyDescent="0.3">
      <c r="G28" t="e" vm="3">
        <v>#VALUE!</v>
      </c>
      <c r="H28" s="4">
        <v>47.154299999999999</v>
      </c>
      <c r="I28" s="4">
        <v>57.387799999999999</v>
      </c>
      <c r="J28" s="4">
        <v>69.828500000000005</v>
      </c>
      <c r="K28" s="4">
        <v>83.473200000000006</v>
      </c>
      <c r="L28" s="4">
        <v>38.325400000000002</v>
      </c>
      <c r="M28" s="4">
        <v>45.950400000000002</v>
      </c>
      <c r="N28" s="4">
        <v>55.581899999999997</v>
      </c>
      <c r="O28" s="4">
        <v>66.216700000000003</v>
      </c>
      <c r="P28" s="4">
        <v>31.904399999999999</v>
      </c>
      <c r="Q28" s="4">
        <v>38.325400000000002</v>
      </c>
      <c r="R28" s="4">
        <v>46.151000000000003</v>
      </c>
      <c r="S28" s="4">
        <v>54.979900000000001</v>
      </c>
      <c r="U28" t="e" vm="3">
        <v>#VALUE!</v>
      </c>
      <c r="V28" s="4">
        <v>34.530892500714103</v>
      </c>
      <c r="W28" s="4">
        <v>40.005930995153697</v>
      </c>
      <c r="X28" s="4">
        <v>49.0093276304545</v>
      </c>
      <c r="Y28" s="4">
        <v>59.959404619333696</v>
      </c>
      <c r="Z28" s="4">
        <v>27.839178785287899</v>
      </c>
      <c r="AA28" s="4">
        <v>31.367536926149</v>
      </c>
      <c r="AB28" s="4">
        <v>38.667588252068498</v>
      </c>
      <c r="AC28" s="4">
        <v>46.819312232678598</v>
      </c>
      <c r="AD28" s="4">
        <v>23.200401002512901</v>
      </c>
      <c r="AE28" s="4">
        <v>26.379168520103999</v>
      </c>
      <c r="AF28" s="4">
        <v>31.854207014543601</v>
      </c>
      <c r="AG28" s="4">
        <v>38.545920729969801</v>
      </c>
    </row>
    <row r="29" spans="7:33" x14ac:dyDescent="0.3">
      <c r="G29" t="e" vm="4">
        <v>#VALUE!</v>
      </c>
      <c r="H29" s="4">
        <v>38.927399999999999</v>
      </c>
      <c r="I29" s="4">
        <v>46.753</v>
      </c>
      <c r="J29" s="4">
        <v>56.183900000000001</v>
      </c>
      <c r="K29" s="4">
        <v>66.818700000000007</v>
      </c>
      <c r="L29" s="4">
        <v>31.302399999999999</v>
      </c>
      <c r="M29" s="4">
        <v>37.121499999999997</v>
      </c>
      <c r="N29" s="4">
        <v>44.746400000000001</v>
      </c>
      <c r="O29" s="4">
        <v>53.173999999999999</v>
      </c>
      <c r="P29" s="4">
        <v>25.684100000000001</v>
      </c>
      <c r="Q29" s="4">
        <v>30.700500000000002</v>
      </c>
      <c r="R29" s="4">
        <v>37.121499999999997</v>
      </c>
      <c r="S29" s="4">
        <v>44.345100000000002</v>
      </c>
      <c r="U29" t="e" vm="4">
        <v>#VALUE!</v>
      </c>
      <c r="V29" s="4">
        <v>29.7255137844693</v>
      </c>
      <c r="W29" s="4">
        <v>34.256842105271303</v>
      </c>
      <c r="X29" s="4">
        <v>41.869473684218597</v>
      </c>
      <c r="Y29" s="4">
        <v>51.475889724318698</v>
      </c>
      <c r="Z29" s="4">
        <v>23.562907268179099</v>
      </c>
      <c r="AA29" s="4">
        <v>27.369223057652601</v>
      </c>
      <c r="AB29" s="4">
        <v>33.350576441111201</v>
      </c>
      <c r="AC29" s="4">
        <v>40.056942355898101</v>
      </c>
      <c r="AD29" s="4">
        <v>19.5753383458736</v>
      </c>
      <c r="AE29" s="4">
        <v>22.590326835052899</v>
      </c>
      <c r="AF29" s="4">
        <v>27.369223057652999</v>
      </c>
      <c r="AG29" s="4">
        <v>33.350576441111599</v>
      </c>
    </row>
    <row r="30" spans="7:33" x14ac:dyDescent="0.3">
      <c r="G30" t="e" vm="5">
        <v>#VALUE!</v>
      </c>
      <c r="H30" s="4">
        <v>35.917499999999997</v>
      </c>
      <c r="I30" s="4">
        <v>43.743099999999998</v>
      </c>
      <c r="J30" s="4">
        <v>52.7727</v>
      </c>
      <c r="K30" s="4">
        <v>63.206800000000001</v>
      </c>
      <c r="L30" s="4">
        <v>28.693899999999999</v>
      </c>
      <c r="M30" s="4">
        <v>34.7136</v>
      </c>
      <c r="N30" s="4">
        <v>41.937199999999997</v>
      </c>
      <c r="O30" s="4">
        <v>50.164200000000001</v>
      </c>
      <c r="P30" s="4">
        <v>24.078800000000001</v>
      </c>
      <c r="Q30" s="4">
        <v>28.894600000000001</v>
      </c>
      <c r="R30" s="4">
        <v>34.914299999999997</v>
      </c>
      <c r="S30" s="4">
        <v>41.937199999999997</v>
      </c>
      <c r="U30" t="e" vm="5">
        <v>#VALUE!</v>
      </c>
      <c r="V30" s="4">
        <v>26.4629573934943</v>
      </c>
      <c r="W30" s="4">
        <v>30.0880200501358</v>
      </c>
      <c r="X30" s="4">
        <v>36.975639097754801</v>
      </c>
      <c r="Y30" s="4">
        <v>45.132030075198401</v>
      </c>
      <c r="Z30" s="4">
        <v>21.0253634085323</v>
      </c>
      <c r="AA30" s="4">
        <v>23.7441604010133</v>
      </c>
      <c r="AB30" s="4">
        <v>29.1817543859758</v>
      </c>
      <c r="AC30" s="4">
        <v>35.525614035098599</v>
      </c>
      <c r="AD30" s="4">
        <v>17.400300751891098</v>
      </c>
      <c r="AE30" s="4">
        <v>19.575338345875799</v>
      </c>
      <c r="AF30" s="4">
        <v>24.28791979951</v>
      </c>
      <c r="AG30" s="4">
        <v>29.181754385976099</v>
      </c>
    </row>
    <row r="31" spans="7:33" ht="15" thickBot="1" x14ac:dyDescent="0.35"/>
    <row r="32" spans="7:33" ht="18.600000000000001" customHeight="1" thickBot="1" x14ac:dyDescent="0.35">
      <c r="G32" s="289" t="s">
        <v>0</v>
      </c>
      <c r="H32" s="338" t="s">
        <v>378</v>
      </c>
      <c r="I32" s="339"/>
      <c r="J32" s="339"/>
      <c r="K32" s="339"/>
      <c r="L32" s="339"/>
      <c r="M32" s="339"/>
      <c r="N32" s="339"/>
      <c r="O32" s="339"/>
      <c r="P32" s="339"/>
      <c r="Q32" s="339"/>
      <c r="R32" s="339"/>
      <c r="S32" s="340"/>
      <c r="U32" s="289" t="s">
        <v>0</v>
      </c>
      <c r="V32" s="338" t="s">
        <v>378</v>
      </c>
      <c r="W32" s="339"/>
      <c r="X32" s="339"/>
      <c r="Y32" s="339"/>
      <c r="Z32" s="339"/>
      <c r="AA32" s="339"/>
      <c r="AB32" s="339"/>
      <c r="AC32" s="339"/>
      <c r="AD32" s="339"/>
      <c r="AE32" s="339"/>
      <c r="AF32" s="339"/>
      <c r="AG32" s="340"/>
    </row>
    <row r="33" spans="7:33" ht="18.600000000000001" customHeight="1" thickBot="1" x14ac:dyDescent="0.4">
      <c r="G33" s="344"/>
      <c r="H33" s="380" t="s">
        <v>206</v>
      </c>
      <c r="I33" s="381"/>
      <c r="J33" s="381"/>
      <c r="K33" s="381"/>
      <c r="L33" s="381"/>
      <c r="M33" s="381"/>
      <c r="N33" s="381"/>
      <c r="O33" s="381"/>
      <c r="P33" s="381"/>
      <c r="Q33" s="381"/>
      <c r="R33" s="381"/>
      <c r="S33" s="382"/>
      <c r="U33" s="344"/>
      <c r="V33" s="380" t="s">
        <v>206</v>
      </c>
      <c r="W33" s="381"/>
      <c r="X33" s="381"/>
      <c r="Y33" s="381"/>
      <c r="Z33" s="381"/>
      <c r="AA33" s="381"/>
      <c r="AB33" s="381"/>
      <c r="AC33" s="381"/>
      <c r="AD33" s="381"/>
      <c r="AE33" s="381"/>
      <c r="AF33" s="381"/>
      <c r="AG33" s="382"/>
    </row>
    <row r="34" spans="7:33" ht="21" customHeight="1" thickBot="1" x14ac:dyDescent="0.35">
      <c r="G34" s="344"/>
      <c r="H34" s="404" t="s">
        <v>208</v>
      </c>
      <c r="I34" s="405"/>
      <c r="J34" s="405"/>
      <c r="K34" s="405"/>
      <c r="L34" s="405"/>
      <c r="M34" s="405"/>
      <c r="N34" s="405"/>
      <c r="O34" s="405"/>
      <c r="P34" s="405"/>
      <c r="Q34" s="405"/>
      <c r="R34" s="405"/>
      <c r="S34" s="406"/>
      <c r="U34" s="344"/>
      <c r="V34" s="368" t="s">
        <v>210</v>
      </c>
      <c r="W34" s="369"/>
      <c r="X34" s="369"/>
      <c r="Y34" s="369"/>
      <c r="Z34" s="369"/>
      <c r="AA34" s="369"/>
      <c r="AB34" s="369"/>
      <c r="AC34" s="369"/>
      <c r="AD34" s="369"/>
      <c r="AE34" s="369"/>
      <c r="AF34" s="369"/>
      <c r="AG34" s="370"/>
    </row>
    <row r="35" spans="7:33" ht="15" customHeight="1" thickBot="1" x14ac:dyDescent="0.35">
      <c r="G35" s="344"/>
      <c r="H35" s="401" t="s">
        <v>214</v>
      </c>
      <c r="I35" s="402"/>
      <c r="J35" s="403"/>
      <c r="K35" s="401" t="s">
        <v>211</v>
      </c>
      <c r="L35" s="402"/>
      <c r="M35" s="403"/>
      <c r="N35" s="401" t="s">
        <v>212</v>
      </c>
      <c r="O35" s="402"/>
      <c r="P35" s="403"/>
      <c r="Q35" s="401" t="s">
        <v>213</v>
      </c>
      <c r="R35" s="402"/>
      <c r="S35" s="403"/>
      <c r="U35" s="344"/>
      <c r="V35" s="398" t="s">
        <v>214</v>
      </c>
      <c r="W35" s="399"/>
      <c r="X35" s="400"/>
      <c r="Y35" s="398" t="s">
        <v>211</v>
      </c>
      <c r="Z35" s="399"/>
      <c r="AA35" s="400"/>
      <c r="AB35" s="398" t="s">
        <v>212</v>
      </c>
      <c r="AC35" s="399"/>
      <c r="AD35" s="400"/>
      <c r="AE35" s="398" t="s">
        <v>213</v>
      </c>
      <c r="AF35" s="399"/>
      <c r="AG35" s="400"/>
    </row>
    <row r="36" spans="7:33" ht="16.8" customHeight="1" thickBot="1" x14ac:dyDescent="0.35">
      <c r="G36" s="290"/>
      <c r="H36" s="180" t="s">
        <v>218</v>
      </c>
      <c r="I36" s="183" t="s">
        <v>219</v>
      </c>
      <c r="J36" s="184" t="s">
        <v>134</v>
      </c>
      <c r="K36" s="180" t="s">
        <v>218</v>
      </c>
      <c r="L36" s="183" t="s">
        <v>219</v>
      </c>
      <c r="M36" s="184" t="s">
        <v>134</v>
      </c>
      <c r="N36" s="180" t="s">
        <v>218</v>
      </c>
      <c r="O36" s="183" t="s">
        <v>219</v>
      </c>
      <c r="P36" s="184" t="s">
        <v>134</v>
      </c>
      <c r="Q36" s="180" t="s">
        <v>218</v>
      </c>
      <c r="R36" s="183" t="s">
        <v>219</v>
      </c>
      <c r="S36" s="184" t="s">
        <v>134</v>
      </c>
      <c r="U36" s="290"/>
      <c r="V36" s="179" t="s">
        <v>218</v>
      </c>
      <c r="W36" s="185" t="s">
        <v>219</v>
      </c>
      <c r="X36" s="186" t="s">
        <v>134</v>
      </c>
      <c r="Y36" s="179" t="s">
        <v>218</v>
      </c>
      <c r="Z36" s="185" t="s">
        <v>219</v>
      </c>
      <c r="AA36" s="186" t="s">
        <v>134</v>
      </c>
      <c r="AB36" s="179" t="s">
        <v>218</v>
      </c>
      <c r="AC36" s="185" t="s">
        <v>219</v>
      </c>
      <c r="AD36" s="186" t="s">
        <v>134</v>
      </c>
      <c r="AE36" s="179" t="s">
        <v>218</v>
      </c>
      <c r="AF36" s="185" t="s">
        <v>219</v>
      </c>
      <c r="AG36" s="186" t="s">
        <v>134</v>
      </c>
    </row>
    <row r="37" spans="7:33" x14ac:dyDescent="0.3">
      <c r="G37" s="52">
        <v>2017</v>
      </c>
      <c r="H37" s="122">
        <f>MIN(H50:H54)</f>
        <v>43.465251414030298</v>
      </c>
      <c r="I37" s="125">
        <f>AVERAGE(H50:H54)</f>
        <v>58.118146036825898</v>
      </c>
      <c r="J37" s="126">
        <f>MAX(H50:H54)</f>
        <v>75.622742718716296</v>
      </c>
      <c r="K37" s="122">
        <f>MIN(I50:I54)</f>
        <v>63.0766113550822</v>
      </c>
      <c r="L37" s="125">
        <f>AVERAGE(I50:I54)</f>
        <v>80.982368999324962</v>
      </c>
      <c r="M37" s="126">
        <f>MAX(I50:I54)</f>
        <v>96.365683575025301</v>
      </c>
      <c r="N37" s="122">
        <f>MIN(J50:J54)</f>
        <v>82.200120928240906</v>
      </c>
      <c r="O37" s="125">
        <f>AVERAGE(J50:J54)</f>
        <v>117.21131232855058</v>
      </c>
      <c r="P37" s="126">
        <f>MAX(J50:J54)</f>
        <v>175.56800000000001</v>
      </c>
      <c r="Q37" s="122">
        <f>MIN(K50:K54)</f>
        <v>105.82899999999999</v>
      </c>
      <c r="R37" s="125">
        <f>AVERAGE(K50:K54)</f>
        <v>141.79442117041978</v>
      </c>
      <c r="S37" s="126">
        <f>MAX(K50:K54)</f>
        <v>184.34110585209899</v>
      </c>
      <c r="U37" s="52">
        <v>2017</v>
      </c>
      <c r="V37" s="122">
        <f>MIN(V50:V54)</f>
        <v>35.328632880098802</v>
      </c>
      <c r="W37" s="125">
        <f>AVERAGE(V50:V54)</f>
        <v>47.417160407473204</v>
      </c>
      <c r="X37" s="126">
        <f>MAX(V50:V54)</f>
        <v>61.641674309482198</v>
      </c>
      <c r="Y37" s="122">
        <f>MIN(W50:W54)</f>
        <v>41.908054388133401</v>
      </c>
      <c r="Z37" s="125">
        <f>AVERAGE(W50:W54)</f>
        <v>55.873411452049837</v>
      </c>
      <c r="AA37" s="126">
        <f>MAX(W50:W54)</f>
        <v>72.599926982760493</v>
      </c>
      <c r="AB37" s="122">
        <f>MIN(X50:X54)</f>
        <v>53.064464771322598</v>
      </c>
      <c r="AC37" s="125">
        <f>AVERAGE(X50:X54)</f>
        <v>71.032302750308659</v>
      </c>
      <c r="AD37" s="126">
        <f>MAX(X50:X54)</f>
        <v>92.065244231346895</v>
      </c>
      <c r="AE37" s="122">
        <f>MIN(Y50:Y54)</f>
        <v>66.080276885043205</v>
      </c>
      <c r="AF37" s="125">
        <f>AVERAGE(Y50:Y54)</f>
        <v>88.69326676230726</v>
      </c>
      <c r="AG37" s="126">
        <f>MAX(Y50:Y54)</f>
        <v>115.56896909765101</v>
      </c>
    </row>
    <row r="38" spans="7:33" x14ac:dyDescent="0.3">
      <c r="G38" s="24">
        <v>2020</v>
      </c>
      <c r="H38" s="123">
        <f>MIN(L50:L54)</f>
        <v>37.549486504205902</v>
      </c>
      <c r="I38" s="127">
        <f>AVERAGE(L50:L54)</f>
        <v>50.260796746341256</v>
      </c>
      <c r="J38" s="128">
        <f>MAX(L50:L54)</f>
        <v>65.156389416719406</v>
      </c>
      <c r="K38" s="123">
        <f>MIN(M50:M54)</f>
        <v>54.341181056231797</v>
      </c>
      <c r="L38" s="127">
        <f>AVERAGE(M50:M54)</f>
        <v>69.7173579903708</v>
      </c>
      <c r="M38" s="128">
        <f>MAX(M50:M54)</f>
        <v>82.908399060580194</v>
      </c>
      <c r="N38" s="123">
        <f>MIN(N50:N54)</f>
        <v>69.923299967694604</v>
      </c>
      <c r="O38" s="127">
        <f>AVERAGE(N50:N54)</f>
        <v>94.713034599567052</v>
      </c>
      <c r="P38" s="128">
        <f>MAX(N50:N54)</f>
        <v>124.22462344703401</v>
      </c>
      <c r="Q38" s="123">
        <f>MIN(O50:O54)</f>
        <v>90.121799999999993</v>
      </c>
      <c r="R38" s="127">
        <f>AVERAGE(O50:O54)</f>
        <v>120.56380642261578</v>
      </c>
      <c r="S38" s="128">
        <f>MAX(O50:O54)</f>
        <v>156.33323211307899</v>
      </c>
      <c r="U38" s="24">
        <v>2020</v>
      </c>
      <c r="V38" s="123">
        <f>MIN(Z50:Z54)</f>
        <v>30.6086131025958</v>
      </c>
      <c r="W38" s="127">
        <f>AVERAGE(Z50:Z54)</f>
        <v>41.031658031847037</v>
      </c>
      <c r="X38" s="128">
        <f>MAX(Z50:Z54)</f>
        <v>53.2787972693488</v>
      </c>
      <c r="Y38" s="123">
        <f>MIN(AA50:AA54)</f>
        <v>35.614694684796</v>
      </c>
      <c r="Z38" s="127">
        <f>AVERAGE(AA50:AA54)</f>
        <v>47.935078901276057</v>
      </c>
      <c r="AA38" s="128">
        <f>MAX(AA50:AA54)</f>
        <v>62.362611985355798</v>
      </c>
      <c r="AB38" s="123">
        <f>MIN(AB50:AB54)</f>
        <v>45.054734239802201</v>
      </c>
      <c r="AC38" s="127">
        <f>AVERAGE(AB50:AB54)</f>
        <v>60.475846249379323</v>
      </c>
      <c r="AD38" s="128">
        <f>MAX(AB50:AB54)</f>
        <v>78.655803460098397</v>
      </c>
      <c r="AE38" s="123">
        <f>MIN(AC50:AC54)</f>
        <v>55.925082818294101</v>
      </c>
      <c r="AF38" s="127">
        <f>AVERAGE(AC50:AC54)</f>
        <v>75.001543725023879</v>
      </c>
      <c r="AG38" s="128">
        <f>MAX(AC50:AC54)</f>
        <v>97.544370567985993</v>
      </c>
    </row>
    <row r="39" spans="7:33" x14ac:dyDescent="0.3">
      <c r="G39" s="24">
        <v>2025</v>
      </c>
      <c r="H39" s="123">
        <f>MIN(P50:P54)</f>
        <v>30.723603915947098</v>
      </c>
      <c r="I39" s="127">
        <f>AVERAGE(P50:P54)</f>
        <v>41.250631729839604</v>
      </c>
      <c r="J39" s="128">
        <f>MAX(P50:P54)</f>
        <v>53.779918436288</v>
      </c>
      <c r="K39" s="123">
        <f>MIN(Q50:Q54)</f>
        <v>43.7170090711436</v>
      </c>
      <c r="L39" s="127">
        <f>AVERAGE(Q50:Q54)</f>
        <v>56.315637941519938</v>
      </c>
      <c r="M39" s="128">
        <f>MAX(Q50:Q54)</f>
        <v>66.854094727558007</v>
      </c>
      <c r="N39" s="123">
        <f>MIN(R50:R54)</f>
        <v>55.993830031690003</v>
      </c>
      <c r="O39" s="127">
        <f>AVERAGE(R50:R54)</f>
        <v>76.297803158747513</v>
      </c>
      <c r="P39" s="128">
        <f>MAX(R50:R54)</f>
        <v>100.143166947501</v>
      </c>
      <c r="Q39" s="123">
        <f>MIN(S50:S54)</f>
        <v>72.254599999999996</v>
      </c>
      <c r="R39" s="127">
        <f>AVERAGE(S50:S54)</f>
        <v>96.738638858030598</v>
      </c>
      <c r="S39" s="128">
        <f>MAX(S50:S54)</f>
        <v>125.16899429015299</v>
      </c>
      <c r="U39" s="24">
        <v>2025</v>
      </c>
      <c r="V39" s="123">
        <f>MIN(AD50:AD54)</f>
        <v>25.030407911001198</v>
      </c>
      <c r="W39" s="127">
        <f>AVERAGE(AD50:AD54)</f>
        <v>33.438218932666437</v>
      </c>
      <c r="X39" s="128">
        <f>MAX(AD50:AD54)</f>
        <v>43.474044877468202</v>
      </c>
      <c r="Y39" s="123">
        <f>MIN(AE50:AE54)</f>
        <v>29.178304079109999</v>
      </c>
      <c r="Z39" s="127">
        <f>AVERAGE(AE50:AE54)</f>
        <v>38.989515543366302</v>
      </c>
      <c r="AA39" s="128">
        <f>MAX(AE50:AE54)</f>
        <v>50.827609171378597</v>
      </c>
      <c r="AB39" s="123">
        <f>MIN(AF50:AF54)</f>
        <v>36.329849196538902</v>
      </c>
      <c r="AC39" s="127">
        <f>AVERAGE(AF50:AF54)</f>
        <v>48.740215832602196</v>
      </c>
      <c r="AD39" s="128">
        <f>MAX(AF50:AF54)</f>
        <v>63.516112266753503</v>
      </c>
      <c r="AE39" s="123">
        <f>MIN(AG50:AG54)</f>
        <v>44.768672435105003</v>
      </c>
      <c r="AF39" s="127">
        <f>AVERAGE(AG50:AG54)</f>
        <v>59.98699658917667</v>
      </c>
      <c r="AG39" s="128">
        <f>MAX(AG50:AG54)</f>
        <v>77.934865784224897</v>
      </c>
    </row>
    <row r="40" spans="7:33" x14ac:dyDescent="0.3">
      <c r="G40" s="24">
        <v>2030</v>
      </c>
      <c r="H40" s="123">
        <f>MIN(H57:H61)</f>
        <v>26.173015523774598</v>
      </c>
      <c r="I40" s="127">
        <f>AVERAGE(H57:H61)</f>
        <v>34.879807980798063</v>
      </c>
      <c r="J40" s="128">
        <f>MAX(H57:H61)</f>
        <v>45.588859330377403</v>
      </c>
      <c r="K40" s="123">
        <f>MIN(I57:I61)</f>
        <v>36.398135036971702</v>
      </c>
      <c r="L40" s="127">
        <f>AVERAGE(I57:I61)</f>
        <v>47.164468866564533</v>
      </c>
      <c r="M40" s="128">
        <f>MAX(I57:I61)</f>
        <v>56.229922742469697</v>
      </c>
      <c r="N40" s="123">
        <f>MIN(J57:J61)</f>
        <v>46.550121600500397</v>
      </c>
      <c r="O40" s="127">
        <f>AVERAGE(J57:J61)</f>
        <v>63.548796776641645</v>
      </c>
      <c r="P40" s="128">
        <f>MAX(J57:J61)</f>
        <v>83.616677192919497</v>
      </c>
      <c r="Q40" s="123">
        <f>MIN(K57:K61)</f>
        <v>59.884900000000002</v>
      </c>
      <c r="R40" s="127">
        <f>AVERAGE(K57:K61)</f>
        <v>80.362808606151205</v>
      </c>
      <c r="S40" s="128">
        <f>MAX(K57:K61)</f>
        <v>104.156743030756</v>
      </c>
      <c r="U40" s="24">
        <v>2030</v>
      </c>
      <c r="V40" s="123">
        <f>MIN(V57:V61)</f>
        <v>21.025542645241</v>
      </c>
      <c r="W40" s="127">
        <f>AVERAGE(V57:V61)</f>
        <v>28.345012777574237</v>
      </c>
      <c r="X40" s="128">
        <f>MAX(V57:V61)</f>
        <v>36.985605794606101</v>
      </c>
      <c r="Y40" s="123">
        <f>MIN(W57:W61)</f>
        <v>24.458284301606898</v>
      </c>
      <c r="Z40" s="127">
        <f>AVERAGE(W57:W61)</f>
        <v>32.680738888067218</v>
      </c>
      <c r="AA40" s="128">
        <f>MAX(W57:W61)</f>
        <v>42.464732131245199</v>
      </c>
      <c r="AB40" s="123">
        <f>MIN(X57:X61)</f>
        <v>30.17952039555</v>
      </c>
      <c r="AC40" s="127">
        <f>AVERAGE(X57:X61)</f>
        <v>40.463780228535356</v>
      </c>
      <c r="AD40" s="128">
        <f>MAX(X57:X61)</f>
        <v>52.5578595934752</v>
      </c>
      <c r="AE40" s="123">
        <f>MIN(Y57:Y61)</f>
        <v>37.045003708281797</v>
      </c>
      <c r="AF40" s="127">
        <f>AVERAGE(Y57:Y61)</f>
        <v>49.653150943324157</v>
      </c>
      <c r="AG40" s="128">
        <f>MAX(Y57:Y61)</f>
        <v>64.525425012976498</v>
      </c>
    </row>
    <row r="41" spans="7:33" x14ac:dyDescent="0.3">
      <c r="G41" s="24">
        <v>2040</v>
      </c>
      <c r="H41" s="123">
        <f>MIN(L57:L61)</f>
        <v>20.712309453167499</v>
      </c>
      <c r="I41" s="127">
        <f>AVERAGE(L57:L61)</f>
        <v>27.811227344956677</v>
      </c>
      <c r="J41" s="128">
        <f>MAX(L57:L61)</f>
        <v>36.184309986554197</v>
      </c>
      <c r="K41" s="123">
        <f>MIN(M57:M61)</f>
        <v>28.134890159680801</v>
      </c>
      <c r="L41" s="127">
        <f>AVERAGE(M57:M61)</f>
        <v>37.064475957410544</v>
      </c>
      <c r="M41" s="128">
        <f>MAX(M57:M61)</f>
        <v>44.425287203482803</v>
      </c>
      <c r="N41" s="123">
        <f>MIN(N57:N61)</f>
        <v>36.162042326191902</v>
      </c>
      <c r="O41" s="127">
        <f>AVERAGE(N57:N61)</f>
        <v>49.855419551416766</v>
      </c>
      <c r="P41" s="128">
        <f>MAX(N57:N61)</f>
        <v>65.909723884439003</v>
      </c>
      <c r="Q41" s="123">
        <f>MIN(O57:O61)</f>
        <v>47.122500000000002</v>
      </c>
      <c r="R41" s="127">
        <f>AVERAGE(O57:O61)</f>
        <v>63.028228559180356</v>
      </c>
      <c r="S41" s="128">
        <f>MAX(O57:O61)</f>
        <v>81.491842795901803</v>
      </c>
      <c r="U41" s="24">
        <v>2040</v>
      </c>
      <c r="V41" s="123">
        <f>MIN(Z57:Z61)</f>
        <v>16.7346155747836</v>
      </c>
      <c r="W41" s="127">
        <f>AVERAGE(Z57:Z61)</f>
        <v>22.601569333369302</v>
      </c>
      <c r="X41" s="128">
        <f>MAX(Z57:Z61)</f>
        <v>29.3436664303462</v>
      </c>
      <c r="Y41" s="123">
        <f>MIN(AA57:AA61)</f>
        <v>19.309171817058001</v>
      </c>
      <c r="Z41" s="127">
        <f>AVERAGE(AA57:AA61)</f>
        <v>25.945805686032099</v>
      </c>
      <c r="AA41" s="128">
        <f>MAX(AA57:AA61)</f>
        <v>33.755292954264497</v>
      </c>
      <c r="AB41" s="123">
        <f>MIN(AB57:AB61)</f>
        <v>23.743129789864</v>
      </c>
      <c r="AC41" s="127">
        <f>AVERAGE(AB57:AB61)</f>
        <v>31.876758589567224</v>
      </c>
      <c r="AD41" s="128">
        <f>MAX(AB57:AB61)</f>
        <v>41.311231849847502</v>
      </c>
      <c r="AE41" s="123">
        <f>MIN(AC57:AC61)</f>
        <v>29.178304079109999</v>
      </c>
      <c r="AF41" s="127">
        <f>AVERAGE(AC57:AC61)</f>
        <v>38.99885053388396</v>
      </c>
      <c r="AG41" s="128">
        <f>MAX(AC57:AC61)</f>
        <v>50.683421636203903</v>
      </c>
    </row>
    <row r="42" spans="7:33" ht="15" thickBot="1" x14ac:dyDescent="0.35">
      <c r="G42" s="25">
        <v>2050</v>
      </c>
      <c r="H42" s="124">
        <f>MIN(P57:P61)</f>
        <v>17.071838739429399</v>
      </c>
      <c r="I42" s="129">
        <f>AVERAGE(P57:P61)</f>
        <v>23.07861541709724</v>
      </c>
      <c r="J42" s="130">
        <f>MAX(P57:P61)</f>
        <v>30.2685450767299</v>
      </c>
      <c r="K42" s="124">
        <f>MIN(Q57:Q61)</f>
        <v>22.940850522526599</v>
      </c>
      <c r="L42" s="129">
        <f>AVERAGE(Q57:Q61)</f>
        <v>30.506755889812837</v>
      </c>
      <c r="M42" s="130">
        <f>MAX(Q57:Q61)</f>
        <v>36.398135036971702</v>
      </c>
      <c r="N42" s="124">
        <f>MIN(R57:R61)</f>
        <v>29.315353713579398</v>
      </c>
      <c r="O42" s="129">
        <f>AVERAGE(R57:R61)</f>
        <v>40.836677999630737</v>
      </c>
      <c r="P42" s="130">
        <f>MAX(R57:R61)</f>
        <v>54.105088345452103</v>
      </c>
      <c r="Q42" s="124">
        <f>MIN(S57:S61)</f>
        <v>38.876100000000001</v>
      </c>
      <c r="R42" s="129">
        <f>AVERAGE(S57:S61)</f>
        <v>52.097777487667543</v>
      </c>
      <c r="S42" s="130">
        <f>MAX(S57:S61)</f>
        <v>67.090187438337693</v>
      </c>
      <c r="U42" s="25">
        <v>2050</v>
      </c>
      <c r="V42" s="124">
        <f>MIN(AD57:AD61)</f>
        <v>13.873997527812</v>
      </c>
      <c r="W42" s="129">
        <f>AVERAGE(AD57:AD61)</f>
        <v>18.753073597122359</v>
      </c>
      <c r="X42" s="130">
        <f>MAX(AD57:AD61)</f>
        <v>24.2971026992312</v>
      </c>
      <c r="Y42" s="124">
        <f>MIN(AE57:AE61)</f>
        <v>16.019461063040701</v>
      </c>
      <c r="Z42" s="129">
        <f>AVERAGE(AE57:AE61)</f>
        <v>21.540453893695862</v>
      </c>
      <c r="AA42" s="130">
        <f>MAX(AE57:AE61)</f>
        <v>28.0340568603213</v>
      </c>
      <c r="AB42" s="124">
        <f>MIN(AF57:AF61)</f>
        <v>19.738264524103801</v>
      </c>
      <c r="AC42" s="129">
        <f>AVERAGE(AF57:AF61)</f>
        <v>26.39192740241586</v>
      </c>
      <c r="AD42" s="130">
        <f>MAX(AF57:AF61)</f>
        <v>34.390230161461197</v>
      </c>
      <c r="AE42" s="124">
        <f>MIN(AG57:AG61)</f>
        <v>24.029191594561102</v>
      </c>
      <c r="AF42" s="129">
        <f>AVERAGE(AG57:AG61)</f>
        <v>32.106764666151058</v>
      </c>
      <c r="AG42" s="130">
        <f>MAX(AG57:AG61)</f>
        <v>41.743794455371599</v>
      </c>
    </row>
    <row r="43" spans="7:33" ht="16.2" x14ac:dyDescent="0.3">
      <c r="G43" t="s">
        <v>221</v>
      </c>
      <c r="U43" t="s">
        <v>221</v>
      </c>
    </row>
    <row r="44" spans="7:33" ht="16.2" x14ac:dyDescent="0.3">
      <c r="G44" t="s">
        <v>220</v>
      </c>
      <c r="U44" t="s">
        <v>220</v>
      </c>
    </row>
    <row r="45" spans="7:33" ht="16.2" x14ac:dyDescent="0.3">
      <c r="G45" t="s">
        <v>222</v>
      </c>
      <c r="U45" t="s">
        <v>222</v>
      </c>
    </row>
    <row r="47" spans="7:33" x14ac:dyDescent="0.3">
      <c r="G47" t="s">
        <v>216</v>
      </c>
      <c r="H47" t="s">
        <v>217</v>
      </c>
      <c r="U47" t="s">
        <v>216</v>
      </c>
      <c r="V47" t="s">
        <v>217</v>
      </c>
    </row>
    <row r="48" spans="7:33" x14ac:dyDescent="0.3">
      <c r="G48" t="s">
        <v>0</v>
      </c>
      <c r="H48">
        <v>2017</v>
      </c>
      <c r="L48">
        <v>2020</v>
      </c>
      <c r="P48">
        <v>2025</v>
      </c>
      <c r="U48" t="s">
        <v>0</v>
      </c>
      <c r="V48">
        <v>2017</v>
      </c>
      <c r="Z48">
        <v>2020</v>
      </c>
      <c r="AD48">
        <v>2025</v>
      </c>
    </row>
    <row r="49" spans="1:33" x14ac:dyDescent="0.3">
      <c r="G49" t="s">
        <v>215</v>
      </c>
      <c r="H49">
        <v>2</v>
      </c>
      <c r="I49">
        <v>4</v>
      </c>
      <c r="J49">
        <v>7</v>
      </c>
      <c r="K49">
        <v>10</v>
      </c>
      <c r="L49">
        <v>2</v>
      </c>
      <c r="M49">
        <v>4</v>
      </c>
      <c r="N49">
        <v>7</v>
      </c>
      <c r="O49">
        <v>10</v>
      </c>
      <c r="P49">
        <v>2</v>
      </c>
      <c r="Q49">
        <v>4</v>
      </c>
      <c r="R49">
        <v>7</v>
      </c>
      <c r="S49">
        <v>10</v>
      </c>
      <c r="U49" t="s">
        <v>215</v>
      </c>
      <c r="V49">
        <v>2</v>
      </c>
      <c r="W49">
        <v>4</v>
      </c>
      <c r="X49">
        <v>7</v>
      </c>
      <c r="Y49">
        <v>10</v>
      </c>
      <c r="Z49">
        <v>2</v>
      </c>
      <c r="AA49">
        <v>4</v>
      </c>
      <c r="AB49">
        <v>7</v>
      </c>
      <c r="AC49">
        <v>10</v>
      </c>
      <c r="AD49">
        <v>2</v>
      </c>
      <c r="AE49">
        <v>4</v>
      </c>
      <c r="AF49">
        <v>7</v>
      </c>
      <c r="AG49">
        <v>10</v>
      </c>
    </row>
    <row r="50" spans="1:33" x14ac:dyDescent="0.3">
      <c r="G50" t="e" vm="1">
        <v>#VALUE!</v>
      </c>
      <c r="H50" s="4">
        <v>75.622742718716296</v>
      </c>
      <c r="I50" s="4">
        <v>88.388182244207201</v>
      </c>
      <c r="J50" s="4">
        <v>175.56800000000001</v>
      </c>
      <c r="K50" s="4">
        <v>184.34110585209899</v>
      </c>
      <c r="L50" s="4">
        <v>65.156389416719406</v>
      </c>
      <c r="M50" s="4">
        <v>76.212464115247698</v>
      </c>
      <c r="N50" s="4">
        <v>124.22462344703401</v>
      </c>
      <c r="O50" s="4">
        <v>156.33323211307899</v>
      </c>
      <c r="P50" s="4">
        <v>53.779918436288</v>
      </c>
      <c r="Q50" s="4">
        <v>62.088631085654697</v>
      </c>
      <c r="R50">
        <v>100.143166947501</v>
      </c>
      <c r="S50" s="4">
        <v>125.16899429015299</v>
      </c>
      <c r="U50" t="e" vm="1">
        <v>#VALUE!</v>
      </c>
      <c r="V50" s="4">
        <v>61.641674309482198</v>
      </c>
      <c r="W50" s="4">
        <v>72.599926982760493</v>
      </c>
      <c r="X50" s="4">
        <v>92.065244231346895</v>
      </c>
      <c r="Y50" s="4">
        <v>115.56896909765101</v>
      </c>
      <c r="Z50" s="4">
        <v>53.2787972693488</v>
      </c>
      <c r="AA50" s="4">
        <v>62.362611985355798</v>
      </c>
      <c r="AB50" s="4">
        <v>78.655803460098397</v>
      </c>
      <c r="AC50" s="4">
        <v>97.544370567985993</v>
      </c>
      <c r="AD50" s="4">
        <v>43.474044877468202</v>
      </c>
      <c r="AE50" s="4">
        <v>50.827609171378597</v>
      </c>
      <c r="AF50" s="4">
        <v>63.516112266753503</v>
      </c>
      <c r="AG50" s="4">
        <v>77.934865784224897</v>
      </c>
    </row>
    <row r="51" spans="1:33" x14ac:dyDescent="0.3">
      <c r="G51" t="e" vm="2">
        <v>#VALUE!</v>
      </c>
      <c r="H51" s="4">
        <v>64.701330577502205</v>
      </c>
      <c r="I51" s="4">
        <v>96.365683575025301</v>
      </c>
      <c r="J51" s="4">
        <v>124.46071615781401</v>
      </c>
      <c r="K51" s="4">
        <v>158.05699999999999</v>
      </c>
      <c r="L51" s="4">
        <v>56.206898912113402</v>
      </c>
      <c r="M51" s="4">
        <v>82.908399060580194</v>
      </c>
      <c r="N51" s="4">
        <v>106.517670138554</v>
      </c>
      <c r="O51" s="4">
        <v>134.88800000000001</v>
      </c>
      <c r="P51" s="4">
        <v>46.1956044493338</v>
      </c>
      <c r="Q51" s="4">
        <v>66.854094727558007</v>
      </c>
      <c r="R51" s="4">
        <v>85.505418879157403</v>
      </c>
      <c r="S51" s="4">
        <v>108.38200000000001</v>
      </c>
      <c r="U51" t="e" vm="2">
        <v>#VALUE!</v>
      </c>
      <c r="V51" s="4">
        <v>52.990422198999298</v>
      </c>
      <c r="W51" s="4">
        <v>62.362611985355798</v>
      </c>
      <c r="X51" s="4">
        <v>79.6682126081581</v>
      </c>
      <c r="Y51" s="4">
        <v>98.986245919733094</v>
      </c>
      <c r="Z51" s="4">
        <v>45.781045440263597</v>
      </c>
      <c r="AA51" s="4">
        <v>53.711359874872898</v>
      </c>
      <c r="AB51" s="4">
        <v>67.409175716470799</v>
      </c>
      <c r="AC51" s="4">
        <v>83.702367191213497</v>
      </c>
      <c r="AD51" s="4">
        <v>37.418168400130199</v>
      </c>
      <c r="AE51" s="4">
        <v>43.474044877468202</v>
      </c>
      <c r="AF51" s="4">
        <v>54.432297550746497</v>
      </c>
      <c r="AG51" s="4">
        <v>67.120800646121296</v>
      </c>
    </row>
    <row r="52" spans="1:33" x14ac:dyDescent="0.3">
      <c r="G52" t="e" vm="3">
        <v>#VALUE!</v>
      </c>
      <c r="H52" s="4">
        <v>57.420389150026097</v>
      </c>
      <c r="I52" s="4">
        <v>84.797140746818101</v>
      </c>
      <c r="J52" s="4">
        <v>109.82296808947</v>
      </c>
      <c r="K52" s="4">
        <v>140.386</v>
      </c>
      <c r="L52" s="4">
        <v>49.836075163071797</v>
      </c>
      <c r="M52" s="4">
        <v>72.992505207831201</v>
      </c>
      <c r="N52" s="4">
        <v>93.296478334888704</v>
      </c>
      <c r="O52" s="4">
        <v>119.181</v>
      </c>
      <c r="P52" s="4">
        <v>40.734898378726697</v>
      </c>
      <c r="Q52" s="4">
        <v>59.0630352718266</v>
      </c>
      <c r="R52" s="4">
        <v>75.353432315628595</v>
      </c>
      <c r="S52" s="4">
        <v>95.619500000000002</v>
      </c>
      <c r="U52" t="e" vm="3">
        <v>#VALUE!</v>
      </c>
      <c r="V52" s="4">
        <v>46.7903581864866</v>
      </c>
      <c r="W52" s="4">
        <v>55.153235226620097</v>
      </c>
      <c r="X52" s="4">
        <v>70.004551349615596</v>
      </c>
      <c r="Y52" s="4">
        <v>87.739618176105395</v>
      </c>
      <c r="Z52" s="4">
        <v>40.590294173973902</v>
      </c>
      <c r="AA52" s="4">
        <v>47.222920792010797</v>
      </c>
      <c r="AB52" s="4">
        <v>59.911423887385602</v>
      </c>
      <c r="AC52" s="4">
        <v>74.330177404856997</v>
      </c>
      <c r="AD52" s="4">
        <v>32.948354809714097</v>
      </c>
      <c r="AE52" s="4">
        <v>38.427481146353202</v>
      </c>
      <c r="AF52" s="4">
        <v>47.943858467884397</v>
      </c>
      <c r="AG52" s="4">
        <v>59.334673746686803</v>
      </c>
    </row>
    <row r="53" spans="1:33" x14ac:dyDescent="0.3">
      <c r="G53" t="e" vm="4">
        <v>#VALUE!</v>
      </c>
      <c r="H53" s="4">
        <v>49.381016323854602</v>
      </c>
      <c r="I53" s="4">
        <v>72.284227075491998</v>
      </c>
      <c r="J53" s="4">
        <v>94.004756467227907</v>
      </c>
      <c r="K53" s="4">
        <v>120.35899999999999</v>
      </c>
      <c r="L53" s="4">
        <v>42.555133735595803</v>
      </c>
      <c r="M53" s="4">
        <v>62.132240511963197</v>
      </c>
      <c r="N53" s="4">
        <v>79.603101109663896</v>
      </c>
      <c r="O53" s="4">
        <v>102.295</v>
      </c>
      <c r="P53" s="4">
        <v>34.8191334689024</v>
      </c>
      <c r="Q53" s="4">
        <v>49.855419551416801</v>
      </c>
      <c r="R53" s="4">
        <v>64.493167619760598</v>
      </c>
      <c r="S53" s="4">
        <v>82.268100000000004</v>
      </c>
      <c r="U53" t="e" vm="4">
        <v>#VALUE!</v>
      </c>
      <c r="V53" s="4">
        <v>40.334714462299097</v>
      </c>
      <c r="W53" s="4">
        <v>47.3432286773794</v>
      </c>
      <c r="X53" s="4">
        <v>60.359040791100099</v>
      </c>
      <c r="Y53" s="4">
        <v>75.091223733003602</v>
      </c>
      <c r="Z53" s="4">
        <v>34.899540173053097</v>
      </c>
      <c r="AA53" s="4">
        <v>40.763807169344801</v>
      </c>
      <c r="AB53" s="4">
        <v>51.348093943139602</v>
      </c>
      <c r="AC53" s="4">
        <v>63.5057206427688</v>
      </c>
      <c r="AD53" s="4">
        <v>28.320118665018502</v>
      </c>
      <c r="AE53" s="4">
        <v>33.040138442521503</v>
      </c>
      <c r="AF53" s="4">
        <v>41.478961681087704</v>
      </c>
      <c r="AG53" s="4">
        <v>50.775970333745299</v>
      </c>
    </row>
    <row r="54" spans="1:33" x14ac:dyDescent="0.3">
      <c r="G54" t="e" vm="5">
        <v>#VALUE!</v>
      </c>
      <c r="H54" s="4">
        <v>43.465251414030298</v>
      </c>
      <c r="I54" s="4">
        <v>63.0766113550822</v>
      </c>
      <c r="J54" s="4">
        <v>82.200120928240906</v>
      </c>
      <c r="K54" s="4">
        <v>105.82899999999999</v>
      </c>
      <c r="L54" s="4">
        <v>37.549486504205902</v>
      </c>
      <c r="M54" s="4">
        <v>54.341181056231797</v>
      </c>
      <c r="N54" s="4">
        <v>69.923299967694604</v>
      </c>
      <c r="O54" s="4">
        <v>90.121799999999993</v>
      </c>
      <c r="P54" s="4">
        <v>30.723603915947098</v>
      </c>
      <c r="Q54" s="4">
        <v>43.7170090711436</v>
      </c>
      <c r="R54" s="4">
        <v>55.993830031690003</v>
      </c>
      <c r="S54" s="4">
        <v>72.254599999999996</v>
      </c>
      <c r="U54" t="e" vm="5">
        <v>#VALUE!</v>
      </c>
      <c r="V54" s="4">
        <v>35.328632880098802</v>
      </c>
      <c r="W54" s="4">
        <v>41.908054388133401</v>
      </c>
      <c r="X54" s="4">
        <v>53.064464771322598</v>
      </c>
      <c r="Y54" s="4">
        <v>66.080276885043205</v>
      </c>
      <c r="Z54" s="4">
        <v>30.6086131025958</v>
      </c>
      <c r="AA54" s="4">
        <v>35.614694684796</v>
      </c>
      <c r="AB54" s="4">
        <v>45.054734239802201</v>
      </c>
      <c r="AC54" s="4">
        <v>55.925082818294101</v>
      </c>
      <c r="AD54" s="4">
        <v>25.030407911001198</v>
      </c>
      <c r="AE54" s="4">
        <v>29.178304079109999</v>
      </c>
      <c r="AF54" s="4">
        <v>36.329849196538902</v>
      </c>
      <c r="AG54" s="4">
        <v>44.768672435105003</v>
      </c>
    </row>
    <row r="55" spans="1:33" x14ac:dyDescent="0.3">
      <c r="G55" t="s">
        <v>0</v>
      </c>
      <c r="H55">
        <v>2030</v>
      </c>
      <c r="L55">
        <v>2040</v>
      </c>
      <c r="P55">
        <v>2050</v>
      </c>
      <c r="U55" t="s">
        <v>0</v>
      </c>
      <c r="V55">
        <v>2030</v>
      </c>
      <c r="Z55">
        <v>2040</v>
      </c>
      <c r="AD55">
        <v>2050</v>
      </c>
    </row>
    <row r="56" spans="1:33" x14ac:dyDescent="0.3">
      <c r="G56" t="s">
        <v>215</v>
      </c>
      <c r="H56">
        <v>2</v>
      </c>
      <c r="I56">
        <v>4</v>
      </c>
      <c r="J56">
        <v>7</v>
      </c>
      <c r="K56">
        <v>10</v>
      </c>
      <c r="L56">
        <v>2</v>
      </c>
      <c r="M56">
        <v>4</v>
      </c>
      <c r="N56">
        <v>7</v>
      </c>
      <c r="O56">
        <v>10</v>
      </c>
      <c r="P56">
        <v>2</v>
      </c>
      <c r="Q56">
        <v>4</v>
      </c>
      <c r="R56">
        <v>7</v>
      </c>
      <c r="S56">
        <v>10</v>
      </c>
      <c r="U56" t="s">
        <v>215</v>
      </c>
      <c r="V56">
        <v>2</v>
      </c>
      <c r="W56">
        <v>4</v>
      </c>
      <c r="X56">
        <v>7</v>
      </c>
      <c r="Y56">
        <v>10</v>
      </c>
      <c r="Z56">
        <v>2</v>
      </c>
      <c r="AA56">
        <v>4</v>
      </c>
      <c r="AB56">
        <v>7</v>
      </c>
      <c r="AC56">
        <v>10</v>
      </c>
      <c r="AD56">
        <v>2</v>
      </c>
      <c r="AE56">
        <v>4</v>
      </c>
      <c r="AF56">
        <v>7</v>
      </c>
      <c r="AG56">
        <v>10</v>
      </c>
    </row>
    <row r="57" spans="1:33" x14ac:dyDescent="0.3">
      <c r="G57" t="e" vm="1">
        <v>#VALUE!</v>
      </c>
      <c r="H57" s="4">
        <v>45.588859330377403</v>
      </c>
      <c r="I57" s="4">
        <v>51.982785038618402</v>
      </c>
      <c r="J57" s="4">
        <v>83.616677192919497</v>
      </c>
      <c r="K57" s="4">
        <v>104.156743030756</v>
      </c>
      <c r="L57" s="4">
        <v>36.184309986554197</v>
      </c>
      <c r="M57" s="4">
        <v>41.1463959038445</v>
      </c>
      <c r="N57" s="4">
        <v>65.909723884439003</v>
      </c>
      <c r="O57" s="4">
        <v>81.491842795901803</v>
      </c>
      <c r="P57" s="4">
        <v>30.2685450767299</v>
      </c>
      <c r="Q57" s="4">
        <v>34.327993751627197</v>
      </c>
      <c r="R57" s="4">
        <v>54.105088345452103</v>
      </c>
      <c r="S57" s="4">
        <v>67.090187438337693</v>
      </c>
      <c r="U57" t="e" vm="1">
        <v>#VALUE!</v>
      </c>
      <c r="V57" s="4">
        <v>36.985605794606101</v>
      </c>
      <c r="W57" s="4">
        <v>42.464732131245199</v>
      </c>
      <c r="X57" s="4">
        <v>52.5578595934752</v>
      </c>
      <c r="Y57" s="4">
        <v>64.525425012976498</v>
      </c>
      <c r="Z57" s="4">
        <v>29.3436664303462</v>
      </c>
      <c r="AA57" s="4">
        <v>33.755292954264497</v>
      </c>
      <c r="AB57" s="4">
        <v>41.311231849847502</v>
      </c>
      <c r="AC57" s="4">
        <v>50.683421636203903</v>
      </c>
      <c r="AD57" s="4">
        <v>24.2971026992312</v>
      </c>
      <c r="AE57" s="4">
        <v>28.0340568603213</v>
      </c>
      <c r="AF57" s="4">
        <v>34.390230161461197</v>
      </c>
      <c r="AG57" s="4">
        <v>41.743794455371599</v>
      </c>
    </row>
    <row r="58" spans="1:33" x14ac:dyDescent="0.3">
      <c r="G58" t="e" vm="2">
        <v>#VALUE!</v>
      </c>
      <c r="H58" s="4">
        <v>38.914663021857699</v>
      </c>
      <c r="I58" s="4">
        <v>56.229922742469697</v>
      </c>
      <c r="J58" s="4">
        <v>71.339856232372995</v>
      </c>
      <c r="K58" s="4">
        <v>90.121799999999993</v>
      </c>
      <c r="L58" s="4">
        <v>31.1786627551644</v>
      </c>
      <c r="M58" s="4">
        <v>44.425287203482803</v>
      </c>
      <c r="N58" s="4">
        <v>56.229922742469697</v>
      </c>
      <c r="O58" s="4">
        <v>70.487499999999997</v>
      </c>
      <c r="P58" s="4">
        <v>25.717956684557301</v>
      </c>
      <c r="Q58" s="4">
        <v>36.398135036971702</v>
      </c>
      <c r="R58" s="4">
        <v>46.314028889720703</v>
      </c>
      <c r="S58" s="4">
        <v>58.314100000000003</v>
      </c>
      <c r="U58" t="e" vm="2">
        <v>#VALUE!</v>
      </c>
      <c r="V58" s="4">
        <v>31.650666993141702</v>
      </c>
      <c r="W58" s="4">
        <v>36.264668118732502</v>
      </c>
      <c r="X58" s="4">
        <v>45.348482834739499</v>
      </c>
      <c r="Y58" s="4">
        <v>55.4416102969695</v>
      </c>
      <c r="Z58" s="4">
        <v>25.450602980629</v>
      </c>
      <c r="AA58" s="4">
        <v>29.178304079109999</v>
      </c>
      <c r="AB58" s="4">
        <v>35.543730442858902</v>
      </c>
      <c r="AC58" s="4">
        <v>43.474044877468202</v>
      </c>
      <c r="AD58" s="4">
        <v>20.980789390212799</v>
      </c>
      <c r="AE58" s="4">
        <v>24.172222496909701</v>
      </c>
      <c r="AF58" s="4">
        <v>29.3436664303463</v>
      </c>
      <c r="AG58" s="4">
        <v>35.832105513208397</v>
      </c>
    </row>
    <row r="59" spans="1:33" x14ac:dyDescent="0.3">
      <c r="G59" t="e" vm="3">
        <v>#VALUE!</v>
      </c>
      <c r="H59" s="4">
        <v>34.364074629685199</v>
      </c>
      <c r="I59" s="4">
        <v>49.619326840637001</v>
      </c>
      <c r="J59" s="4">
        <v>63.0766113550822</v>
      </c>
      <c r="K59" s="4">
        <v>79.322900000000004</v>
      </c>
      <c r="L59" s="4">
        <v>27.538192041426299</v>
      </c>
      <c r="M59" s="4">
        <v>38.759062144768997</v>
      </c>
      <c r="N59" s="4">
        <v>49.3832341298573</v>
      </c>
      <c r="O59" s="4">
        <v>62.437399999999997</v>
      </c>
      <c r="P59" s="4">
        <v>22.987603649253799</v>
      </c>
      <c r="Q59" s="4">
        <v>31.9123735321566</v>
      </c>
      <c r="R59" s="4">
        <v>40.647803831007003</v>
      </c>
      <c r="S59" s="4">
        <v>51.834800000000001</v>
      </c>
      <c r="U59" t="e" vm="3">
        <v>#VALUE!</v>
      </c>
      <c r="V59" s="4">
        <v>28.0340568603213</v>
      </c>
      <c r="W59" s="4">
        <v>32.468014833127299</v>
      </c>
      <c r="X59" s="4">
        <v>40.048652657601899</v>
      </c>
      <c r="Y59" s="4">
        <v>49.059599505562403</v>
      </c>
      <c r="Z59" s="4">
        <v>22.1697898640296</v>
      </c>
      <c r="AA59" s="4">
        <v>25.602531520395502</v>
      </c>
      <c r="AB59" s="4">
        <v>31.7528603213844</v>
      </c>
      <c r="AC59" s="4">
        <v>38.618343634116101</v>
      </c>
      <c r="AD59" s="4">
        <v>18.594017305315099</v>
      </c>
      <c r="AE59" s="4">
        <v>21.168573547589599</v>
      </c>
      <c r="AF59" s="4">
        <v>26.317686032138401</v>
      </c>
      <c r="AG59" s="4">
        <v>31.609829419035801</v>
      </c>
    </row>
    <row r="60" spans="1:33" x14ac:dyDescent="0.3">
      <c r="G60" t="e" vm="4">
        <v>#VALUE!</v>
      </c>
      <c r="H60" s="4">
        <v>29.358427398295401</v>
      </c>
      <c r="I60" s="4">
        <v>41.5921746741259</v>
      </c>
      <c r="J60" s="4">
        <v>53.1607175023331</v>
      </c>
      <c r="K60" s="4">
        <v>68.327699999999993</v>
      </c>
      <c r="L60" s="4">
        <v>23.442662488471001</v>
      </c>
      <c r="M60" s="4">
        <v>32.856744375275603</v>
      </c>
      <c r="N60" s="4">
        <v>41.5921746741259</v>
      </c>
      <c r="O60" s="4">
        <v>53.601900000000001</v>
      </c>
      <c r="P60" s="4">
        <v>19.347132935515798</v>
      </c>
      <c r="Q60" s="4">
        <v>26.9544266057821</v>
      </c>
      <c r="R60" s="4">
        <v>33.8011152183945</v>
      </c>
      <c r="S60" s="4">
        <v>44.373699999999999</v>
      </c>
      <c r="U60" t="e" vm="4">
        <v>#VALUE!</v>
      </c>
      <c r="V60" s="4">
        <v>24.029191594561102</v>
      </c>
      <c r="W60" s="4">
        <v>27.747995055624202</v>
      </c>
      <c r="X60" s="4">
        <v>34.184385661310202</v>
      </c>
      <c r="Y60" s="4">
        <v>42.194116192830599</v>
      </c>
      <c r="Z60" s="4">
        <v>19.3091718170581</v>
      </c>
      <c r="AA60" s="4">
        <v>21.883728059332501</v>
      </c>
      <c r="AB60" s="4">
        <v>27.032840543881299</v>
      </c>
      <c r="AC60" s="4">
        <v>33.040138442521602</v>
      </c>
      <c r="AD60" s="4">
        <v>16.019461063040701</v>
      </c>
      <c r="AE60" s="4">
        <v>18.307955500618</v>
      </c>
      <c r="AF60" s="4">
        <v>22.1697898640296</v>
      </c>
      <c r="AG60" s="4">
        <v>27.318902348578401</v>
      </c>
    </row>
    <row r="61" spans="1:33" x14ac:dyDescent="0.3">
      <c r="G61" t="e" vm="5">
        <v>#VALUE!</v>
      </c>
      <c r="H61" s="4">
        <v>26.173015523774598</v>
      </c>
      <c r="I61" s="4">
        <v>36.398135036971702</v>
      </c>
      <c r="J61" s="4">
        <v>46.550121600500397</v>
      </c>
      <c r="K61" s="4">
        <v>59.884900000000002</v>
      </c>
      <c r="L61" s="4">
        <v>20.712309453167499</v>
      </c>
      <c r="M61" s="4">
        <v>28.134890159680801</v>
      </c>
      <c r="N61" s="4">
        <v>36.162042326191902</v>
      </c>
      <c r="O61" s="4">
        <v>47.122500000000002</v>
      </c>
      <c r="P61" s="4">
        <v>17.071838739429399</v>
      </c>
      <c r="Q61" s="4">
        <v>22.940850522526599</v>
      </c>
      <c r="R61" s="4">
        <v>29.315353713579398</v>
      </c>
      <c r="S61" s="4">
        <v>38.876100000000001</v>
      </c>
      <c r="U61" t="e" vm="5">
        <v>#VALUE!</v>
      </c>
      <c r="V61" s="4">
        <v>21.025542645241</v>
      </c>
      <c r="W61" s="4">
        <v>24.458284301606898</v>
      </c>
      <c r="X61" s="4">
        <v>30.17952039555</v>
      </c>
      <c r="Y61" s="4">
        <v>37.045003708281797</v>
      </c>
      <c r="Z61" s="4">
        <v>16.7346155747836</v>
      </c>
      <c r="AA61" s="4">
        <v>19.309171817058001</v>
      </c>
      <c r="AB61" s="4">
        <v>23.743129789864</v>
      </c>
      <c r="AC61" s="4">
        <v>29.178304079109999</v>
      </c>
      <c r="AD61" s="4">
        <v>13.873997527812</v>
      </c>
      <c r="AE61" s="4">
        <v>16.019461063040701</v>
      </c>
      <c r="AF61" s="4">
        <v>19.738264524103801</v>
      </c>
      <c r="AG61" s="4">
        <v>24.029191594561102</v>
      </c>
    </row>
    <row r="62" spans="1:33" ht="15" thickBot="1" x14ac:dyDescent="0.35"/>
    <row r="63" spans="1:33" ht="18.600000000000001" thickBot="1" x14ac:dyDescent="0.35">
      <c r="A63" s="289" t="s">
        <v>0</v>
      </c>
      <c r="B63" s="338" t="s">
        <v>379</v>
      </c>
      <c r="C63" s="339"/>
      <c r="D63" s="339"/>
      <c r="E63" s="340"/>
      <c r="G63" s="289" t="s">
        <v>0</v>
      </c>
      <c r="H63" s="338" t="s">
        <v>380</v>
      </c>
      <c r="I63" s="339"/>
      <c r="J63" s="339"/>
      <c r="K63" s="339"/>
      <c r="L63" s="339"/>
      <c r="M63" s="339"/>
      <c r="N63" s="339"/>
      <c r="O63" s="339"/>
      <c r="P63" s="339"/>
      <c r="Q63" s="339"/>
      <c r="R63" s="339"/>
      <c r="S63" s="340"/>
      <c r="U63" s="289" t="s">
        <v>0</v>
      </c>
      <c r="V63" s="338" t="s">
        <v>380</v>
      </c>
      <c r="W63" s="339"/>
      <c r="X63" s="339"/>
      <c r="Y63" s="339"/>
      <c r="Z63" s="339"/>
      <c r="AA63" s="339"/>
      <c r="AB63" s="339"/>
      <c r="AC63" s="339"/>
      <c r="AD63" s="339"/>
      <c r="AE63" s="339"/>
      <c r="AF63" s="339"/>
      <c r="AG63" s="340"/>
    </row>
    <row r="64" spans="1:33" ht="18.600000000000001" thickBot="1" x14ac:dyDescent="0.4">
      <c r="A64" s="344"/>
      <c r="B64" s="380" t="s">
        <v>206</v>
      </c>
      <c r="C64" s="381"/>
      <c r="D64" s="381"/>
      <c r="E64" s="382"/>
      <c r="G64" s="344"/>
      <c r="H64" s="380" t="s">
        <v>206</v>
      </c>
      <c r="I64" s="381"/>
      <c r="J64" s="381"/>
      <c r="K64" s="381"/>
      <c r="L64" s="381"/>
      <c r="M64" s="381"/>
      <c r="N64" s="381"/>
      <c r="O64" s="381"/>
      <c r="P64" s="381"/>
      <c r="Q64" s="381"/>
      <c r="R64" s="381"/>
      <c r="S64" s="382"/>
      <c r="U64" s="344"/>
      <c r="V64" s="380" t="s">
        <v>206</v>
      </c>
      <c r="W64" s="381"/>
      <c r="X64" s="381"/>
      <c r="Y64" s="381"/>
      <c r="Z64" s="381"/>
      <c r="AA64" s="381"/>
      <c r="AB64" s="381"/>
      <c r="AC64" s="381"/>
      <c r="AD64" s="381"/>
      <c r="AE64" s="381"/>
      <c r="AF64" s="381"/>
      <c r="AG64" s="382"/>
    </row>
    <row r="65" spans="1:33" ht="21" thickBot="1" x14ac:dyDescent="0.35">
      <c r="A65" s="344"/>
      <c r="B65" s="177" t="s">
        <v>210</v>
      </c>
      <c r="C65" s="178" t="s">
        <v>223</v>
      </c>
      <c r="D65" s="178" t="s">
        <v>208</v>
      </c>
      <c r="E65" s="182" t="s">
        <v>209</v>
      </c>
      <c r="G65" s="344"/>
      <c r="H65" s="404" t="s">
        <v>223</v>
      </c>
      <c r="I65" s="405"/>
      <c r="J65" s="405"/>
      <c r="K65" s="405"/>
      <c r="L65" s="405"/>
      <c r="M65" s="405"/>
      <c r="N65" s="405"/>
      <c r="O65" s="405"/>
      <c r="P65" s="405"/>
      <c r="Q65" s="405"/>
      <c r="R65" s="405"/>
      <c r="S65" s="406"/>
      <c r="U65" s="344"/>
      <c r="V65" s="404" t="s">
        <v>209</v>
      </c>
      <c r="W65" s="405"/>
      <c r="X65" s="405"/>
      <c r="Y65" s="405"/>
      <c r="Z65" s="405"/>
      <c r="AA65" s="405"/>
      <c r="AB65" s="405"/>
      <c r="AC65" s="405"/>
      <c r="AD65" s="405"/>
      <c r="AE65" s="405"/>
      <c r="AF65" s="405"/>
      <c r="AG65" s="406"/>
    </row>
    <row r="66" spans="1:33" ht="15" thickBot="1" x14ac:dyDescent="0.35">
      <c r="A66" s="290"/>
      <c r="B66" s="179" t="s">
        <v>19</v>
      </c>
      <c r="C66" s="180" t="s">
        <v>19</v>
      </c>
      <c r="D66" s="180" t="s">
        <v>19</v>
      </c>
      <c r="E66" s="181" t="s">
        <v>19</v>
      </c>
      <c r="G66" s="344"/>
      <c r="H66" s="401" t="s">
        <v>214</v>
      </c>
      <c r="I66" s="402"/>
      <c r="J66" s="403"/>
      <c r="K66" s="401" t="s">
        <v>211</v>
      </c>
      <c r="L66" s="402"/>
      <c r="M66" s="403"/>
      <c r="N66" s="401" t="s">
        <v>212</v>
      </c>
      <c r="O66" s="402"/>
      <c r="P66" s="403"/>
      <c r="Q66" s="401" t="s">
        <v>213</v>
      </c>
      <c r="R66" s="402"/>
      <c r="S66" s="403"/>
      <c r="U66" s="344"/>
      <c r="V66" s="401" t="s">
        <v>214</v>
      </c>
      <c r="W66" s="402"/>
      <c r="X66" s="403"/>
      <c r="Y66" s="401" t="s">
        <v>211</v>
      </c>
      <c r="Z66" s="402"/>
      <c r="AA66" s="403"/>
      <c r="AB66" s="401" t="s">
        <v>212</v>
      </c>
      <c r="AC66" s="402"/>
      <c r="AD66" s="403"/>
      <c r="AE66" s="401" t="s">
        <v>213</v>
      </c>
      <c r="AF66" s="402"/>
      <c r="AG66" s="403"/>
    </row>
    <row r="67" spans="1:33" ht="16.8" thickBot="1" x14ac:dyDescent="0.35">
      <c r="A67" s="41">
        <v>2019</v>
      </c>
      <c r="B67" s="122">
        <v>647.47200000000009</v>
      </c>
      <c r="C67" s="122">
        <v>1529.1360000000002</v>
      </c>
      <c r="D67" s="122">
        <v>1019.4240000000001</v>
      </c>
      <c r="E67" s="131">
        <v>757.68000000000006</v>
      </c>
      <c r="G67" s="290"/>
      <c r="H67" s="180" t="s">
        <v>218</v>
      </c>
      <c r="I67" s="183" t="s">
        <v>219</v>
      </c>
      <c r="J67" s="184" t="s">
        <v>134</v>
      </c>
      <c r="K67" s="180" t="s">
        <v>218</v>
      </c>
      <c r="L67" s="183" t="s">
        <v>219</v>
      </c>
      <c r="M67" s="184" t="s">
        <v>134</v>
      </c>
      <c r="N67" s="180" t="s">
        <v>218</v>
      </c>
      <c r="O67" s="183" t="s">
        <v>219</v>
      </c>
      <c r="P67" s="184" t="s">
        <v>134</v>
      </c>
      <c r="Q67" s="180" t="s">
        <v>218</v>
      </c>
      <c r="R67" s="183" t="s">
        <v>219</v>
      </c>
      <c r="S67" s="184" t="s">
        <v>134</v>
      </c>
      <c r="U67" s="290"/>
      <c r="V67" s="180" t="s">
        <v>218</v>
      </c>
      <c r="W67" s="183" t="s">
        <v>219</v>
      </c>
      <c r="X67" s="184" t="s">
        <v>134</v>
      </c>
      <c r="Y67" s="180" t="s">
        <v>218</v>
      </c>
      <c r="Z67" s="183" t="s">
        <v>219</v>
      </c>
      <c r="AA67" s="184" t="s">
        <v>134</v>
      </c>
      <c r="AB67" s="180" t="s">
        <v>218</v>
      </c>
      <c r="AC67" s="183" t="s">
        <v>219</v>
      </c>
      <c r="AD67" s="184" t="s">
        <v>134</v>
      </c>
      <c r="AE67" s="180" t="s">
        <v>218</v>
      </c>
      <c r="AF67" s="183" t="s">
        <v>219</v>
      </c>
      <c r="AG67" s="184" t="s">
        <v>134</v>
      </c>
    </row>
    <row r="68" spans="1:33" x14ac:dyDescent="0.3">
      <c r="A68" s="41">
        <v>2020</v>
      </c>
      <c r="B68" s="123">
        <v>592.36800000000005</v>
      </c>
      <c r="C68" s="123">
        <v>1446.4800000000002</v>
      </c>
      <c r="D68" s="123">
        <v>950.5440000000001</v>
      </c>
      <c r="E68" s="132">
        <v>702.57600000000014</v>
      </c>
      <c r="G68" s="52">
        <v>2019</v>
      </c>
      <c r="H68" s="122">
        <f>MIN(H81:H85)</f>
        <v>39.560997644751197</v>
      </c>
      <c r="I68" s="125">
        <f>AVERAGE(H81:H85)</f>
        <v>50.487371577584575</v>
      </c>
      <c r="J68" s="126">
        <f>MAX(H81:H85)</f>
        <v>60.986234522259998</v>
      </c>
      <c r="K68" s="122">
        <f>MIN(I81:I85)</f>
        <v>50.7605532852672</v>
      </c>
      <c r="L68" s="125">
        <f>AVERAGE(I81:I85)</f>
        <v>64.236490656548455</v>
      </c>
      <c r="M68" s="126">
        <f>MAX(I81:I85)</f>
        <v>77.055162180391605</v>
      </c>
      <c r="N68" s="122">
        <f>MIN(J81:J85)</f>
        <v>63.583232931654997</v>
      </c>
      <c r="O68" s="125">
        <f>AVERAGE(J81:J85)</f>
        <v>80.608478754062148</v>
      </c>
      <c r="P68" s="126">
        <f>MAX(J81:J85)</f>
        <v>96.532650250854203</v>
      </c>
      <c r="Q68" s="122">
        <f>MIN(K81:K85)</f>
        <v>78.353661385089197</v>
      </c>
      <c r="R68" s="125">
        <f>AVERAGE(K81:K85)</f>
        <v>99.314684796917746</v>
      </c>
      <c r="S68" s="126">
        <f>MAX(K81:K85)</f>
        <v>118.60713673071101</v>
      </c>
      <c r="U68" s="52">
        <v>2019</v>
      </c>
      <c r="V68" s="122">
        <f>MIN(V81:V85)</f>
        <v>25.7967567567567</v>
      </c>
      <c r="W68" s="125">
        <f>AVERAGE(V81:V85)</f>
        <v>34.22724324324318</v>
      </c>
      <c r="X68" s="126">
        <f>MAX(V81:V85)</f>
        <v>43.881081081081</v>
      </c>
      <c r="Y68" s="122">
        <f>MIN(W81:W85)</f>
        <v>31.248648648648601</v>
      </c>
      <c r="Z68" s="125">
        <f>AVERAGE(W81:W85)</f>
        <v>41.32799999999996</v>
      </c>
      <c r="AA68" s="126">
        <f>MAX(W81:W85)</f>
        <v>53.0562162162162</v>
      </c>
      <c r="AB68" s="122">
        <f>MIN(X81:X85)</f>
        <v>40.290810810810797</v>
      </c>
      <c r="AC68" s="125">
        <f>AVERAGE(X81:X85)</f>
        <v>53.80086486486482</v>
      </c>
      <c r="AD68" s="126">
        <f>MAX(X81:X85)</f>
        <v>69.278918918918905</v>
      </c>
      <c r="AE68" s="122">
        <f>MIN(Y81:Y85)</f>
        <v>51.327567567567499</v>
      </c>
      <c r="AF68" s="125">
        <f>AVERAGE(Y81:Y85)</f>
        <v>68.135351351351318</v>
      </c>
      <c r="AG68" s="126">
        <f>MAX(Y81:Y85)</f>
        <v>87.762162162162099</v>
      </c>
    </row>
    <row r="69" spans="1:33" x14ac:dyDescent="0.3">
      <c r="A69" s="41">
        <v>2025</v>
      </c>
      <c r="B69" s="123">
        <v>468.38400000000007</v>
      </c>
      <c r="C69" s="123">
        <v>1157.1840000000002</v>
      </c>
      <c r="D69" s="123">
        <v>743.90400000000011</v>
      </c>
      <c r="E69" s="132">
        <v>551.04000000000008</v>
      </c>
      <c r="G69" s="24">
        <v>2020</v>
      </c>
      <c r="H69" s="123">
        <f>MIN(L81:L85)</f>
        <v>37.450605187319503</v>
      </c>
      <c r="I69" s="127">
        <f>AVERAGE(L81:L85)</f>
        <v>47.70811952981574</v>
      </c>
      <c r="J69" s="128">
        <f>MAX(L81:L85)</f>
        <v>57.739986510516303</v>
      </c>
      <c r="K69" s="123">
        <f>MIN(M81:M85)</f>
        <v>47.514305273523497</v>
      </c>
      <c r="L69" s="127">
        <f>AVERAGE(M81:M85)</f>
        <v>60.463986092125403</v>
      </c>
      <c r="M69" s="128">
        <f>MAX(M81:M85)</f>
        <v>72.997352165711902</v>
      </c>
      <c r="N69" s="123">
        <f>MIN(N81:N85)</f>
        <v>59.850047718149703</v>
      </c>
      <c r="O69" s="127">
        <f>AVERAGE(N81:N85)</f>
        <v>75.887109145798263</v>
      </c>
      <c r="P69" s="128">
        <f>MAX(N81:N85)</f>
        <v>91.014028630889797</v>
      </c>
      <c r="Q69" s="123">
        <f>MIN(O81:O85)</f>
        <v>73.808914168647902</v>
      </c>
      <c r="R69" s="127">
        <f>AVERAGE(O81:O85)</f>
        <v>93.390745925201557</v>
      </c>
      <c r="S69" s="128">
        <f>MAX(O81:O85)</f>
        <v>111.62770350546199</v>
      </c>
      <c r="U69" s="24">
        <v>2020</v>
      </c>
      <c r="V69" s="123">
        <f>MIN(Z81:Z85)</f>
        <v>24.068108108108099</v>
      </c>
      <c r="W69" s="127">
        <f>AVERAGE(Z81:Z85)</f>
        <v>31.993297297297261</v>
      </c>
      <c r="X69" s="128">
        <f>MAX(Z81:Z85)</f>
        <v>41.088648648648601</v>
      </c>
      <c r="Y69" s="123">
        <f>MIN(AA81:AA85)</f>
        <v>29.121081081081002</v>
      </c>
      <c r="Z69" s="127">
        <f>AVERAGE(AA81:AA85)</f>
        <v>38.668540540540505</v>
      </c>
      <c r="AA69" s="128">
        <f>MAX(AA81:AA85)</f>
        <v>49.864864864864799</v>
      </c>
      <c r="AB69" s="123">
        <f>MIN(AB81:AB85)</f>
        <v>37.764324324324299</v>
      </c>
      <c r="AC69" s="127">
        <f>AVERAGE(AB81:AB85)</f>
        <v>50.183999999999941</v>
      </c>
      <c r="AD69" s="128">
        <f>MAX(AB81:AB85)</f>
        <v>64.624864864864804</v>
      </c>
      <c r="AE69" s="123">
        <f>MIN(AC81:AC85)</f>
        <v>47.604324324324303</v>
      </c>
      <c r="AF69" s="127">
        <f>AVERAGE(AC81:AC85)</f>
        <v>63.507891891891838</v>
      </c>
      <c r="AG69" s="128">
        <f>MAX(AC81:AC85)</f>
        <v>81.9113513513513</v>
      </c>
    </row>
    <row r="70" spans="1:33" x14ac:dyDescent="0.3">
      <c r="A70" s="41">
        <v>2030</v>
      </c>
      <c r="B70" s="123">
        <v>385.72800000000007</v>
      </c>
      <c r="C70" s="123">
        <v>991.87200000000007</v>
      </c>
      <c r="D70" s="123">
        <v>633.69600000000003</v>
      </c>
      <c r="E70" s="132">
        <v>454.60800000000006</v>
      </c>
      <c r="G70" s="24">
        <v>2025</v>
      </c>
      <c r="H70" s="123">
        <f>MIN(P81:P85)</f>
        <v>29.335316407758299</v>
      </c>
      <c r="I70" s="127">
        <f>AVERAGE(P81:P85)</f>
        <v>37.544613879741675</v>
      </c>
      <c r="J70" s="128">
        <f>MAX(P81:P85)</f>
        <v>45.241931665302801</v>
      </c>
      <c r="K70" s="123">
        <f>MIN(Q81:Q85)</f>
        <v>37.126311635943402</v>
      </c>
      <c r="L70" s="127">
        <f>AVERAGE(Q81:Q85)</f>
        <v>47.539480258103623</v>
      </c>
      <c r="M70" s="128">
        <f>MAX(Q81:Q85)</f>
        <v>57.253049308754697</v>
      </c>
      <c r="N70" s="123">
        <f>MIN(R81:R85)</f>
        <v>47.189680472349004</v>
      </c>
      <c r="O70" s="127">
        <f>AVERAGE(R81:R85)</f>
        <v>59.575375386379847</v>
      </c>
      <c r="P70" s="128">
        <f>MAX(R81:R85)</f>
        <v>71.374228159840101</v>
      </c>
      <c r="Q70" s="123">
        <f>MIN(S81:S85)</f>
        <v>57.739986510516303</v>
      </c>
      <c r="R70" s="127">
        <f>AVERAGE(S81:S85)</f>
        <v>73.156882068002673</v>
      </c>
      <c r="S70" s="128">
        <f>MAX(S81:S85)</f>
        <v>87.4431558179717</v>
      </c>
      <c r="U70" s="24">
        <v>2025</v>
      </c>
      <c r="V70" s="123">
        <f>MIN(AD81:AD85)</f>
        <v>18.749189189189099</v>
      </c>
      <c r="W70" s="127">
        <f>AVERAGE(AD81:AD85)</f>
        <v>24.759567567567519</v>
      </c>
      <c r="X70" s="128">
        <f>MAX(AD81:AD85)</f>
        <v>31.9135135135135</v>
      </c>
      <c r="Y70" s="123">
        <f>MIN(AE81:AE85)</f>
        <v>22.472432432432399</v>
      </c>
      <c r="Z70" s="127">
        <f>AVERAGE(AE81:AE85)</f>
        <v>29.839135135135098</v>
      </c>
      <c r="AA70" s="128">
        <f>MAX(AE81:AE85)</f>
        <v>38.296216216216202</v>
      </c>
      <c r="AB70" s="123">
        <f>MIN(AF81:AF85)</f>
        <v>28.7221621621621</v>
      </c>
      <c r="AC70" s="127">
        <f>AVERAGE(AF81:AF85)</f>
        <v>38.296216216216166</v>
      </c>
      <c r="AD70" s="128">
        <f>MAX(AF81:AF85)</f>
        <v>49.332972972972897</v>
      </c>
      <c r="AE70" s="123">
        <f>MIN(AG81:AG85)</f>
        <v>36.4345945945946</v>
      </c>
      <c r="AF70" s="127">
        <f>AVERAGE(AG81:AG85)</f>
        <v>48.481945945945903</v>
      </c>
      <c r="AG70" s="128">
        <f>MAX(AG81:AG85)</f>
        <v>62.497297297297202</v>
      </c>
    </row>
    <row r="71" spans="1:33" x14ac:dyDescent="0.3">
      <c r="A71" s="41">
        <v>2040</v>
      </c>
      <c r="B71" s="123">
        <v>289.29600000000005</v>
      </c>
      <c r="C71" s="123">
        <v>757.68000000000006</v>
      </c>
      <c r="D71" s="123">
        <v>482.16000000000008</v>
      </c>
      <c r="E71" s="132">
        <v>344.40000000000003</v>
      </c>
      <c r="G71" s="24">
        <v>2030</v>
      </c>
      <c r="H71" s="123">
        <f>MIN(H88:H92)</f>
        <v>24.349510086455101</v>
      </c>
      <c r="I71" s="127">
        <f>AVERAGE(H88:H92)</f>
        <v>31.072158468979516</v>
      </c>
      <c r="J71" s="128">
        <f>MAX(H88:H92)</f>
        <v>37.450936437117797</v>
      </c>
      <c r="K71" s="123">
        <f>MIN(I88:I92)</f>
        <v>30.958440413630299</v>
      </c>
      <c r="L71" s="127">
        <f>AVERAGE(I88:I92)</f>
        <v>39.435321471724457</v>
      </c>
      <c r="M71" s="128">
        <f>MAX(I88:I92)</f>
        <v>47.514305273523398</v>
      </c>
      <c r="N71" s="123">
        <f>MIN(J88:J92)</f>
        <v>38.9117480424025</v>
      </c>
      <c r="O71" s="127">
        <f>AVERAGE(J88:J92)</f>
        <v>49.285862313482639</v>
      </c>
      <c r="P71" s="128">
        <f>MAX(J88:J92)</f>
        <v>59.038485715213803</v>
      </c>
      <c r="Q71" s="123">
        <f>MIN(K88:K92)</f>
        <v>47.838930074697799</v>
      </c>
      <c r="R71" s="127">
        <f>AVERAGE(K88:K92)</f>
        <v>60.528911052360264</v>
      </c>
      <c r="S71" s="128">
        <f>MAX(K88:K92)</f>
        <v>72.510414963950396</v>
      </c>
      <c r="U71" s="24">
        <v>2030</v>
      </c>
      <c r="V71" s="123">
        <f>MIN(V88:V92)</f>
        <v>15.025945945945899</v>
      </c>
      <c r="W71" s="127">
        <f>AVERAGE(V88:V92)</f>
        <v>20.13210810810806</v>
      </c>
      <c r="X71" s="128">
        <f>MAX(V88:V92)</f>
        <v>26.195675675675599</v>
      </c>
      <c r="Y71" s="123">
        <f>MIN(W88:W92)</f>
        <v>18.483243243243201</v>
      </c>
      <c r="Z71" s="127">
        <f>AVERAGE(W88:W92)</f>
        <v>24.334054054054</v>
      </c>
      <c r="AA71" s="128">
        <f>MAX(W88:W92)</f>
        <v>31.248648648648601</v>
      </c>
      <c r="AB71" s="123">
        <f>MIN(X88:X92)</f>
        <v>23.4032432432432</v>
      </c>
      <c r="AC71" s="127">
        <f>AVERAGE(X88:X92)</f>
        <v>31.328432432432379</v>
      </c>
      <c r="AD71" s="128">
        <f>MAX(X88:X92)</f>
        <v>40.290810810810797</v>
      </c>
      <c r="AE71" s="123">
        <f>MIN(Y88:Y92)</f>
        <v>29.5199999999999</v>
      </c>
      <c r="AF71" s="127">
        <f>AVERAGE(Y88:Y92)</f>
        <v>39.280216216216161</v>
      </c>
      <c r="AG71" s="128">
        <f>MAX(Y88:Y92)</f>
        <v>50.529729729729702</v>
      </c>
    </row>
    <row r="72" spans="1:33" ht="15" thickBot="1" x14ac:dyDescent="0.35">
      <c r="A72" s="42">
        <v>2050</v>
      </c>
      <c r="B72" s="124">
        <v>234.19200000000004</v>
      </c>
      <c r="C72" s="124">
        <v>619.92000000000007</v>
      </c>
      <c r="D72" s="124">
        <v>385.72800000000007</v>
      </c>
      <c r="E72" s="133">
        <v>275.52000000000004</v>
      </c>
      <c r="G72" s="24">
        <v>2040</v>
      </c>
      <c r="H72" s="123">
        <f>MIN(L88:L92)</f>
        <v>18.9473227701783</v>
      </c>
      <c r="I72" s="127">
        <f>AVERAGE(L88:L92)</f>
        <v>24.17457706859842</v>
      </c>
      <c r="J72" s="128">
        <f>MAX(L88:L92)</f>
        <v>29.335316407758398</v>
      </c>
      <c r="K72" s="123">
        <f>MIN(M88:M92)</f>
        <v>23.9790071883812</v>
      </c>
      <c r="L72" s="127">
        <f>AVERAGE(M88:M92)</f>
        <v>30.550936913216837</v>
      </c>
      <c r="M72" s="128">
        <f>MAX(M88:M92)</f>
        <v>36.801686834769001</v>
      </c>
      <c r="N72" s="123">
        <f>MIN(N88:N92)</f>
        <v>30.3091908112815</v>
      </c>
      <c r="O72" s="127">
        <f>AVERAGE(N88:N92)</f>
        <v>38.262200315235837</v>
      </c>
      <c r="P72" s="128">
        <f>MAX(N88:N92)</f>
        <v>45.891181267651497</v>
      </c>
      <c r="Q72" s="123">
        <f>MIN(O88:O92)</f>
        <v>37.126311635943402</v>
      </c>
      <c r="R72" s="127">
        <f>AVERAGE(O88:O92)</f>
        <v>46.898346275784462</v>
      </c>
      <c r="S72" s="128">
        <f>MAX(O88:O92)</f>
        <v>56.116862504644402</v>
      </c>
      <c r="U72" s="24">
        <v>2040</v>
      </c>
      <c r="V72" s="123">
        <f>MIN(Z88:Z92)</f>
        <v>11.7016216216216</v>
      </c>
      <c r="W72" s="127">
        <f>AVERAGE(Z88:Z92)</f>
        <v>15.45145945945942</v>
      </c>
      <c r="X72" s="128">
        <f>MAX(Z88:Z92)</f>
        <v>19.945945945945901</v>
      </c>
      <c r="Y72" s="123">
        <f>MIN(AA88:AA92)</f>
        <v>13.9621621621621</v>
      </c>
      <c r="Z72" s="127">
        <f>AVERAGE(AA88:AA92)</f>
        <v>18.430054054054001</v>
      </c>
      <c r="AA72" s="128">
        <f>MAX(AA88:AA92)</f>
        <v>23.802162162162102</v>
      </c>
      <c r="AB72" s="123">
        <f>MIN(AB88:AB92)</f>
        <v>17.552432432432401</v>
      </c>
      <c r="AC72" s="127">
        <f>AVERAGE(AB88:AB92)</f>
        <v>23.536216216216157</v>
      </c>
      <c r="AD72" s="128">
        <f>MAX(AB88:AB92)</f>
        <v>30.450810810810701</v>
      </c>
      <c r="AE72" s="123">
        <f>MIN(AC88:AC92)</f>
        <v>22.073513513513401</v>
      </c>
      <c r="AF72" s="127">
        <f>AVERAGE(AC88:AC92)</f>
        <v>29.599783783783739</v>
      </c>
      <c r="AG72" s="128">
        <f>MAX(AC88:AC92)</f>
        <v>38.296216216216202</v>
      </c>
    </row>
    <row r="73" spans="1:33" ht="15" thickBot="1" x14ac:dyDescent="0.35">
      <c r="G73" s="25">
        <v>2050</v>
      </c>
      <c r="H73" s="124">
        <f>MIN(P88:P92)</f>
        <v>15.701074758434601</v>
      </c>
      <c r="I73" s="129">
        <f>AVERAGE(P88:P92)</f>
        <v>20.1433995376069</v>
      </c>
      <c r="J73" s="130">
        <f>MAX(P88:P92)</f>
        <v>24.303631989555502</v>
      </c>
      <c r="K73" s="124">
        <f>MIN(Q88:Q92)</f>
        <v>19.921197173701501</v>
      </c>
      <c r="L73" s="129">
        <f>AVERAGE(Q88:Q92)</f>
        <v>25.267767649043002</v>
      </c>
      <c r="M73" s="130">
        <f>MAX(Q88:Q92)</f>
        <v>30.633815612455901</v>
      </c>
      <c r="N73" s="124">
        <f>MIN(R88:R92)</f>
        <v>24.7905691913171</v>
      </c>
      <c r="O73" s="129">
        <f>AVERAGE(R88:R92)</f>
        <v>31.369952036587858</v>
      </c>
      <c r="P73" s="130">
        <f>MAX(R88:R92)</f>
        <v>37.613248837704901</v>
      </c>
      <c r="Q73" s="124">
        <f>MIN(S88:S92)</f>
        <v>30.633815612455901</v>
      </c>
      <c r="R73" s="129">
        <f>AVERAGE(S88:S92)</f>
        <v>38.689181303719295</v>
      </c>
      <c r="S73" s="130">
        <f>MAX(S88:S92)</f>
        <v>46.215806068825898</v>
      </c>
      <c r="U73" s="25">
        <v>2050</v>
      </c>
      <c r="V73" s="124">
        <f>MIN(AD88:AD92)</f>
        <v>9.3081081081080992</v>
      </c>
      <c r="W73" s="129">
        <f>AVERAGE(AD88:AD92)</f>
        <v>12.552648648648599</v>
      </c>
      <c r="X73" s="130">
        <f>MAX(AD88:AD92)</f>
        <v>16.222702702702598</v>
      </c>
      <c r="Y73" s="124">
        <f>MIN(AE88:AE92)</f>
        <v>11.4356756756757</v>
      </c>
      <c r="Z73" s="129">
        <f>AVERAGE(AE88:AE92)</f>
        <v>15.052540540540523</v>
      </c>
      <c r="AA73" s="130">
        <f>MAX(AE88:AE92)</f>
        <v>19.281081081081101</v>
      </c>
      <c r="AB73" s="124">
        <f>MIN(AF88:AF92)</f>
        <v>14.228108108108099</v>
      </c>
      <c r="AC73" s="129">
        <f>AVERAGE(AF88:AF92)</f>
        <v>19.121513513513481</v>
      </c>
      <c r="AD73" s="130">
        <f>MAX(AF88:AF92)</f>
        <v>24.6</v>
      </c>
      <c r="AE73" s="124">
        <f>MIN(AG88:AG92)</f>
        <v>17.951351351351299</v>
      </c>
      <c r="AF73" s="129">
        <f>AVERAGE(AG88:AG92)</f>
        <v>23.908540540540479</v>
      </c>
      <c r="AG73" s="130">
        <f>MAX(AG88:AG92)</f>
        <v>30.716756756756698</v>
      </c>
    </row>
    <row r="74" spans="1:33" ht="16.2" x14ac:dyDescent="0.3">
      <c r="G74" t="s">
        <v>221</v>
      </c>
      <c r="U74" t="s">
        <v>221</v>
      </c>
    </row>
    <row r="75" spans="1:33" ht="16.2" x14ac:dyDescent="0.3">
      <c r="G75" t="s">
        <v>220</v>
      </c>
      <c r="U75" t="s">
        <v>220</v>
      </c>
    </row>
    <row r="76" spans="1:33" ht="16.2" x14ac:dyDescent="0.3">
      <c r="G76" t="s">
        <v>222</v>
      </c>
      <c r="U76" t="s">
        <v>222</v>
      </c>
    </row>
    <row r="78" spans="1:33" x14ac:dyDescent="0.3">
      <c r="G78" t="s">
        <v>216</v>
      </c>
      <c r="H78" t="s">
        <v>217</v>
      </c>
      <c r="U78" t="s">
        <v>216</v>
      </c>
      <c r="V78" t="s">
        <v>217</v>
      </c>
    </row>
    <row r="79" spans="1:33" x14ac:dyDescent="0.3">
      <c r="G79" t="s">
        <v>0</v>
      </c>
      <c r="H79">
        <v>2019</v>
      </c>
      <c r="L79">
        <v>2020</v>
      </c>
      <c r="P79">
        <v>2025</v>
      </c>
      <c r="U79" t="s">
        <v>0</v>
      </c>
      <c r="V79">
        <v>2019</v>
      </c>
      <c r="Z79">
        <v>2020</v>
      </c>
      <c r="AD79">
        <v>2025</v>
      </c>
    </row>
    <row r="80" spans="1:33" x14ac:dyDescent="0.3">
      <c r="G80" t="s">
        <v>215</v>
      </c>
      <c r="H80">
        <v>2</v>
      </c>
      <c r="I80">
        <v>4</v>
      </c>
      <c r="J80">
        <v>7</v>
      </c>
      <c r="K80">
        <v>10</v>
      </c>
      <c r="L80">
        <v>2</v>
      </c>
      <c r="M80">
        <v>4</v>
      </c>
      <c r="N80">
        <v>7</v>
      </c>
      <c r="O80">
        <v>10</v>
      </c>
      <c r="P80">
        <v>2</v>
      </c>
      <c r="Q80">
        <v>4</v>
      </c>
      <c r="R80">
        <v>7</v>
      </c>
      <c r="S80">
        <v>10</v>
      </c>
      <c r="U80" t="s">
        <v>215</v>
      </c>
      <c r="V80">
        <v>2</v>
      </c>
      <c r="W80">
        <v>4</v>
      </c>
      <c r="X80">
        <v>7</v>
      </c>
      <c r="Y80">
        <v>10</v>
      </c>
      <c r="Z80">
        <v>2</v>
      </c>
      <c r="AA80">
        <v>4</v>
      </c>
      <c r="AB80">
        <v>7</v>
      </c>
      <c r="AC80">
        <v>10</v>
      </c>
      <c r="AD80">
        <v>2</v>
      </c>
      <c r="AE80">
        <v>4</v>
      </c>
      <c r="AF80">
        <v>7</v>
      </c>
      <c r="AG80">
        <v>10</v>
      </c>
    </row>
    <row r="81" spans="7:33" x14ac:dyDescent="0.3">
      <c r="G81" t="e" vm="1">
        <v>#VALUE!</v>
      </c>
      <c r="H81" s="4">
        <v>60.986234522259998</v>
      </c>
      <c r="I81" s="4">
        <v>77.055162180391605</v>
      </c>
      <c r="J81" s="4">
        <v>96.532650250854203</v>
      </c>
      <c r="K81" s="4">
        <v>118.60713673071101</v>
      </c>
      <c r="L81" s="4">
        <v>57.739986510516303</v>
      </c>
      <c r="M81" s="4">
        <v>72.997352165711902</v>
      </c>
      <c r="N81" s="4">
        <v>91.014028630889797</v>
      </c>
      <c r="O81" s="4">
        <v>111.62770350546199</v>
      </c>
      <c r="P81" s="4">
        <v>45.241931665302801</v>
      </c>
      <c r="Q81" s="4">
        <v>57.253049308754697</v>
      </c>
      <c r="R81" s="4">
        <v>71.374228159840101</v>
      </c>
      <c r="S81" s="4">
        <v>87.4431558179717</v>
      </c>
      <c r="U81" t="e" vm="1">
        <v>#VALUE!</v>
      </c>
      <c r="V81" s="4">
        <v>43.881081081081</v>
      </c>
      <c r="W81" s="4">
        <v>53.0562162162162</v>
      </c>
      <c r="X81" s="4">
        <v>69.278918918918905</v>
      </c>
      <c r="Y81" s="4">
        <v>87.762162162162099</v>
      </c>
      <c r="Z81" s="4">
        <v>41.088648648648601</v>
      </c>
      <c r="AA81" s="4">
        <v>49.864864864864799</v>
      </c>
      <c r="AB81" s="4">
        <v>64.624864864864804</v>
      </c>
      <c r="AC81" s="4">
        <v>81.9113513513513</v>
      </c>
      <c r="AD81" s="4">
        <v>31.9135135135135</v>
      </c>
      <c r="AE81" s="4">
        <v>38.296216216216202</v>
      </c>
      <c r="AF81" s="4">
        <v>49.332972972972897</v>
      </c>
      <c r="AG81" s="4">
        <v>62.497297297297202</v>
      </c>
    </row>
    <row r="82" spans="7:33" x14ac:dyDescent="0.3">
      <c r="G82" t="e" vm="2">
        <v>#VALUE!</v>
      </c>
      <c r="H82" s="4">
        <v>58.064611311690598</v>
      </c>
      <c r="I82" s="4">
        <v>74.133538969822297</v>
      </c>
      <c r="J82" s="4">
        <v>93.124089838523304</v>
      </c>
      <c r="K82" s="4">
        <v>114.873951517206</v>
      </c>
      <c r="L82" s="4">
        <v>54.818363299946903</v>
      </c>
      <c r="M82" s="4">
        <v>69.588791753381003</v>
      </c>
      <c r="N82" s="4">
        <v>87.767780619146095</v>
      </c>
      <c r="O82" s="4">
        <v>107.894518291957</v>
      </c>
      <c r="P82" s="4">
        <v>43.405648414985201</v>
      </c>
      <c r="Q82" s="4">
        <v>54.918731988472103</v>
      </c>
      <c r="R82" s="4">
        <v>68.813832853025303</v>
      </c>
      <c r="S82" s="4">
        <v>84.561613832852302</v>
      </c>
      <c r="U82" t="e" vm="2">
        <v>#VALUE!</v>
      </c>
      <c r="V82" s="4">
        <v>38.296216216216202</v>
      </c>
      <c r="W82" s="4">
        <v>46.141621621621603</v>
      </c>
      <c r="X82" s="4">
        <v>60.236756756756698</v>
      </c>
      <c r="Y82" s="4">
        <v>76.193513513513494</v>
      </c>
      <c r="Z82" s="4">
        <v>35.769729729729697</v>
      </c>
      <c r="AA82" s="4">
        <v>43.216216216216203</v>
      </c>
      <c r="AB82" s="4">
        <v>55.981621621621599</v>
      </c>
      <c r="AC82" s="4">
        <v>71.140540540540499</v>
      </c>
      <c r="AD82" s="4">
        <v>27.924324324324299</v>
      </c>
      <c r="AE82" s="4">
        <v>33.3762162162162</v>
      </c>
      <c r="AF82" s="4">
        <v>42.817297297297202</v>
      </c>
      <c r="AG82" s="4">
        <v>54.385945945945899</v>
      </c>
    </row>
    <row r="83" spans="7:33" x14ac:dyDescent="0.3">
      <c r="G83" t="e" vm="3">
        <v>#VALUE!</v>
      </c>
      <c r="H83" s="4">
        <v>52.0073775216134</v>
      </c>
      <c r="I83" s="4">
        <v>66.431815561959098</v>
      </c>
      <c r="J83" s="4">
        <v>83.3706051873192</v>
      </c>
      <c r="K83" s="4">
        <v>103.088414985589</v>
      </c>
      <c r="L83" s="4">
        <v>49.228357348702701</v>
      </c>
      <c r="M83" s="4">
        <v>62.329452449567199</v>
      </c>
      <c r="N83" s="4">
        <v>78.474236311238499</v>
      </c>
      <c r="O83" s="4">
        <v>96.868703170027999</v>
      </c>
      <c r="P83" s="4">
        <v>38.641613832852599</v>
      </c>
      <c r="Q83" s="4">
        <v>49.096023054754603</v>
      </c>
      <c r="R83" s="4">
        <v>61.667780979826503</v>
      </c>
      <c r="S83" s="4">
        <v>75.827550432275999</v>
      </c>
      <c r="U83" t="e" vm="3">
        <v>#VALUE!</v>
      </c>
      <c r="V83" s="4">
        <v>34.041081081081003</v>
      </c>
      <c r="W83" s="4">
        <v>41.221621621621601</v>
      </c>
      <c r="X83" s="4">
        <v>53.588108108108003</v>
      </c>
      <c r="Y83" s="4">
        <v>67.417297297297296</v>
      </c>
      <c r="Z83" s="4">
        <v>32.046486486486401</v>
      </c>
      <c r="AA83" s="4">
        <v>38.296216216216202</v>
      </c>
      <c r="AB83" s="4">
        <v>49.731891891891799</v>
      </c>
      <c r="AC83" s="4">
        <v>63.029189189189097</v>
      </c>
      <c r="AD83" s="4">
        <v>24.467027027027001</v>
      </c>
      <c r="AE83" s="4">
        <v>29.5199999999999</v>
      </c>
      <c r="AF83" s="4">
        <v>38.163243243243201</v>
      </c>
      <c r="AG83" s="4">
        <v>48.003243243243197</v>
      </c>
    </row>
    <row r="84" spans="7:33" x14ac:dyDescent="0.3">
      <c r="G84" t="e" vm="4">
        <v>#VALUE!</v>
      </c>
      <c r="H84" s="4">
        <v>41.817636887607698</v>
      </c>
      <c r="I84" s="4">
        <v>52.801383285302101</v>
      </c>
      <c r="J84" s="4">
        <v>66.431815561959098</v>
      </c>
      <c r="K84" s="4">
        <v>81.650259365993506</v>
      </c>
      <c r="L84" s="4">
        <v>39.303285302593302</v>
      </c>
      <c r="M84" s="4">
        <v>49.890028818443398</v>
      </c>
      <c r="N84" s="4">
        <v>62.329452449567199</v>
      </c>
      <c r="O84" s="4">
        <v>76.753890489912905</v>
      </c>
      <c r="P84" s="4">
        <v>31.098559077809501</v>
      </c>
      <c r="Q84" s="4">
        <v>39.303285302593302</v>
      </c>
      <c r="R84" s="4">
        <v>48.831354466858301</v>
      </c>
      <c r="S84" s="4">
        <v>60.212103746397098</v>
      </c>
      <c r="U84" t="e" vm="4">
        <v>#VALUE!</v>
      </c>
      <c r="V84" s="4">
        <v>29.121081081081002</v>
      </c>
      <c r="W84" s="4">
        <v>34.971891891891801</v>
      </c>
      <c r="X84" s="4">
        <v>45.6097297297297</v>
      </c>
      <c r="Y84" s="4">
        <v>57.976216216216201</v>
      </c>
      <c r="Z84" s="4">
        <v>26.993513513513498</v>
      </c>
      <c r="AA84" s="4">
        <v>32.844324324324297</v>
      </c>
      <c r="AB84" s="4">
        <v>42.817297297297202</v>
      </c>
      <c r="AC84" s="4">
        <v>53.854054054053996</v>
      </c>
      <c r="AD84" s="4">
        <v>20.743783783783702</v>
      </c>
      <c r="AE84" s="4">
        <v>25.530810810810799</v>
      </c>
      <c r="AF84" s="4">
        <v>32.445405405405403</v>
      </c>
      <c r="AG84" s="4">
        <v>41.088648648648601</v>
      </c>
    </row>
    <row r="85" spans="7:33" x14ac:dyDescent="0.3">
      <c r="G85" t="e" vm="5">
        <v>#VALUE!</v>
      </c>
      <c r="H85" s="4">
        <v>39.560997644751197</v>
      </c>
      <c r="I85" s="4">
        <v>50.7605532852672</v>
      </c>
      <c r="J85" s="4">
        <v>63.583232931654997</v>
      </c>
      <c r="K85" s="4">
        <v>78.353661385089197</v>
      </c>
      <c r="L85" s="4">
        <v>37.450605187319503</v>
      </c>
      <c r="M85" s="4">
        <v>47.514305273523497</v>
      </c>
      <c r="N85" s="4">
        <v>59.850047718149703</v>
      </c>
      <c r="O85" s="4">
        <v>73.808914168647902</v>
      </c>
      <c r="P85" s="4">
        <v>29.335316407758299</v>
      </c>
      <c r="Q85" s="4">
        <v>37.126311635943402</v>
      </c>
      <c r="R85" s="4">
        <v>47.189680472349004</v>
      </c>
      <c r="S85" s="4">
        <v>57.739986510516303</v>
      </c>
      <c r="U85" t="e" vm="5">
        <v>#VALUE!</v>
      </c>
      <c r="V85" s="4">
        <v>25.7967567567567</v>
      </c>
      <c r="W85" s="4">
        <v>31.248648648648601</v>
      </c>
      <c r="X85" s="4">
        <v>40.290810810810797</v>
      </c>
      <c r="Y85" s="4">
        <v>51.327567567567499</v>
      </c>
      <c r="Z85" s="4">
        <v>24.068108108108099</v>
      </c>
      <c r="AA85" s="4">
        <v>29.121081081081002</v>
      </c>
      <c r="AB85" s="4">
        <v>37.764324324324299</v>
      </c>
      <c r="AC85" s="4">
        <v>47.604324324324303</v>
      </c>
      <c r="AD85" s="4">
        <v>18.749189189189099</v>
      </c>
      <c r="AE85" s="4">
        <v>22.472432432432399</v>
      </c>
      <c r="AF85" s="4">
        <v>28.7221621621621</v>
      </c>
      <c r="AG85" s="4">
        <v>36.4345945945946</v>
      </c>
    </row>
    <row r="86" spans="7:33" x14ac:dyDescent="0.3">
      <c r="G86" t="s">
        <v>0</v>
      </c>
      <c r="H86">
        <v>2030</v>
      </c>
      <c r="L86">
        <v>2040</v>
      </c>
      <c r="P86">
        <v>2050</v>
      </c>
      <c r="U86" t="s">
        <v>0</v>
      </c>
      <c r="V86">
        <v>2030</v>
      </c>
      <c r="Z86">
        <v>2040</v>
      </c>
      <c r="AD86">
        <v>2050</v>
      </c>
    </row>
    <row r="87" spans="7:33" x14ac:dyDescent="0.3">
      <c r="G87" t="s">
        <v>215</v>
      </c>
      <c r="H87">
        <v>2</v>
      </c>
      <c r="I87">
        <v>4</v>
      </c>
      <c r="J87">
        <v>7</v>
      </c>
      <c r="K87">
        <v>10</v>
      </c>
      <c r="L87">
        <v>2</v>
      </c>
      <c r="M87">
        <v>4</v>
      </c>
      <c r="N87">
        <v>7</v>
      </c>
      <c r="O87">
        <v>10</v>
      </c>
      <c r="P87">
        <v>2</v>
      </c>
      <c r="Q87">
        <v>4</v>
      </c>
      <c r="R87">
        <v>7</v>
      </c>
      <c r="S87">
        <v>10</v>
      </c>
      <c r="U87" t="s">
        <v>215</v>
      </c>
      <c r="V87">
        <v>2</v>
      </c>
      <c r="W87">
        <v>4</v>
      </c>
      <c r="X87">
        <v>7</v>
      </c>
      <c r="Y87">
        <v>10</v>
      </c>
      <c r="Z87">
        <v>2</v>
      </c>
      <c r="AA87">
        <v>4</v>
      </c>
      <c r="AB87">
        <v>7</v>
      </c>
      <c r="AC87">
        <v>10</v>
      </c>
      <c r="AD87">
        <v>2</v>
      </c>
      <c r="AE87">
        <v>4</v>
      </c>
      <c r="AF87">
        <v>7</v>
      </c>
      <c r="AG87">
        <v>10</v>
      </c>
    </row>
    <row r="88" spans="7:33" x14ac:dyDescent="0.3">
      <c r="G88" t="e" vm="1">
        <v>#VALUE!</v>
      </c>
      <c r="H88" s="4">
        <v>37.450936437117797</v>
      </c>
      <c r="I88" s="4">
        <v>47.514305273523398</v>
      </c>
      <c r="J88" s="4">
        <v>59.038485715213803</v>
      </c>
      <c r="K88" s="4">
        <v>72.510414963950396</v>
      </c>
      <c r="L88" s="4">
        <v>29.335316407758398</v>
      </c>
      <c r="M88" s="4">
        <v>36.801686834769001</v>
      </c>
      <c r="N88" s="4">
        <v>45.891181267651497</v>
      </c>
      <c r="O88" s="4">
        <v>56.116862504644402</v>
      </c>
      <c r="P88" s="4">
        <v>24.303631989555502</v>
      </c>
      <c r="Q88" s="4">
        <v>30.633815612455901</v>
      </c>
      <c r="R88" s="4">
        <v>37.613248837704901</v>
      </c>
      <c r="S88" s="4">
        <v>46.215806068825898</v>
      </c>
      <c r="U88" t="e" vm="1">
        <v>#VALUE!</v>
      </c>
      <c r="V88" s="4">
        <v>26.195675675675599</v>
      </c>
      <c r="W88" s="4">
        <v>31.248648648648601</v>
      </c>
      <c r="X88" s="4">
        <v>40.290810810810797</v>
      </c>
      <c r="Y88" s="4">
        <v>50.529729729729702</v>
      </c>
      <c r="Z88" s="4">
        <v>19.945945945945901</v>
      </c>
      <c r="AA88" s="4">
        <v>23.802162162162102</v>
      </c>
      <c r="AB88" s="4">
        <v>30.450810810810701</v>
      </c>
      <c r="AC88" s="4">
        <v>38.296216216216202</v>
      </c>
      <c r="AD88" s="4">
        <v>16.222702702702598</v>
      </c>
      <c r="AE88" s="4">
        <v>19.281081081081101</v>
      </c>
      <c r="AF88" s="4">
        <v>24.6</v>
      </c>
      <c r="AG88" s="4">
        <v>30.716756756756698</v>
      </c>
    </row>
    <row r="89" spans="7:33" x14ac:dyDescent="0.3">
      <c r="G89" t="e" vm="2">
        <v>#VALUE!</v>
      </c>
      <c r="H89" s="4">
        <v>35.862593659942</v>
      </c>
      <c r="I89" s="4">
        <v>45.522997118155203</v>
      </c>
      <c r="J89" s="4">
        <v>57.168414985590303</v>
      </c>
      <c r="K89" s="4">
        <v>70.075728955142594</v>
      </c>
      <c r="L89" s="4">
        <v>27.7902017291063</v>
      </c>
      <c r="M89" s="4">
        <v>35.200922190201403</v>
      </c>
      <c r="N89" s="4">
        <v>44.199654178673903</v>
      </c>
      <c r="O89" s="4">
        <v>54.521729106627703</v>
      </c>
      <c r="P89" s="4">
        <v>23.2908357348701</v>
      </c>
      <c r="Q89" s="4">
        <v>28.981210374639499</v>
      </c>
      <c r="R89" s="4">
        <v>36.391930835734499</v>
      </c>
      <c r="S89" s="4">
        <v>44.728991354466402</v>
      </c>
      <c r="U89" t="e" vm="2">
        <v>#VALUE!</v>
      </c>
      <c r="V89" s="4">
        <v>22.472432432432399</v>
      </c>
      <c r="W89" s="4">
        <v>27.126486486486399</v>
      </c>
      <c r="X89" s="4">
        <v>34.971891891891801</v>
      </c>
      <c r="Y89" s="4">
        <v>44.014054054054</v>
      </c>
      <c r="Z89" s="4">
        <v>17.020540540540502</v>
      </c>
      <c r="AA89" s="4">
        <v>20.4778378378378</v>
      </c>
      <c r="AB89" s="4">
        <v>26.195675675675599</v>
      </c>
      <c r="AC89" s="4">
        <v>33.243243243243199</v>
      </c>
      <c r="AD89" s="4">
        <v>14.228108108108099</v>
      </c>
      <c r="AE89" s="4">
        <v>16.754594594594501</v>
      </c>
      <c r="AF89" s="4">
        <v>21.2756756756756</v>
      </c>
      <c r="AG89" s="4">
        <v>26.594594594594501</v>
      </c>
    </row>
    <row r="90" spans="7:33" x14ac:dyDescent="0.3">
      <c r="G90" t="e" vm="3">
        <v>#VALUE!</v>
      </c>
      <c r="H90" s="4">
        <v>31.892564841498199</v>
      </c>
      <c r="I90" s="4">
        <v>40.494293948126398</v>
      </c>
      <c r="J90" s="4">
        <v>50.816368876080197</v>
      </c>
      <c r="K90" s="4">
        <v>62.726455331411501</v>
      </c>
      <c r="L90" s="4">
        <v>24.8788472622476</v>
      </c>
      <c r="M90" s="4">
        <v>31.495561959653902</v>
      </c>
      <c r="N90" s="4">
        <v>39.303285302593302</v>
      </c>
      <c r="O90" s="4">
        <v>48.302017291065901</v>
      </c>
      <c r="P90" s="4">
        <v>20.908818443803799</v>
      </c>
      <c r="Q90" s="4">
        <v>26.069855907780699</v>
      </c>
      <c r="R90" s="4">
        <v>32.2895677233426</v>
      </c>
      <c r="S90" s="4">
        <v>40.097291066282096</v>
      </c>
      <c r="U90" t="e" vm="3">
        <v>#VALUE!</v>
      </c>
      <c r="V90" s="4">
        <v>19.945945945945901</v>
      </c>
      <c r="W90" s="4">
        <v>24.334054054054</v>
      </c>
      <c r="X90" s="4">
        <v>31.381621621621601</v>
      </c>
      <c r="Y90" s="4">
        <v>39.094054054053998</v>
      </c>
      <c r="Z90" s="4">
        <v>15.5578378378378</v>
      </c>
      <c r="AA90" s="4">
        <v>18.350270270270201</v>
      </c>
      <c r="AB90" s="4">
        <v>23.4032432432432</v>
      </c>
      <c r="AC90" s="4">
        <v>29.52</v>
      </c>
      <c r="AD90" s="4">
        <v>12.4994594594594</v>
      </c>
      <c r="AE90" s="4">
        <v>15.1589189189189</v>
      </c>
      <c r="AF90" s="4">
        <v>19.148108108108101</v>
      </c>
      <c r="AG90" s="4">
        <v>23.802162162162102</v>
      </c>
    </row>
    <row r="91" spans="7:33" x14ac:dyDescent="0.3">
      <c r="G91" t="e" vm="4">
        <v>#VALUE!</v>
      </c>
      <c r="H91" s="4">
        <v>25.805187319884499</v>
      </c>
      <c r="I91" s="4">
        <v>32.686570605187001</v>
      </c>
      <c r="J91" s="4">
        <v>40.494293948126398</v>
      </c>
      <c r="K91" s="4">
        <v>49.493025936598997</v>
      </c>
      <c r="L91" s="4">
        <v>19.921197173701501</v>
      </c>
      <c r="M91" s="4">
        <v>25.277506393078699</v>
      </c>
      <c r="N91" s="4">
        <v>31.607690015978999</v>
      </c>
      <c r="O91" s="4">
        <v>38.424810840640902</v>
      </c>
      <c r="P91" s="4">
        <v>16.512636761370501</v>
      </c>
      <c r="Q91" s="4">
        <v>20.732759176637401</v>
      </c>
      <c r="R91" s="4">
        <v>25.764443594840198</v>
      </c>
      <c r="S91" s="4">
        <v>31.7700024165662</v>
      </c>
      <c r="U91" t="e" vm="4">
        <v>#VALUE!</v>
      </c>
      <c r="V91" s="4">
        <v>17.020540540540502</v>
      </c>
      <c r="W91" s="4">
        <v>20.4778378378378</v>
      </c>
      <c r="X91" s="4">
        <v>26.594594594594501</v>
      </c>
      <c r="Y91" s="4">
        <v>33.243243243243199</v>
      </c>
      <c r="Z91" s="4">
        <v>13.031351351351301</v>
      </c>
      <c r="AA91" s="4">
        <v>15.5578378378378</v>
      </c>
      <c r="AB91" s="4">
        <v>20.078918918918902</v>
      </c>
      <c r="AC91" s="4">
        <v>24.865945945945899</v>
      </c>
      <c r="AD91" s="4">
        <v>10.5048648648648</v>
      </c>
      <c r="AE91" s="4">
        <v>12.632432432432401</v>
      </c>
      <c r="AF91" s="4">
        <v>16.355675675675599</v>
      </c>
      <c r="AG91" s="4">
        <v>20.4778378378378</v>
      </c>
    </row>
    <row r="92" spans="7:33" x14ac:dyDescent="0.3">
      <c r="G92" t="e" vm="5">
        <v>#VALUE!</v>
      </c>
      <c r="H92" s="4">
        <v>24.349510086455101</v>
      </c>
      <c r="I92" s="4">
        <v>30.958440413630299</v>
      </c>
      <c r="J92" s="4">
        <v>38.9117480424025</v>
      </c>
      <c r="K92" s="4">
        <v>47.838930074697799</v>
      </c>
      <c r="L92" s="4">
        <v>18.9473227701783</v>
      </c>
      <c r="M92" s="4">
        <v>23.9790071883812</v>
      </c>
      <c r="N92" s="4">
        <v>30.3091908112815</v>
      </c>
      <c r="O92" s="4">
        <v>37.126311635943402</v>
      </c>
      <c r="P92" s="4">
        <v>15.701074758434601</v>
      </c>
      <c r="Q92" s="4">
        <v>19.921197173701501</v>
      </c>
      <c r="R92" s="4">
        <v>24.7905691913171</v>
      </c>
      <c r="S92" s="4">
        <v>30.633815612455901</v>
      </c>
      <c r="U92" t="e" vm="5">
        <v>#VALUE!</v>
      </c>
      <c r="V92" s="4">
        <v>15.025945945945899</v>
      </c>
      <c r="W92" s="4">
        <v>18.483243243243201</v>
      </c>
      <c r="X92" s="4">
        <v>23.4032432432432</v>
      </c>
      <c r="Y92" s="4">
        <v>29.5199999999999</v>
      </c>
      <c r="Z92" s="4">
        <v>11.7016216216216</v>
      </c>
      <c r="AA92" s="4">
        <v>13.9621621621621</v>
      </c>
      <c r="AB92" s="4">
        <v>17.552432432432401</v>
      </c>
      <c r="AC92" s="4">
        <v>22.073513513513401</v>
      </c>
      <c r="AD92" s="4">
        <v>9.3081081081080992</v>
      </c>
      <c r="AE92" s="4">
        <v>11.4356756756757</v>
      </c>
      <c r="AF92" s="4">
        <v>14.228108108108099</v>
      </c>
      <c r="AG92" s="4">
        <v>17.951351351351299</v>
      </c>
    </row>
    <row r="93" spans="7:33" ht="15" thickBot="1" x14ac:dyDescent="0.35"/>
    <row r="94" spans="7:33" ht="18.600000000000001" thickBot="1" x14ac:dyDescent="0.35">
      <c r="G94" s="289" t="s">
        <v>0</v>
      </c>
      <c r="H94" s="338" t="s">
        <v>380</v>
      </c>
      <c r="I94" s="339"/>
      <c r="J94" s="339"/>
      <c r="K94" s="339"/>
      <c r="L94" s="339"/>
      <c r="M94" s="339"/>
      <c r="N94" s="339"/>
      <c r="O94" s="339"/>
      <c r="P94" s="339"/>
      <c r="Q94" s="339"/>
      <c r="R94" s="339"/>
      <c r="S94" s="340"/>
      <c r="U94" s="289" t="s">
        <v>0</v>
      </c>
      <c r="V94" s="338" t="s">
        <v>380</v>
      </c>
      <c r="W94" s="339"/>
      <c r="X94" s="339"/>
      <c r="Y94" s="339"/>
      <c r="Z94" s="339"/>
      <c r="AA94" s="339"/>
      <c r="AB94" s="339"/>
      <c r="AC94" s="339"/>
      <c r="AD94" s="339"/>
      <c r="AE94" s="339"/>
      <c r="AF94" s="339"/>
      <c r="AG94" s="340"/>
    </row>
    <row r="95" spans="7:33" ht="18.600000000000001" thickBot="1" x14ac:dyDescent="0.4">
      <c r="G95" s="344"/>
      <c r="H95" s="380" t="s">
        <v>206</v>
      </c>
      <c r="I95" s="381"/>
      <c r="J95" s="381"/>
      <c r="K95" s="381"/>
      <c r="L95" s="381"/>
      <c r="M95" s="381"/>
      <c r="N95" s="381"/>
      <c r="O95" s="381"/>
      <c r="P95" s="381"/>
      <c r="Q95" s="381"/>
      <c r="R95" s="381"/>
      <c r="S95" s="382"/>
      <c r="U95" s="344"/>
      <c r="V95" s="380" t="s">
        <v>206</v>
      </c>
      <c r="W95" s="381"/>
      <c r="X95" s="381"/>
      <c r="Y95" s="381"/>
      <c r="Z95" s="381"/>
      <c r="AA95" s="381"/>
      <c r="AB95" s="381"/>
      <c r="AC95" s="381"/>
      <c r="AD95" s="381"/>
      <c r="AE95" s="381"/>
      <c r="AF95" s="381"/>
      <c r="AG95" s="382"/>
    </row>
    <row r="96" spans="7:33" ht="21" thickBot="1" x14ac:dyDescent="0.35">
      <c r="G96" s="344"/>
      <c r="H96" s="404" t="s">
        <v>208</v>
      </c>
      <c r="I96" s="405"/>
      <c r="J96" s="405"/>
      <c r="K96" s="405"/>
      <c r="L96" s="405"/>
      <c r="M96" s="405"/>
      <c r="N96" s="405"/>
      <c r="O96" s="405"/>
      <c r="P96" s="405"/>
      <c r="Q96" s="405"/>
      <c r="R96" s="405"/>
      <c r="S96" s="406"/>
      <c r="U96" s="344"/>
      <c r="V96" s="368" t="s">
        <v>210</v>
      </c>
      <c r="W96" s="369"/>
      <c r="X96" s="369"/>
      <c r="Y96" s="369"/>
      <c r="Z96" s="369"/>
      <c r="AA96" s="369"/>
      <c r="AB96" s="369"/>
      <c r="AC96" s="369"/>
      <c r="AD96" s="369"/>
      <c r="AE96" s="369"/>
      <c r="AF96" s="369"/>
      <c r="AG96" s="370"/>
    </row>
    <row r="97" spans="7:33" ht="15" thickBot="1" x14ac:dyDescent="0.35">
      <c r="G97" s="344"/>
      <c r="H97" s="401" t="s">
        <v>214</v>
      </c>
      <c r="I97" s="402"/>
      <c r="J97" s="403"/>
      <c r="K97" s="401" t="s">
        <v>211</v>
      </c>
      <c r="L97" s="402"/>
      <c r="M97" s="403"/>
      <c r="N97" s="401" t="s">
        <v>212</v>
      </c>
      <c r="O97" s="402"/>
      <c r="P97" s="403"/>
      <c r="Q97" s="401" t="s">
        <v>213</v>
      </c>
      <c r="R97" s="402"/>
      <c r="S97" s="403"/>
      <c r="U97" s="344"/>
      <c r="V97" s="398" t="s">
        <v>214</v>
      </c>
      <c r="W97" s="399"/>
      <c r="X97" s="400"/>
      <c r="Y97" s="398" t="s">
        <v>211</v>
      </c>
      <c r="Z97" s="399"/>
      <c r="AA97" s="400"/>
      <c r="AB97" s="398" t="s">
        <v>212</v>
      </c>
      <c r="AC97" s="399"/>
      <c r="AD97" s="400"/>
      <c r="AE97" s="398" t="s">
        <v>213</v>
      </c>
      <c r="AF97" s="399"/>
      <c r="AG97" s="400"/>
    </row>
    <row r="98" spans="7:33" ht="16.8" thickBot="1" x14ac:dyDescent="0.35">
      <c r="G98" s="290"/>
      <c r="H98" s="180" t="s">
        <v>218</v>
      </c>
      <c r="I98" s="183" t="s">
        <v>219</v>
      </c>
      <c r="J98" s="184" t="s">
        <v>134</v>
      </c>
      <c r="K98" s="180" t="s">
        <v>218</v>
      </c>
      <c r="L98" s="183" t="s">
        <v>219</v>
      </c>
      <c r="M98" s="184" t="s">
        <v>134</v>
      </c>
      <c r="N98" s="180" t="s">
        <v>218</v>
      </c>
      <c r="O98" s="183" t="s">
        <v>219</v>
      </c>
      <c r="P98" s="184" t="s">
        <v>134</v>
      </c>
      <c r="Q98" s="180" t="s">
        <v>218</v>
      </c>
      <c r="R98" s="183" t="s">
        <v>219</v>
      </c>
      <c r="S98" s="184" t="s">
        <v>134</v>
      </c>
      <c r="U98" s="290"/>
      <c r="V98" s="179" t="s">
        <v>218</v>
      </c>
      <c r="W98" s="185" t="s">
        <v>219</v>
      </c>
      <c r="X98" s="186" t="s">
        <v>134</v>
      </c>
      <c r="Y98" s="179" t="s">
        <v>218</v>
      </c>
      <c r="Z98" s="185" t="s">
        <v>219</v>
      </c>
      <c r="AA98" s="186" t="s">
        <v>134</v>
      </c>
      <c r="AB98" s="179" t="s">
        <v>218</v>
      </c>
      <c r="AC98" s="185" t="s">
        <v>219</v>
      </c>
      <c r="AD98" s="186" t="s">
        <v>134</v>
      </c>
      <c r="AE98" s="179" t="s">
        <v>218</v>
      </c>
      <c r="AF98" s="185" t="s">
        <v>219</v>
      </c>
      <c r="AG98" s="186" t="s">
        <v>134</v>
      </c>
    </row>
    <row r="99" spans="7:33" x14ac:dyDescent="0.3">
      <c r="G99" s="52">
        <v>2019</v>
      </c>
      <c r="H99" s="122">
        <f>MIN(H112:H116)</f>
        <v>31.512911392405002</v>
      </c>
      <c r="I99" s="125">
        <f>AVERAGE(H112:H116)</f>
        <v>41.751493670885999</v>
      </c>
      <c r="J99" s="126">
        <f>MAX(H112:H116)</f>
        <v>53.559493670885999</v>
      </c>
      <c r="K99" s="122">
        <f>MIN(I112:I116)</f>
        <v>38.612658227848101</v>
      </c>
      <c r="L99" s="125">
        <f>AVERAGE(I112:I116)</f>
        <v>51.242734177215141</v>
      </c>
      <c r="M99" s="126">
        <f>MAX(I112:I116)</f>
        <v>65.766075949367007</v>
      </c>
      <c r="N99" s="122">
        <f>MIN(J112:J116)</f>
        <v>50.943797468354397</v>
      </c>
      <c r="O99" s="125">
        <f>AVERAGE(J112:J116)</f>
        <v>67.883544303797436</v>
      </c>
      <c r="P99" s="126">
        <f>MAX(J112:J116)</f>
        <v>87.438987341772105</v>
      </c>
      <c r="Q99" s="122">
        <f>MIN(K112:K116)</f>
        <v>65.641518987341698</v>
      </c>
      <c r="R99" s="125">
        <f>AVERAGE(K112:K116)</f>
        <v>87.239696202531519</v>
      </c>
      <c r="S99" s="126">
        <f>MAX(K112:K116)</f>
        <v>112.350379746835</v>
      </c>
      <c r="U99" s="52">
        <v>2019</v>
      </c>
      <c r="V99" s="122">
        <f>MIN(V112:V116)</f>
        <v>20.3816042780748</v>
      </c>
      <c r="W99" s="125">
        <f>AVERAGE(V112:V116)</f>
        <v>27.109989304812757</v>
      </c>
      <c r="X99" s="126">
        <f>MAX(V112:V116)</f>
        <v>34.869732620320796</v>
      </c>
      <c r="Y99" s="122">
        <f>MIN(W112:W116)</f>
        <v>24.678930481283299</v>
      </c>
      <c r="Z99" s="125">
        <f>AVERAGE(W112:W116)</f>
        <v>32.757903743315438</v>
      </c>
      <c r="AA99" s="126">
        <f>MAX(W112:W116)</f>
        <v>42.359358288769997</v>
      </c>
      <c r="AB99" s="122">
        <f>MIN(X112:X116)</f>
        <v>32.168556149732602</v>
      </c>
      <c r="AC99" s="125">
        <f>AVERAGE(X112:X116)</f>
        <v>42.678588235294086</v>
      </c>
      <c r="AD99" s="126">
        <f>MAX(X112:X116)</f>
        <v>54.882994652406403</v>
      </c>
      <c r="AE99" s="122">
        <f>MIN(Y112:Y116)</f>
        <v>40.517647058823499</v>
      </c>
      <c r="AF99" s="125">
        <f>AVERAGE(Y112:Y116)</f>
        <v>54.097197860962481</v>
      </c>
      <c r="AG99" s="126">
        <f>MAX(Y112:Y116)</f>
        <v>69.739465240641593</v>
      </c>
    </row>
    <row r="100" spans="7:33" x14ac:dyDescent="0.3">
      <c r="G100" s="24">
        <v>2020</v>
      </c>
      <c r="H100" s="123">
        <f>MIN(L112:L116)</f>
        <v>29.5199999999999</v>
      </c>
      <c r="I100" s="127">
        <f>AVERAGE(L112:L116)</f>
        <v>39.011240506329059</v>
      </c>
      <c r="J100" s="128">
        <f>MAX(L112:L116)</f>
        <v>50.071898734177203</v>
      </c>
      <c r="K100" s="123">
        <f>MIN(M112:M116)</f>
        <v>36.246075949366997</v>
      </c>
      <c r="L100" s="127">
        <f>AVERAGE(M112:M116)</f>
        <v>48.029164556961987</v>
      </c>
      <c r="M100" s="128">
        <f>MAX(M112:M116)</f>
        <v>61.904810126582198</v>
      </c>
      <c r="N100" s="123">
        <f>MIN(N112:N116)</f>
        <v>47.829873417721501</v>
      </c>
      <c r="O100" s="127">
        <f>AVERAGE(N112:N116)</f>
        <v>63.499139240506281</v>
      </c>
      <c r="P100" s="128">
        <f>MAX(N112:N116)</f>
        <v>81.584810126582198</v>
      </c>
      <c r="Q100" s="123">
        <f>MIN(O112:O116)</f>
        <v>61.282025316455602</v>
      </c>
      <c r="R100" s="127">
        <f>AVERAGE(O112:O116)</f>
        <v>81.460253164556832</v>
      </c>
      <c r="S100" s="128">
        <f>MAX(O112:O116)</f>
        <v>104.876962025316</v>
      </c>
      <c r="U100" s="24">
        <v>2020</v>
      </c>
      <c r="V100" s="123">
        <f>MIN(Z112:Z116)</f>
        <v>19.153796791443799</v>
      </c>
      <c r="W100" s="127">
        <f>AVERAGE(Z112:Z116)</f>
        <v>25.415614973261977</v>
      </c>
      <c r="X100" s="128">
        <f>MAX(Z112:Z116)</f>
        <v>32.659679144385002</v>
      </c>
      <c r="Y100" s="123">
        <f>MIN(AA112:AA116)</f>
        <v>23.082780748663001</v>
      </c>
      <c r="Z100" s="127">
        <f>AVERAGE(AA112:AA116)</f>
        <v>30.695187165775319</v>
      </c>
      <c r="AA100" s="128">
        <f>MAX(AA112:AA116)</f>
        <v>39.658181818181703</v>
      </c>
      <c r="AB100" s="123">
        <f>MIN(AB112:AB116)</f>
        <v>29.958502673796701</v>
      </c>
      <c r="AC100" s="127">
        <f>AVERAGE(AB112:AB116)</f>
        <v>39.830074866310099</v>
      </c>
      <c r="AD100" s="128">
        <f>MAX(AB112:AB116)</f>
        <v>51.322352941176398</v>
      </c>
      <c r="AE100" s="123">
        <f>MIN(AC112:AC116)</f>
        <v>37.939251336898302</v>
      </c>
      <c r="AF100" s="127">
        <f>AVERAGE(AC112:AC116)</f>
        <v>50.511999999999944</v>
      </c>
      <c r="AG100" s="128">
        <f>MAX(AC112:AC116)</f>
        <v>65.196577540106901</v>
      </c>
    </row>
    <row r="101" spans="7:33" x14ac:dyDescent="0.3">
      <c r="G101" s="24">
        <v>2025</v>
      </c>
      <c r="H101" s="123">
        <f>MIN(P112:P116)</f>
        <v>22.918481012658201</v>
      </c>
      <c r="I101" s="127">
        <f>AVERAGE(P112:P116)</f>
        <v>30.4417215189873</v>
      </c>
      <c r="J101" s="128">
        <f>MAX(P112:P116)</f>
        <v>39.110886075949303</v>
      </c>
      <c r="K101" s="123">
        <f>MIN(Q112:Q116)</f>
        <v>28.025316455696199</v>
      </c>
      <c r="L101" s="127">
        <f>AVERAGE(Q112:Q116)</f>
        <v>37.217620253164526</v>
      </c>
      <c r="M101" s="128">
        <f>MAX(Q112:Q116)</f>
        <v>47.829873417721501</v>
      </c>
      <c r="N101" s="123">
        <f>MIN(R112:R116)</f>
        <v>36.993417721519002</v>
      </c>
      <c r="O101" s="127">
        <f>AVERAGE(R112:R116)</f>
        <v>49.000708860759467</v>
      </c>
      <c r="P101" s="128">
        <f>MAX(R112:R116)</f>
        <v>63.025822784810103</v>
      </c>
      <c r="Q101" s="123">
        <f>MIN(S112:S116)</f>
        <v>46.9579746835443</v>
      </c>
      <c r="R101" s="127">
        <f>AVERAGE(S112:S116)</f>
        <v>62.701974683544243</v>
      </c>
      <c r="S101" s="128">
        <f>MAX(S112:S116)</f>
        <v>80.8374683544303</v>
      </c>
      <c r="U101" s="24">
        <v>2025</v>
      </c>
      <c r="V101" s="123">
        <f>MIN(AD112:AD116)</f>
        <v>14.6109090909091</v>
      </c>
      <c r="W101" s="127">
        <f>AVERAGE(AD112:AD116)</f>
        <v>19.57125133689836</v>
      </c>
      <c r="X101" s="128">
        <f>MAX(AD112:AD116)</f>
        <v>25.292834224598899</v>
      </c>
      <c r="Y101" s="123">
        <f>MIN(AE112:AE116)</f>
        <v>17.803208556149698</v>
      </c>
      <c r="Z101" s="127">
        <f>AVERAGE(AE112:AE116)</f>
        <v>23.647572192513302</v>
      </c>
      <c r="AA101" s="128">
        <f>MAX(AE112:AE116)</f>
        <v>30.326844919786001</v>
      </c>
      <c r="AB101" s="123">
        <f>MIN(AF112:AF116)</f>
        <v>23.082780748663001</v>
      </c>
      <c r="AC101" s="127">
        <f>AVERAGE(AF112:AF116)</f>
        <v>30.572406417112241</v>
      </c>
      <c r="AD101" s="128">
        <f>MAX(AF112:AF116)</f>
        <v>39.535401069518699</v>
      </c>
      <c r="AE101" s="123">
        <f>MIN(AG112:AG116)</f>
        <v>28.730695187165701</v>
      </c>
      <c r="AF101" s="127">
        <f>AVERAGE(AG112:AG116)</f>
        <v>38.430374331550738</v>
      </c>
      <c r="AG101" s="128">
        <f>MAX(AG112:AG116)</f>
        <v>49.4806417112299</v>
      </c>
    </row>
    <row r="102" spans="7:33" x14ac:dyDescent="0.3">
      <c r="G102" s="24">
        <v>2030</v>
      </c>
      <c r="H102" s="123">
        <f>MIN(H119:H123)</f>
        <v>18.683544303797401</v>
      </c>
      <c r="I102" s="127">
        <f>AVERAGE(H119:H123)</f>
        <v>25.085772151898659</v>
      </c>
      <c r="J102" s="128">
        <f>MAX(H119:H123)</f>
        <v>32.384810126582202</v>
      </c>
      <c r="K102" s="123">
        <f>MIN(I119:I123)</f>
        <v>23.0430379746835</v>
      </c>
      <c r="L102" s="127">
        <f>AVERAGE(I119:I123)</f>
        <v>30.541367088607558</v>
      </c>
      <c r="M102" s="128">
        <f>MAX(I119:I123)</f>
        <v>39.235443037974598</v>
      </c>
      <c r="N102" s="123">
        <f>MIN(J119:J123)</f>
        <v>30.3918987341772</v>
      </c>
      <c r="O102" s="127">
        <f>AVERAGE(J119:J123)</f>
        <v>40.281721518987318</v>
      </c>
      <c r="P102" s="128">
        <f>MAX(J119:J123)</f>
        <v>51.691139240506303</v>
      </c>
      <c r="Q102" s="123">
        <f>MIN(K119:K123)</f>
        <v>38.612658227848101</v>
      </c>
      <c r="R102" s="127">
        <f>AVERAGE(K119:K123)</f>
        <v>51.317468354430346</v>
      </c>
      <c r="S102" s="128">
        <f>MAX(K119:K123)</f>
        <v>66.015189873417697</v>
      </c>
      <c r="U102" s="24">
        <v>2030</v>
      </c>
      <c r="V102" s="123">
        <f>MIN(V119:V123)</f>
        <v>12.278074866310099</v>
      </c>
      <c r="W102" s="127">
        <f>AVERAGE(V119:V123)</f>
        <v>16.25617112299458</v>
      </c>
      <c r="X102" s="128">
        <f>MAX(V119:V123)</f>
        <v>20.7499465240641</v>
      </c>
      <c r="Y102" s="123">
        <f>MIN(W119:W123)</f>
        <v>14.733689839572101</v>
      </c>
      <c r="Z102" s="127">
        <f>AVERAGE(W119:W123)</f>
        <v>19.448470588235217</v>
      </c>
      <c r="AA102" s="128">
        <f>MAX(W119:W123)</f>
        <v>25.047272727272698</v>
      </c>
      <c r="AB102" s="123">
        <f>MIN(X119:X123)</f>
        <v>18.785454545454499</v>
      </c>
      <c r="AC102" s="127">
        <f>AVERAGE(X119:X123)</f>
        <v>24.949048128342199</v>
      </c>
      <c r="AD102" s="128">
        <f>MAX(X119:X123)</f>
        <v>32.291336898395699</v>
      </c>
      <c r="AE102" s="123">
        <f>MIN(Y119:Y123)</f>
        <v>23.328342245989202</v>
      </c>
      <c r="AF102" s="127">
        <f>AVERAGE(Y119:Y123)</f>
        <v>31.284534759358216</v>
      </c>
      <c r="AG102" s="128">
        <f>MAX(Y119:Y123)</f>
        <v>40.272085561497299</v>
      </c>
    </row>
    <row r="103" spans="7:33" x14ac:dyDescent="0.3">
      <c r="G103" s="24">
        <v>2040</v>
      </c>
      <c r="H103" s="123">
        <f>MIN(L119:L123)</f>
        <v>14.4486075949367</v>
      </c>
      <c r="I103" s="127">
        <f>AVERAGE(L119:L123)</f>
        <v>19.231594936708841</v>
      </c>
      <c r="J103" s="128">
        <f>MAX(L119:L123)</f>
        <v>24.9113924050633</v>
      </c>
      <c r="K103" s="123">
        <f>MIN(M119:M123)</f>
        <v>17.562531645569599</v>
      </c>
      <c r="L103" s="127">
        <f>AVERAGE(M119:M123)</f>
        <v>23.416708860759439</v>
      </c>
      <c r="M103" s="128">
        <f>MAX(M119:M123)</f>
        <v>30.018227848101201</v>
      </c>
      <c r="N103" s="123">
        <f>MIN(N119:N123)</f>
        <v>23.0430379746835</v>
      </c>
      <c r="O103" s="127">
        <f>AVERAGE(N119:N123)</f>
        <v>30.69083544303794</v>
      </c>
      <c r="P103" s="128">
        <f>MAX(N119:N123)</f>
        <v>39.609113924050597</v>
      </c>
      <c r="Q103" s="123">
        <f>MIN(O119:O123)</f>
        <v>29.5199999999999</v>
      </c>
      <c r="R103" s="127">
        <f>AVERAGE(O119:O123)</f>
        <v>39.160708860759435</v>
      </c>
      <c r="S103" s="128">
        <f>MAX(O119:O123)</f>
        <v>50.570126582278398</v>
      </c>
      <c r="U103" s="24">
        <v>2040</v>
      </c>
      <c r="V103" s="123">
        <f>MIN(Z119:Z123)</f>
        <v>9.3313368983956906</v>
      </c>
      <c r="W103" s="127">
        <f>AVERAGE(Z119:Z123)</f>
        <v>12.327187165775339</v>
      </c>
      <c r="X103" s="128">
        <f>MAX(Z119:Z123)</f>
        <v>15.83871657754</v>
      </c>
      <c r="Y103" s="123">
        <f>MIN(AA119:AA123)</f>
        <v>11.295828877005301</v>
      </c>
      <c r="Z103" s="127">
        <f>AVERAGE(AA119:AA123)</f>
        <v>14.782802139037361</v>
      </c>
      <c r="AA103" s="128">
        <f>MAX(AA119:AA123)</f>
        <v>18.908235294117599</v>
      </c>
      <c r="AB103" s="123">
        <f>MIN(AB119:AB123)</f>
        <v>14.2425668449197</v>
      </c>
      <c r="AC103" s="127">
        <f>AVERAGE(AB119:AB123)</f>
        <v>18.834566844919742</v>
      </c>
      <c r="AD103" s="128">
        <f>MAX(AB119:AB123)</f>
        <v>24.187807486631002</v>
      </c>
      <c r="AE103" s="123">
        <f>MIN(AC119:AC123)</f>
        <v>17.680427807486598</v>
      </c>
      <c r="AF103" s="127">
        <f>AVERAGE(AC119:AC123)</f>
        <v>23.524791443850219</v>
      </c>
      <c r="AG103" s="128">
        <f>MAX(AC119:AC123)</f>
        <v>30.326844919786001</v>
      </c>
    </row>
    <row r="104" spans="7:33" ht="15" thickBot="1" x14ac:dyDescent="0.35">
      <c r="G104" s="25">
        <v>2050</v>
      </c>
      <c r="H104" s="124">
        <f>MIN(P119:P123)</f>
        <v>11.7083544303797</v>
      </c>
      <c r="I104" s="129">
        <f>AVERAGE(P119:P123)</f>
        <v>15.644354430379682</v>
      </c>
      <c r="J104" s="130">
        <f>MAX(P119:P123)</f>
        <v>20.178227848101201</v>
      </c>
      <c r="K104" s="124">
        <f>MIN(Q119:Q123)</f>
        <v>14.4486075949367</v>
      </c>
      <c r="L104" s="129">
        <f>AVERAGE(Q119:Q123)</f>
        <v>19.15686075949364</v>
      </c>
      <c r="M104" s="130">
        <f>MAX(Q119:Q123)</f>
        <v>24.537721518987301</v>
      </c>
      <c r="N104" s="124">
        <f>MIN(R119:R123)</f>
        <v>18.683544303797401</v>
      </c>
      <c r="O104" s="129">
        <f>AVERAGE(R119:R123)</f>
        <v>24.986126582278398</v>
      </c>
      <c r="P104" s="130">
        <f>MAX(R119:R123)</f>
        <v>32.2602531645569</v>
      </c>
      <c r="Q104" s="124">
        <f>MIN(S119:S123)</f>
        <v>23.790379746835399</v>
      </c>
      <c r="R104" s="129">
        <f>AVERAGE(S119:S123)</f>
        <v>31.811848101265788</v>
      </c>
      <c r="S104" s="130">
        <f>MAX(S119:S123)</f>
        <v>41.228354430379703</v>
      </c>
      <c r="U104" s="25">
        <v>2050</v>
      </c>
      <c r="V104" s="124">
        <f>MIN(AD119:AD123)</f>
        <v>7.3668449197860904</v>
      </c>
      <c r="W104" s="129">
        <f>AVERAGE(AD119:AD123)</f>
        <v>9.9697967914438195</v>
      </c>
      <c r="X104" s="130">
        <f>MAX(AD119:AD123)</f>
        <v>12.6464171122994</v>
      </c>
      <c r="Y104" s="124">
        <f>MIN(AE119:AE123)</f>
        <v>8.9629946524063993</v>
      </c>
      <c r="Z104" s="129">
        <f>AVERAGE(AE119:AE123)</f>
        <v>12.00795721925128</v>
      </c>
      <c r="AA104" s="130">
        <f>MAX(AE119:AE123)</f>
        <v>15.470374331550699</v>
      </c>
      <c r="AB104" s="124">
        <f>MIN(AF119:AF123)</f>
        <v>11.541390374331501</v>
      </c>
      <c r="AC104" s="129">
        <f>AVERAGE(AF119:AF123)</f>
        <v>15.151144385026679</v>
      </c>
      <c r="AD104" s="130">
        <f>MAX(AF119:AF123)</f>
        <v>19.644919786096199</v>
      </c>
      <c r="AE104" s="124">
        <f>MIN(AG119:AG123)</f>
        <v>14.2425668449197</v>
      </c>
      <c r="AF104" s="129">
        <f>AVERAGE(AG119:AG123)</f>
        <v>18.981903743315463</v>
      </c>
      <c r="AG104" s="130">
        <f>MAX(AG119:AG123)</f>
        <v>24.556149732620302</v>
      </c>
    </row>
    <row r="105" spans="7:33" ht="16.2" x14ac:dyDescent="0.3">
      <c r="G105" t="s">
        <v>221</v>
      </c>
      <c r="U105" t="s">
        <v>221</v>
      </c>
    </row>
    <row r="106" spans="7:33" ht="16.2" x14ac:dyDescent="0.3">
      <c r="G106" t="s">
        <v>220</v>
      </c>
      <c r="U106" t="s">
        <v>220</v>
      </c>
    </row>
    <row r="107" spans="7:33" ht="16.2" x14ac:dyDescent="0.3">
      <c r="G107" t="s">
        <v>222</v>
      </c>
      <c r="U107" t="s">
        <v>222</v>
      </c>
    </row>
    <row r="109" spans="7:33" x14ac:dyDescent="0.3">
      <c r="G109" t="s">
        <v>216</v>
      </c>
      <c r="H109" t="s">
        <v>217</v>
      </c>
      <c r="U109" t="s">
        <v>216</v>
      </c>
      <c r="V109" t="s">
        <v>217</v>
      </c>
    </row>
    <row r="110" spans="7:33" x14ac:dyDescent="0.3">
      <c r="G110" t="s">
        <v>0</v>
      </c>
      <c r="H110">
        <v>2019</v>
      </c>
      <c r="L110">
        <v>2020</v>
      </c>
      <c r="P110">
        <v>2025</v>
      </c>
      <c r="U110" t="s">
        <v>0</v>
      </c>
      <c r="V110">
        <v>2019</v>
      </c>
      <c r="Z110">
        <v>2020</v>
      </c>
      <c r="AD110">
        <v>2025</v>
      </c>
    </row>
    <row r="111" spans="7:33" x14ac:dyDescent="0.3">
      <c r="G111" t="s">
        <v>215</v>
      </c>
      <c r="H111">
        <v>2</v>
      </c>
      <c r="I111">
        <v>4</v>
      </c>
      <c r="J111">
        <v>7</v>
      </c>
      <c r="K111">
        <v>10</v>
      </c>
      <c r="L111">
        <v>2</v>
      </c>
      <c r="M111">
        <v>4</v>
      </c>
      <c r="N111">
        <v>7</v>
      </c>
      <c r="O111">
        <v>10</v>
      </c>
      <c r="P111">
        <v>2</v>
      </c>
      <c r="Q111">
        <v>4</v>
      </c>
      <c r="R111">
        <v>7</v>
      </c>
      <c r="S111">
        <v>10</v>
      </c>
      <c r="U111" t="s">
        <v>215</v>
      </c>
      <c r="V111">
        <v>2</v>
      </c>
      <c r="W111">
        <v>4</v>
      </c>
      <c r="X111">
        <v>7</v>
      </c>
      <c r="Y111">
        <v>10</v>
      </c>
      <c r="Z111">
        <v>2</v>
      </c>
      <c r="AA111">
        <v>4</v>
      </c>
      <c r="AB111">
        <v>7</v>
      </c>
      <c r="AC111">
        <v>10</v>
      </c>
      <c r="AD111">
        <v>2</v>
      </c>
      <c r="AE111">
        <v>4</v>
      </c>
      <c r="AF111">
        <v>7</v>
      </c>
      <c r="AG111">
        <v>10</v>
      </c>
    </row>
    <row r="112" spans="7:33" x14ac:dyDescent="0.3">
      <c r="G112" t="e" vm="1">
        <v>#VALUE!</v>
      </c>
      <c r="H112" s="4">
        <v>53.559493670885999</v>
      </c>
      <c r="I112" s="4">
        <v>65.766075949367007</v>
      </c>
      <c r="J112" s="4">
        <v>87.438987341772105</v>
      </c>
      <c r="K112" s="4">
        <v>112.350379746835</v>
      </c>
      <c r="L112" s="4">
        <v>50.071898734177203</v>
      </c>
      <c r="M112" s="4">
        <v>61.904810126582198</v>
      </c>
      <c r="N112" s="4">
        <v>81.584810126582198</v>
      </c>
      <c r="O112" s="4">
        <v>104.876962025316</v>
      </c>
      <c r="P112" s="4">
        <v>39.110886075949303</v>
      </c>
      <c r="Q112" s="4">
        <v>47.829873417721501</v>
      </c>
      <c r="R112">
        <v>63.025822784810103</v>
      </c>
      <c r="S112" s="4">
        <v>80.8374683544303</v>
      </c>
      <c r="U112" t="e" vm="1">
        <v>#VALUE!</v>
      </c>
      <c r="V112" s="4">
        <v>34.869732620320796</v>
      </c>
      <c r="W112" s="4">
        <v>42.359358288769997</v>
      </c>
      <c r="X112" s="4">
        <v>54.882994652406403</v>
      </c>
      <c r="Y112" s="4">
        <v>69.739465240641593</v>
      </c>
      <c r="Z112" s="4">
        <v>32.659679144385002</v>
      </c>
      <c r="AA112" s="4">
        <v>39.658181818181703</v>
      </c>
      <c r="AB112" s="4">
        <v>51.322352941176398</v>
      </c>
      <c r="AC112" s="4">
        <v>65.196577540106901</v>
      </c>
      <c r="AD112" s="4">
        <v>25.292834224598899</v>
      </c>
      <c r="AE112" s="4">
        <v>30.326844919786001</v>
      </c>
      <c r="AF112" s="4">
        <v>39.535401069518699</v>
      </c>
      <c r="AG112" s="4">
        <v>49.4806417112299</v>
      </c>
    </row>
    <row r="113" spans="1:33" x14ac:dyDescent="0.3">
      <c r="G113" t="e" vm="2">
        <v>#VALUE!</v>
      </c>
      <c r="H113" s="4">
        <v>46.708860759493597</v>
      </c>
      <c r="I113" s="4">
        <v>57.171645569620203</v>
      </c>
      <c r="J113" s="4">
        <v>75.8551898734177</v>
      </c>
      <c r="K113" s="4">
        <v>97.403544303797403</v>
      </c>
      <c r="L113" s="4">
        <v>43.5949367088607</v>
      </c>
      <c r="M113" s="4">
        <v>53.684050632911401</v>
      </c>
      <c r="N113" s="4">
        <v>71.122025316455606</v>
      </c>
      <c r="O113" s="4">
        <v>91.300253164556906</v>
      </c>
      <c r="P113" s="4">
        <v>34.253164556961998</v>
      </c>
      <c r="Q113" s="4">
        <v>41.726582278480997</v>
      </c>
      <c r="R113" s="4">
        <v>54.805063291139199</v>
      </c>
      <c r="S113" s="4">
        <v>70.250126582278398</v>
      </c>
      <c r="U113" t="e" vm="2">
        <v>#VALUE!</v>
      </c>
      <c r="V113" s="4">
        <v>30.326844919786001</v>
      </c>
      <c r="W113" s="4">
        <v>36.465882352941101</v>
      </c>
      <c r="X113" s="4">
        <v>48.007272727272699</v>
      </c>
      <c r="Y113" s="4">
        <v>60.530909090908999</v>
      </c>
      <c r="Z113" s="4">
        <v>28.3623529411764</v>
      </c>
      <c r="AA113" s="4">
        <v>34.2558288770053</v>
      </c>
      <c r="AB113" s="4">
        <v>44.569411764705798</v>
      </c>
      <c r="AC113" s="4">
        <v>56.356363636363596</v>
      </c>
      <c r="AD113" s="4">
        <v>21.977754010695101</v>
      </c>
      <c r="AE113" s="4">
        <v>26.520641711229899</v>
      </c>
      <c r="AF113" s="4">
        <v>34.133048128342203</v>
      </c>
      <c r="AG113" s="4">
        <v>42.973262032085501</v>
      </c>
    </row>
    <row r="114" spans="1:33" x14ac:dyDescent="0.3">
      <c r="G114" t="e" vm="3">
        <v>#VALUE!</v>
      </c>
      <c r="H114" s="4">
        <v>41.602025316455602</v>
      </c>
      <c r="I114" s="4">
        <v>51.068354430379699</v>
      </c>
      <c r="J114" s="4">
        <v>67.634430379746803</v>
      </c>
      <c r="K114" s="4">
        <v>86.567088607594897</v>
      </c>
      <c r="L114" s="4">
        <v>38.861772151898698</v>
      </c>
      <c r="M114" s="4">
        <v>47.456202531645502</v>
      </c>
      <c r="N114" s="4">
        <v>62.901265822784801</v>
      </c>
      <c r="O114" s="4">
        <v>80.712911392405005</v>
      </c>
      <c r="P114" s="4">
        <v>30.3918987341772</v>
      </c>
      <c r="Q114" s="4">
        <v>36.993417721518902</v>
      </c>
      <c r="R114" s="4">
        <v>48.577215189873399</v>
      </c>
      <c r="S114" s="4">
        <v>62.153924050632803</v>
      </c>
      <c r="U114" t="e" vm="3">
        <v>#VALUE!</v>
      </c>
      <c r="V114" s="4">
        <v>26.8889839572192</v>
      </c>
      <c r="W114" s="4">
        <v>32.659679144385002</v>
      </c>
      <c r="X114" s="4">
        <v>42.2365775401069</v>
      </c>
      <c r="Y114" s="4">
        <v>53.655187165775303</v>
      </c>
      <c r="Z114" s="4">
        <v>25.415614973261999</v>
      </c>
      <c r="AA114" s="4">
        <v>30.326844919786001</v>
      </c>
      <c r="AB114" s="4">
        <v>39.535401069518699</v>
      </c>
      <c r="AC114" s="4">
        <v>50.217326203208501</v>
      </c>
      <c r="AD114" s="4">
        <v>19.522139037433099</v>
      </c>
      <c r="AE114" s="4">
        <v>23.451122994652302</v>
      </c>
      <c r="AF114" s="4">
        <v>30.326844919786001</v>
      </c>
      <c r="AG114" s="4">
        <v>38.307593582887598</v>
      </c>
    </row>
    <row r="115" spans="1:33" x14ac:dyDescent="0.3">
      <c r="G115" t="e" vm="4">
        <v>#VALUE!</v>
      </c>
      <c r="H115" s="4">
        <v>35.374177215189803</v>
      </c>
      <c r="I115" s="4">
        <v>43.5949367088607</v>
      </c>
      <c r="J115" s="4">
        <v>57.545316455696202</v>
      </c>
      <c r="K115" s="4">
        <v>74.235949367088594</v>
      </c>
      <c r="L115" s="4">
        <v>33.007594936708799</v>
      </c>
      <c r="M115" s="4">
        <v>40.854683544303803</v>
      </c>
      <c r="N115" s="4">
        <v>54.0577215189873</v>
      </c>
      <c r="O115" s="4">
        <v>69.1291139240506</v>
      </c>
      <c r="P115" s="4">
        <v>25.5341772151898</v>
      </c>
      <c r="Q115" s="4">
        <v>31.512911392405002</v>
      </c>
      <c r="R115" s="4">
        <v>41.602025316455602</v>
      </c>
      <c r="S115" s="4">
        <v>53.310379746835402</v>
      </c>
      <c r="U115" t="e" vm="4">
        <v>#VALUE!</v>
      </c>
      <c r="V115" s="4">
        <v>23.082780748663001</v>
      </c>
      <c r="W115" s="4">
        <v>27.6256684491978</v>
      </c>
      <c r="X115" s="4">
        <v>36.097540106951797</v>
      </c>
      <c r="Y115" s="4">
        <v>46.042780748662999</v>
      </c>
      <c r="Z115" s="4">
        <v>21.486631016042701</v>
      </c>
      <c r="AA115" s="4">
        <v>26.152299465240599</v>
      </c>
      <c r="AB115" s="4">
        <v>33.764705882352899</v>
      </c>
      <c r="AC115" s="4">
        <v>42.850481283422397</v>
      </c>
      <c r="AD115" s="4">
        <v>16.452620320855601</v>
      </c>
      <c r="AE115" s="4">
        <v>20.1360427807486</v>
      </c>
      <c r="AF115" s="4">
        <v>25.783957219251299</v>
      </c>
      <c r="AG115" s="4">
        <v>32.659679144385002</v>
      </c>
    </row>
    <row r="116" spans="1:33" x14ac:dyDescent="0.3">
      <c r="G116" t="e" vm="5">
        <v>#VALUE!</v>
      </c>
      <c r="H116" s="4">
        <v>31.512911392405002</v>
      </c>
      <c r="I116" s="4">
        <v>38.612658227848101</v>
      </c>
      <c r="J116" s="4">
        <v>50.943797468354397</v>
      </c>
      <c r="K116" s="4">
        <v>65.641518987341698</v>
      </c>
      <c r="L116" s="4">
        <v>29.5199999999999</v>
      </c>
      <c r="M116" s="4">
        <v>36.246075949366997</v>
      </c>
      <c r="N116" s="4">
        <v>47.829873417721501</v>
      </c>
      <c r="O116" s="4">
        <v>61.282025316455602</v>
      </c>
      <c r="P116" s="4">
        <v>22.918481012658201</v>
      </c>
      <c r="Q116" s="4">
        <v>28.025316455696199</v>
      </c>
      <c r="R116" s="4">
        <v>36.993417721519002</v>
      </c>
      <c r="S116" s="4">
        <v>46.9579746835443</v>
      </c>
      <c r="U116" t="e" vm="5">
        <v>#VALUE!</v>
      </c>
      <c r="V116" s="4">
        <v>20.3816042780748</v>
      </c>
      <c r="W116" s="4">
        <v>24.678930481283299</v>
      </c>
      <c r="X116" s="4">
        <v>32.168556149732602</v>
      </c>
      <c r="Y116" s="4">
        <v>40.517647058823499</v>
      </c>
      <c r="Z116" s="4">
        <v>19.153796791443799</v>
      </c>
      <c r="AA116" s="4">
        <v>23.082780748663001</v>
      </c>
      <c r="AB116" s="4">
        <v>29.958502673796701</v>
      </c>
      <c r="AC116" s="4">
        <v>37.939251336898302</v>
      </c>
      <c r="AD116" s="4">
        <v>14.6109090909091</v>
      </c>
      <c r="AE116" s="4">
        <v>17.803208556149698</v>
      </c>
      <c r="AF116" s="4">
        <v>23.082780748663001</v>
      </c>
      <c r="AG116" s="4">
        <v>28.730695187165701</v>
      </c>
    </row>
    <row r="117" spans="1:33" x14ac:dyDescent="0.3">
      <c r="G117" t="s">
        <v>0</v>
      </c>
      <c r="H117">
        <v>2030</v>
      </c>
      <c r="L117">
        <v>2040</v>
      </c>
      <c r="P117">
        <v>2050</v>
      </c>
      <c r="U117" t="s">
        <v>0</v>
      </c>
      <c r="V117">
        <v>2030</v>
      </c>
      <c r="Z117">
        <v>2040</v>
      </c>
      <c r="AD117">
        <v>2050</v>
      </c>
    </row>
    <row r="118" spans="1:33" x14ac:dyDescent="0.3">
      <c r="G118" t="s">
        <v>215</v>
      </c>
      <c r="H118">
        <v>2</v>
      </c>
      <c r="I118">
        <v>4</v>
      </c>
      <c r="J118">
        <v>7</v>
      </c>
      <c r="K118">
        <v>10</v>
      </c>
      <c r="L118">
        <v>2</v>
      </c>
      <c r="M118">
        <v>4</v>
      </c>
      <c r="N118">
        <v>7</v>
      </c>
      <c r="O118">
        <v>10</v>
      </c>
      <c r="P118">
        <v>2</v>
      </c>
      <c r="Q118">
        <v>4</v>
      </c>
      <c r="R118">
        <v>7</v>
      </c>
      <c r="S118">
        <v>10</v>
      </c>
      <c r="U118" t="s">
        <v>215</v>
      </c>
      <c r="V118">
        <v>2</v>
      </c>
      <c r="W118">
        <v>4</v>
      </c>
      <c r="X118">
        <v>7</v>
      </c>
      <c r="Y118">
        <v>10</v>
      </c>
      <c r="Z118">
        <v>2</v>
      </c>
      <c r="AA118">
        <v>4</v>
      </c>
      <c r="AB118">
        <v>7</v>
      </c>
      <c r="AC118">
        <v>10</v>
      </c>
      <c r="AD118">
        <v>2</v>
      </c>
      <c r="AE118">
        <v>4</v>
      </c>
      <c r="AF118">
        <v>7</v>
      </c>
      <c r="AG118">
        <v>10</v>
      </c>
    </row>
    <row r="119" spans="1:33" x14ac:dyDescent="0.3">
      <c r="G119" t="e" vm="1">
        <v>#VALUE!</v>
      </c>
      <c r="H119" s="4">
        <v>32.384810126582202</v>
      </c>
      <c r="I119" s="4">
        <v>39.235443037974598</v>
      </c>
      <c r="J119" s="4">
        <v>51.691139240506303</v>
      </c>
      <c r="K119" s="4">
        <v>66.015189873417697</v>
      </c>
      <c r="L119" s="4">
        <v>24.9113924050633</v>
      </c>
      <c r="M119" s="4">
        <v>30.018227848101201</v>
      </c>
      <c r="N119" s="4">
        <v>39.609113924050597</v>
      </c>
      <c r="O119" s="4">
        <v>50.570126582278398</v>
      </c>
      <c r="P119" s="4">
        <v>20.178227848101201</v>
      </c>
      <c r="Q119" s="4">
        <v>24.537721518987301</v>
      </c>
      <c r="R119" s="4">
        <v>32.2602531645569</v>
      </c>
      <c r="S119" s="4">
        <v>41.228354430379703</v>
      </c>
      <c r="U119" t="e" vm="1">
        <v>#VALUE!</v>
      </c>
      <c r="V119" s="4">
        <v>20.7499465240641</v>
      </c>
      <c r="W119" s="4">
        <v>25.047272727272698</v>
      </c>
      <c r="X119" s="4">
        <v>32.291336898395699</v>
      </c>
      <c r="Y119" s="4">
        <v>40.272085561497299</v>
      </c>
      <c r="Z119" s="4">
        <v>15.83871657754</v>
      </c>
      <c r="AA119" s="4">
        <v>18.908235294117599</v>
      </c>
      <c r="AB119" s="4">
        <v>24.187807486631002</v>
      </c>
      <c r="AC119" s="4">
        <v>30.326844919786001</v>
      </c>
      <c r="AD119" s="4">
        <v>12.6464171122994</v>
      </c>
      <c r="AE119" s="4">
        <v>15.470374331550699</v>
      </c>
      <c r="AF119" s="4">
        <v>19.644919786096199</v>
      </c>
      <c r="AG119" s="4">
        <v>24.556149732620302</v>
      </c>
    </row>
    <row r="120" spans="1:33" x14ac:dyDescent="0.3">
      <c r="G120" t="e" vm="2">
        <v>#VALUE!</v>
      </c>
      <c r="H120" s="4">
        <v>28.0253164556961</v>
      </c>
      <c r="I120" s="4">
        <v>34.253164556961998</v>
      </c>
      <c r="J120" s="4">
        <v>45.089620253164497</v>
      </c>
      <c r="K120" s="4">
        <v>57.545316455696103</v>
      </c>
      <c r="L120" s="4">
        <v>21.423797468354401</v>
      </c>
      <c r="M120" s="4">
        <v>26.1569620253164</v>
      </c>
      <c r="N120" s="4">
        <v>34.253164556961998</v>
      </c>
      <c r="O120" s="4">
        <v>43.844050632911397</v>
      </c>
      <c r="P120" s="4">
        <v>17.437974683544201</v>
      </c>
      <c r="Q120" s="4">
        <v>21.5483544303797</v>
      </c>
      <c r="R120" s="4">
        <v>28.0253164556961</v>
      </c>
      <c r="S120" s="4">
        <v>35.747848101265802</v>
      </c>
      <c r="U120" t="e" vm="2">
        <v>#VALUE!</v>
      </c>
      <c r="V120" s="4">
        <v>18.171550802138999</v>
      </c>
      <c r="W120" s="4">
        <v>21.609411764705801</v>
      </c>
      <c r="X120" s="4">
        <v>27.9940106951871</v>
      </c>
      <c r="Y120" s="4">
        <v>35.360855614973197</v>
      </c>
      <c r="Z120" s="4">
        <v>13.8742245989304</v>
      </c>
      <c r="AA120" s="4">
        <v>16.575401069518598</v>
      </c>
      <c r="AB120" s="4">
        <v>21.1182887700534</v>
      </c>
      <c r="AC120" s="4">
        <v>26.397860962566799</v>
      </c>
      <c r="AD120" s="4">
        <v>11.173048128342201</v>
      </c>
      <c r="AE120" s="4">
        <v>13.5058823529411</v>
      </c>
      <c r="AF120" s="4">
        <v>16.943743315508002</v>
      </c>
      <c r="AG120" s="4">
        <v>21.1182887700534</v>
      </c>
    </row>
    <row r="121" spans="1:33" x14ac:dyDescent="0.3">
      <c r="G121" t="e" vm="3">
        <v>#VALUE!</v>
      </c>
      <c r="H121" s="4">
        <v>24.9113924050632</v>
      </c>
      <c r="I121" s="4">
        <v>30.3918987341772</v>
      </c>
      <c r="J121" s="4">
        <v>40.107341772151898</v>
      </c>
      <c r="K121" s="4">
        <v>50.943797468354397</v>
      </c>
      <c r="L121" s="4">
        <v>19.0572151898734</v>
      </c>
      <c r="M121" s="4">
        <v>23.4167088607594</v>
      </c>
      <c r="N121" s="4">
        <v>30.3918987341772</v>
      </c>
      <c r="O121" s="4">
        <v>38.861772151898698</v>
      </c>
      <c r="P121" s="4">
        <v>15.5696202531645</v>
      </c>
      <c r="Q121" s="4">
        <v>19.181772151898699</v>
      </c>
      <c r="R121" s="4">
        <v>24.9113924050632</v>
      </c>
      <c r="S121" s="4">
        <v>31.3883544303797</v>
      </c>
      <c r="U121" t="e" vm="3">
        <v>#VALUE!</v>
      </c>
      <c r="V121" s="4">
        <v>16.207058823529302</v>
      </c>
      <c r="W121" s="4">
        <v>19.276577540106899</v>
      </c>
      <c r="X121" s="4">
        <v>24.556149732620302</v>
      </c>
      <c r="Y121" s="4">
        <v>31.063529411764598</v>
      </c>
      <c r="Z121" s="4">
        <v>12.278074866310099</v>
      </c>
      <c r="AA121" s="4">
        <v>14.733689839572101</v>
      </c>
      <c r="AB121" s="4">
        <v>18.908235294117599</v>
      </c>
      <c r="AC121" s="4">
        <v>23.328342245989301</v>
      </c>
      <c r="AD121" s="4">
        <v>10.0680213903743</v>
      </c>
      <c r="AE121" s="4">
        <v>12.032513368983899</v>
      </c>
      <c r="AF121" s="4">
        <v>14.979251336898299</v>
      </c>
      <c r="AG121" s="4">
        <v>18.785454545454499</v>
      </c>
    </row>
    <row r="122" spans="1:33" x14ac:dyDescent="0.3">
      <c r="G122" t="e" vm="4">
        <v>#VALUE!</v>
      </c>
      <c r="H122" s="4">
        <v>21.423797468354401</v>
      </c>
      <c r="I122" s="4">
        <v>25.7832911392405</v>
      </c>
      <c r="J122" s="4">
        <v>34.128607594936703</v>
      </c>
      <c r="K122" s="4">
        <v>43.470379746835398</v>
      </c>
      <c r="L122" s="4">
        <v>16.3169620253164</v>
      </c>
      <c r="M122" s="4">
        <v>19.929113924050601</v>
      </c>
      <c r="N122" s="4">
        <v>26.1569620253164</v>
      </c>
      <c r="O122" s="4">
        <v>33.007594936708799</v>
      </c>
      <c r="P122" s="4">
        <v>13.327594936708801</v>
      </c>
      <c r="Q122" s="4">
        <v>16.067848101265799</v>
      </c>
      <c r="R122" s="4">
        <v>21.050126582278399</v>
      </c>
      <c r="S122" s="4">
        <v>26.904303797468302</v>
      </c>
      <c r="U122" t="e" vm="4">
        <v>#VALUE!</v>
      </c>
      <c r="V122" s="4">
        <v>13.8742245989304</v>
      </c>
      <c r="W122" s="4">
        <v>16.575401069518598</v>
      </c>
      <c r="X122" s="4">
        <v>21.1182887700534</v>
      </c>
      <c r="Y122" s="4">
        <v>26.397860962566799</v>
      </c>
      <c r="Z122" s="4">
        <v>10.3135828877005</v>
      </c>
      <c r="AA122" s="4">
        <v>12.400855614973199</v>
      </c>
      <c r="AB122" s="4">
        <v>15.715935828877001</v>
      </c>
      <c r="AC122" s="4">
        <v>19.8904812834224</v>
      </c>
      <c r="AD122" s="4">
        <v>8.5946524064171097</v>
      </c>
      <c r="AE122" s="4">
        <v>10.0680213903743</v>
      </c>
      <c r="AF122" s="4">
        <v>12.6464171122994</v>
      </c>
      <c r="AG122" s="4">
        <v>16.207058823529401</v>
      </c>
    </row>
    <row r="123" spans="1:33" x14ac:dyDescent="0.3">
      <c r="G123" t="e" vm="5">
        <v>#VALUE!</v>
      </c>
      <c r="H123" s="4">
        <v>18.683544303797401</v>
      </c>
      <c r="I123" s="4">
        <v>23.0430379746835</v>
      </c>
      <c r="J123" s="4">
        <v>30.3918987341772</v>
      </c>
      <c r="K123" s="4">
        <v>38.612658227848101</v>
      </c>
      <c r="L123" s="4">
        <v>14.4486075949367</v>
      </c>
      <c r="M123" s="4">
        <v>17.562531645569599</v>
      </c>
      <c r="N123" s="4">
        <v>23.0430379746835</v>
      </c>
      <c r="O123" s="4">
        <v>29.5199999999999</v>
      </c>
      <c r="P123" s="4">
        <v>11.7083544303797</v>
      </c>
      <c r="Q123" s="4">
        <v>14.4486075949367</v>
      </c>
      <c r="R123" s="4">
        <v>18.683544303797401</v>
      </c>
      <c r="S123" s="4">
        <v>23.790379746835399</v>
      </c>
      <c r="U123" t="e" vm="5">
        <v>#VALUE!</v>
      </c>
      <c r="V123" s="4">
        <v>12.278074866310099</v>
      </c>
      <c r="W123" s="4">
        <v>14.733689839572101</v>
      </c>
      <c r="X123" s="4">
        <v>18.785454545454499</v>
      </c>
      <c r="Y123" s="4">
        <v>23.328342245989202</v>
      </c>
      <c r="Z123" s="4">
        <v>9.3313368983956906</v>
      </c>
      <c r="AA123" s="4">
        <v>11.295828877005301</v>
      </c>
      <c r="AB123" s="4">
        <v>14.2425668449197</v>
      </c>
      <c r="AC123" s="4">
        <v>17.680427807486598</v>
      </c>
      <c r="AD123" s="4">
        <v>7.3668449197860904</v>
      </c>
      <c r="AE123" s="4">
        <v>8.9629946524063993</v>
      </c>
      <c r="AF123" s="4">
        <v>11.541390374331501</v>
      </c>
      <c r="AG123" s="4">
        <v>14.2425668449197</v>
      </c>
    </row>
    <row r="124" spans="1:33" ht="15" thickBot="1" x14ac:dyDescent="0.35"/>
    <row r="125" spans="1:33" ht="18.600000000000001" thickBot="1" x14ac:dyDescent="0.35">
      <c r="A125" s="289" t="s">
        <v>0</v>
      </c>
      <c r="B125" s="338" t="s">
        <v>381</v>
      </c>
      <c r="C125" s="339"/>
      <c r="D125" s="339"/>
      <c r="E125" s="340"/>
      <c r="G125" s="289" t="s">
        <v>0</v>
      </c>
      <c r="H125" s="338" t="s">
        <v>382</v>
      </c>
      <c r="I125" s="339"/>
      <c r="J125" s="339"/>
      <c r="K125" s="339"/>
      <c r="L125" s="339"/>
      <c r="M125" s="339"/>
      <c r="N125" s="339"/>
      <c r="O125" s="339"/>
      <c r="P125" s="339"/>
      <c r="Q125" s="339"/>
      <c r="R125" s="339"/>
      <c r="S125" s="340"/>
      <c r="U125" s="289" t="s">
        <v>0</v>
      </c>
      <c r="V125" s="338" t="s">
        <v>382</v>
      </c>
      <c r="W125" s="339"/>
      <c r="X125" s="339"/>
      <c r="Y125" s="339"/>
      <c r="Z125" s="339"/>
      <c r="AA125" s="339"/>
      <c r="AB125" s="339"/>
      <c r="AC125" s="339"/>
      <c r="AD125" s="339"/>
      <c r="AE125" s="339"/>
      <c r="AF125" s="339"/>
      <c r="AG125" s="340"/>
    </row>
    <row r="126" spans="1:33" ht="18.600000000000001" thickBot="1" x14ac:dyDescent="0.4">
      <c r="A126" s="344"/>
      <c r="B126" s="380" t="s">
        <v>206</v>
      </c>
      <c r="C126" s="381"/>
      <c r="D126" s="381"/>
      <c r="E126" s="382"/>
      <c r="G126" s="344"/>
      <c r="H126" s="380" t="s">
        <v>206</v>
      </c>
      <c r="I126" s="381"/>
      <c r="J126" s="381"/>
      <c r="K126" s="381"/>
      <c r="L126" s="381"/>
      <c r="M126" s="381"/>
      <c r="N126" s="381"/>
      <c r="O126" s="381"/>
      <c r="P126" s="381"/>
      <c r="Q126" s="381"/>
      <c r="R126" s="381"/>
      <c r="S126" s="382"/>
      <c r="U126" s="344"/>
      <c r="V126" s="380" t="s">
        <v>206</v>
      </c>
      <c r="W126" s="381"/>
      <c r="X126" s="381"/>
      <c r="Y126" s="381"/>
      <c r="Z126" s="381"/>
      <c r="AA126" s="381"/>
      <c r="AB126" s="381"/>
      <c r="AC126" s="381"/>
      <c r="AD126" s="381"/>
      <c r="AE126" s="381"/>
      <c r="AF126" s="381"/>
      <c r="AG126" s="382"/>
    </row>
    <row r="127" spans="1:33" ht="21" thickBot="1" x14ac:dyDescent="0.35">
      <c r="A127" s="344"/>
      <c r="B127" s="177" t="s">
        <v>224</v>
      </c>
      <c r="C127" s="178" t="s">
        <v>223</v>
      </c>
      <c r="D127" s="178" t="s">
        <v>208</v>
      </c>
      <c r="E127" s="182" t="s">
        <v>209</v>
      </c>
      <c r="G127" s="344"/>
      <c r="H127" s="404" t="s">
        <v>223</v>
      </c>
      <c r="I127" s="405"/>
      <c r="J127" s="405"/>
      <c r="K127" s="405"/>
      <c r="L127" s="405"/>
      <c r="M127" s="405"/>
      <c r="N127" s="405"/>
      <c r="O127" s="405"/>
      <c r="P127" s="405"/>
      <c r="Q127" s="405"/>
      <c r="R127" s="405"/>
      <c r="S127" s="406"/>
      <c r="U127" s="344"/>
      <c r="V127" s="404" t="s">
        <v>209</v>
      </c>
      <c r="W127" s="405"/>
      <c r="X127" s="405"/>
      <c r="Y127" s="405"/>
      <c r="Z127" s="405"/>
      <c r="AA127" s="405"/>
      <c r="AB127" s="405"/>
      <c r="AC127" s="405"/>
      <c r="AD127" s="405"/>
      <c r="AE127" s="405"/>
      <c r="AF127" s="405"/>
      <c r="AG127" s="406"/>
    </row>
    <row r="128" spans="1:33" ht="15" thickBot="1" x14ac:dyDescent="0.35">
      <c r="A128" s="290"/>
      <c r="B128" s="179" t="s">
        <v>19</v>
      </c>
      <c r="C128" s="180" t="s">
        <v>19</v>
      </c>
      <c r="D128" s="180" t="s">
        <v>19</v>
      </c>
      <c r="E128" s="181" t="s">
        <v>19</v>
      </c>
      <c r="G128" s="344"/>
      <c r="H128" s="401" t="s">
        <v>214</v>
      </c>
      <c r="I128" s="402"/>
      <c r="J128" s="403"/>
      <c r="K128" s="401" t="s">
        <v>211</v>
      </c>
      <c r="L128" s="402"/>
      <c r="M128" s="403"/>
      <c r="N128" s="401" t="s">
        <v>212</v>
      </c>
      <c r="O128" s="402"/>
      <c r="P128" s="403"/>
      <c r="Q128" s="401" t="s">
        <v>213</v>
      </c>
      <c r="R128" s="402"/>
      <c r="S128" s="403"/>
      <c r="U128" s="344"/>
      <c r="V128" s="401" t="s">
        <v>214</v>
      </c>
      <c r="W128" s="402"/>
      <c r="X128" s="403"/>
      <c r="Y128" s="401" t="s">
        <v>211</v>
      </c>
      <c r="Z128" s="402"/>
      <c r="AA128" s="403"/>
      <c r="AB128" s="401" t="s">
        <v>212</v>
      </c>
      <c r="AC128" s="402"/>
      <c r="AD128" s="403"/>
      <c r="AE128" s="401" t="s">
        <v>213</v>
      </c>
      <c r="AF128" s="402"/>
      <c r="AG128" s="403"/>
    </row>
    <row r="129" spans="1:33" ht="16.8" thickBot="1" x14ac:dyDescent="0.35">
      <c r="A129" s="41">
        <v>2020</v>
      </c>
      <c r="B129" s="123">
        <v>593.14199999999994</v>
      </c>
      <c r="C129" s="123">
        <v>1448.3699999999997</v>
      </c>
      <c r="D129" s="123">
        <v>951.78599999999983</v>
      </c>
      <c r="E129" s="132">
        <v>717.2879999999999</v>
      </c>
      <c r="G129" s="290"/>
      <c r="H129" s="180" t="s">
        <v>218</v>
      </c>
      <c r="I129" s="183" t="s">
        <v>219</v>
      </c>
      <c r="J129" s="184" t="s">
        <v>134</v>
      </c>
      <c r="K129" s="180" t="s">
        <v>218</v>
      </c>
      <c r="L129" s="183" t="s">
        <v>219</v>
      </c>
      <c r="M129" s="184" t="s">
        <v>134</v>
      </c>
      <c r="N129" s="180" t="s">
        <v>218</v>
      </c>
      <c r="O129" s="183" t="s">
        <v>219</v>
      </c>
      <c r="P129" s="184" t="s">
        <v>134</v>
      </c>
      <c r="Q129" s="180" t="s">
        <v>218</v>
      </c>
      <c r="R129" s="183" t="s">
        <v>219</v>
      </c>
      <c r="S129" s="184" t="s">
        <v>134</v>
      </c>
      <c r="U129" s="290"/>
      <c r="V129" s="180" t="s">
        <v>218</v>
      </c>
      <c r="W129" s="183" t="s">
        <v>219</v>
      </c>
      <c r="X129" s="184" t="s">
        <v>134</v>
      </c>
      <c r="Y129" s="180" t="s">
        <v>218</v>
      </c>
      <c r="Z129" s="183" t="s">
        <v>219</v>
      </c>
      <c r="AA129" s="184" t="s">
        <v>134</v>
      </c>
      <c r="AB129" s="180" t="s">
        <v>218</v>
      </c>
      <c r="AC129" s="183" t="s">
        <v>219</v>
      </c>
      <c r="AD129" s="184" t="s">
        <v>134</v>
      </c>
      <c r="AE129" s="180" t="s">
        <v>218</v>
      </c>
      <c r="AF129" s="183" t="s">
        <v>219</v>
      </c>
      <c r="AG129" s="184" t="s">
        <v>134</v>
      </c>
    </row>
    <row r="130" spans="1:33" x14ac:dyDescent="0.3">
      <c r="A130" s="41">
        <v>2025</v>
      </c>
      <c r="B130" s="123">
        <v>468.99599999999992</v>
      </c>
      <c r="C130" s="123">
        <v>1186.2839999999999</v>
      </c>
      <c r="D130" s="123">
        <v>772.46399999999983</v>
      </c>
      <c r="E130" s="132">
        <v>565.55399999999986</v>
      </c>
      <c r="G130" s="24">
        <v>2020</v>
      </c>
      <c r="H130" s="123">
        <f>MIN(H142:H147)</f>
        <v>39.102238493722403</v>
      </c>
      <c r="I130" s="127">
        <f>AVERAGE(H142:H147)</f>
        <v>54.084215481170311</v>
      </c>
      <c r="J130" s="128">
        <f>MAX(H142:H147)</f>
        <v>69.547154811714506</v>
      </c>
      <c r="K130" s="123">
        <f>MIN(I142:I147)</f>
        <v>49.346736401671997</v>
      </c>
      <c r="L130" s="127">
        <f>AVERAGE(I142:I147)</f>
        <v>68.224508368199366</v>
      </c>
      <c r="M130" s="128">
        <f>MAX(I142:I147)</f>
        <v>88.160397489538397</v>
      </c>
      <c r="N130" s="123">
        <f>MIN(J142:J147)</f>
        <v>61.1784100418392</v>
      </c>
      <c r="O130" s="127">
        <f>AVERAGE(J142:J147)</f>
        <v>84.937949790793056</v>
      </c>
      <c r="P130" s="128">
        <f>MAX(J142:J147)</f>
        <v>109.80370292886801</v>
      </c>
      <c r="Q130" s="123">
        <f>MIN(K142:K147)</f>
        <v>75.174414225939401</v>
      </c>
      <c r="R130" s="127">
        <f>AVERAGE(K142:K147)</f>
        <v>104.32073221757099</v>
      </c>
      <c r="S130" s="128">
        <f>MAX(K142:K147)</f>
        <v>135.05422594141999</v>
      </c>
      <c r="U130" s="24">
        <v>2020</v>
      </c>
      <c r="V130" s="123">
        <f>MIN(V142:V147)</f>
        <v>25.865514841351199</v>
      </c>
      <c r="W130" s="127">
        <f>AVERAGE(V142:V147)</f>
        <v>36.106300921187533</v>
      </c>
      <c r="X130" s="128">
        <f>MAX(V142:V147)</f>
        <v>45.066988741044298</v>
      </c>
      <c r="Y130" s="123">
        <f>MIN(W142:W147)</f>
        <v>30.609408393040098</v>
      </c>
      <c r="Z130" s="127">
        <f>AVERAGE(W142:W147)</f>
        <v>42.864466734903033</v>
      </c>
      <c r="AA130" s="128">
        <f>MAX(W142:W147)</f>
        <v>53.538227226202999</v>
      </c>
      <c r="AB130" s="123">
        <f>MIN(X142:X147)</f>
        <v>39.1935967246676</v>
      </c>
      <c r="AC130" s="127">
        <f>AVERAGE(X142:X147)</f>
        <v>55.063050153531577</v>
      </c>
      <c r="AD130" s="128">
        <f>MAX(X142:X147)</f>
        <v>68.786456499488693</v>
      </c>
      <c r="AE130" s="123">
        <f>MIN(Y142:Y147)</f>
        <v>49.584982599795602</v>
      </c>
      <c r="AF130" s="127">
        <f>AVERAGE(Y142:Y147)</f>
        <v>69.275905834186759</v>
      </c>
      <c r="AG130" s="128">
        <f>MAX(Y142:Y147)</f>
        <v>86.632532241556405</v>
      </c>
    </row>
    <row r="131" spans="1:33" x14ac:dyDescent="0.3">
      <c r="A131" s="41">
        <v>2030</v>
      </c>
      <c r="B131" s="123">
        <v>400.0259999999999</v>
      </c>
      <c r="C131" s="123">
        <v>1006.9619999999998</v>
      </c>
      <c r="D131" s="123">
        <v>648.31799999999987</v>
      </c>
      <c r="E131" s="132">
        <v>482.78999999999991</v>
      </c>
      <c r="G131" s="24">
        <v>2025</v>
      </c>
      <c r="H131" s="123">
        <f>MIN(L142:L147)</f>
        <v>31.166359832634601</v>
      </c>
      <c r="I131" s="127">
        <f>AVERAGE(L142:L147)</f>
        <v>43.094225941421485</v>
      </c>
      <c r="J131" s="128">
        <f>MAX(L142:L147)</f>
        <v>55.695439330543103</v>
      </c>
      <c r="K131" s="123">
        <f>MIN(M142:M147)</f>
        <v>39.102238493722403</v>
      </c>
      <c r="L131" s="127">
        <f>AVERAGE(M142:M147)</f>
        <v>54.300648535563575</v>
      </c>
      <c r="M131" s="128">
        <f>MAX(M142:M147)</f>
        <v>69.980020920501005</v>
      </c>
      <c r="N131" s="123">
        <f>MIN(N142:N147)</f>
        <v>48.769581589956502</v>
      </c>
      <c r="O131" s="127">
        <f>AVERAGE(N142:N147)</f>
        <v>67.551161087864628</v>
      </c>
      <c r="P131" s="128">
        <f>MAX(N142:N147)</f>
        <v>87.294665271965201</v>
      </c>
      <c r="Q131" s="123">
        <f>MIN(O142:O147)</f>
        <v>59.735523012550502</v>
      </c>
      <c r="R131" s="127">
        <f>AVERAGE(O142:O147)</f>
        <v>82.821715481169818</v>
      </c>
      <c r="S131" s="128">
        <f>MAX(O142:O147)</f>
        <v>107.206506276149</v>
      </c>
      <c r="U131" s="24">
        <v>2025</v>
      </c>
      <c r="V131" s="123">
        <f>MIN(Z142:Z147)</f>
        <v>20.2180225179121</v>
      </c>
      <c r="W131" s="127">
        <f>AVERAGE(Z142:Z147)</f>
        <v>28.406886386898847</v>
      </c>
      <c r="X131" s="128">
        <f>MAX(Z142:Z147)</f>
        <v>35.353301944728997</v>
      </c>
      <c r="Y131" s="123">
        <f>MIN(AA142:AA147)</f>
        <v>24.284216990788298</v>
      </c>
      <c r="Z131" s="127">
        <f>AVERAGE(AA142:AA147)</f>
        <v>33.715529170931632</v>
      </c>
      <c r="AA131" s="128">
        <f>MAX(AA142:AA147)</f>
        <v>42.017342886387198</v>
      </c>
      <c r="AB131" s="123">
        <f>MIN(AB142:AB147)</f>
        <v>30.496458546571301</v>
      </c>
      <c r="AC131" s="127">
        <f>AVERAGE(AB142:AB147)</f>
        <v>43.109191402252065</v>
      </c>
      <c r="AD131" s="128">
        <f>MAX(AB142:AB147)</f>
        <v>53.764126919140601</v>
      </c>
      <c r="AE131" s="123">
        <f>MIN(AC142:AC147)</f>
        <v>38.515897645854899</v>
      </c>
      <c r="AF131" s="127">
        <f>AVERAGE(AC142:AC147)</f>
        <v>54.008851586489619</v>
      </c>
      <c r="AG131" s="128">
        <f>MAX(AC142:AC147)</f>
        <v>67.769907881269702</v>
      </c>
    </row>
    <row r="132" spans="1:33" x14ac:dyDescent="0.3">
      <c r="A132" s="41">
        <v>2040</v>
      </c>
      <c r="B132" s="123">
        <v>303.46799999999996</v>
      </c>
      <c r="C132" s="123">
        <v>786.25799999999981</v>
      </c>
      <c r="D132" s="123">
        <v>496.58399999999989</v>
      </c>
      <c r="E132" s="132">
        <v>358.64399999999995</v>
      </c>
      <c r="G132" s="24">
        <v>2030</v>
      </c>
      <c r="H132" s="123">
        <f>MIN(P142:P147)</f>
        <v>25.827677824266399</v>
      </c>
      <c r="I132" s="127">
        <f>AVERAGE(P142:P147)</f>
        <v>36.000031380752084</v>
      </c>
      <c r="J132" s="128">
        <f>MAX(P142:P147)</f>
        <v>46.172384937237801</v>
      </c>
      <c r="K132" s="123">
        <f>MIN(Q142:Q147)</f>
        <v>32.464958158994399</v>
      </c>
      <c r="L132" s="127">
        <f>AVERAGE(Q142:Q147)</f>
        <v>45.282604602509302</v>
      </c>
      <c r="M132" s="128">
        <f>MAX(Q142:Q147)</f>
        <v>58.292635983262699</v>
      </c>
      <c r="N132" s="123">
        <f>MIN(R142:R147)</f>
        <v>40.545125523011002</v>
      </c>
      <c r="O132" s="127">
        <f>AVERAGE(R142:R147)</f>
        <v>56.344738493722531</v>
      </c>
      <c r="P132" s="128">
        <f>MAX(R142:R147)</f>
        <v>72.865794979078402</v>
      </c>
      <c r="Q132" s="123">
        <f>MIN(S142:S147)</f>
        <v>49.923891213387499</v>
      </c>
      <c r="R132" s="127">
        <f>AVERAGE(S142:S147)</f>
        <v>68.994048117153298</v>
      </c>
      <c r="S132" s="128">
        <f>MAX(S142:S147)</f>
        <v>89.458995815898206</v>
      </c>
      <c r="U132" s="24">
        <v>2030</v>
      </c>
      <c r="V132" s="123">
        <f>MIN(AD142:AD147)</f>
        <v>16.603627430911001</v>
      </c>
      <c r="W132" s="127">
        <f>AVERAGE(AD142:AD147)</f>
        <v>23.455918116683865</v>
      </c>
      <c r="X132" s="128">
        <f>MAX(AD142:AD147)</f>
        <v>29.366960081883501</v>
      </c>
      <c r="Y132" s="123">
        <f>MIN(AE142:AE147)</f>
        <v>19.8791729785057</v>
      </c>
      <c r="Z132" s="127">
        <f>AVERAGE(AE142:AE147)</f>
        <v>27.936262026612251</v>
      </c>
      <c r="AA132" s="128">
        <f>MAX(AE142:AE147)</f>
        <v>34.788552712385098</v>
      </c>
      <c r="AB132" s="123">
        <f>MIN(AF142:AF147)</f>
        <v>25.187815762538499</v>
      </c>
      <c r="AC132" s="127">
        <f>AVERAGE(AF142:AF147)</f>
        <v>35.353301944728983</v>
      </c>
      <c r="AD132" s="128">
        <f>MAX(AF142:AF147)</f>
        <v>44.389289662231597</v>
      </c>
      <c r="AE132" s="123">
        <f>MIN(AG142:AG147)</f>
        <v>31.287107471852799</v>
      </c>
      <c r="AF132" s="127">
        <f>AVERAGE(AG142:AG147)</f>
        <v>44.408114636643063</v>
      </c>
      <c r="AG132" s="128">
        <f>MAX(AG142:AG147)</f>
        <v>55.571324462641101</v>
      </c>
    </row>
    <row r="133" spans="1:33" ht="15" thickBot="1" x14ac:dyDescent="0.35">
      <c r="A133" s="42">
        <v>2050</v>
      </c>
      <c r="B133" s="124">
        <v>234.49799999999996</v>
      </c>
      <c r="C133" s="124">
        <v>648.31799999999987</v>
      </c>
      <c r="D133" s="124">
        <v>400.0259999999999</v>
      </c>
      <c r="E133" s="133">
        <v>289.67399999999992</v>
      </c>
      <c r="G133" s="24">
        <v>2040</v>
      </c>
      <c r="H133" s="123">
        <f>MIN(H150:H155)</f>
        <v>20.200418410040601</v>
      </c>
      <c r="I133" s="127">
        <f>AVERAGE(H150:H155)</f>
        <v>28.040104602509519</v>
      </c>
      <c r="J133" s="128">
        <f>MAX(H150:H155)</f>
        <v>36.072175732216998</v>
      </c>
      <c r="K133" s="123">
        <f>MIN(I150:I155)</f>
        <v>25.539100418408701</v>
      </c>
      <c r="L133" s="127">
        <f>AVERAGE(I150:I155)</f>
        <v>35.278587866107735</v>
      </c>
      <c r="M133" s="128">
        <f>MAX(I150:I155)</f>
        <v>45.450941422593402</v>
      </c>
      <c r="N133" s="123">
        <f>MIN(J150:J155)</f>
        <v>31.5992259414211</v>
      </c>
      <c r="O133" s="127">
        <f>AVERAGE(J150:J155)</f>
        <v>43.743525104601332</v>
      </c>
      <c r="P133" s="128">
        <f>MAX(J150:J155)</f>
        <v>56.705460251045103</v>
      </c>
      <c r="Q133" s="123">
        <f>MIN(K150:K155)</f>
        <v>38.669372384935699</v>
      </c>
      <c r="R133" s="127">
        <f>AVERAGE(K150:K155)</f>
        <v>53.555156903764349</v>
      </c>
      <c r="S133" s="128">
        <f>MAX(K150:K155)</f>
        <v>69.402866108785503</v>
      </c>
      <c r="U133" s="24">
        <v>2040</v>
      </c>
      <c r="V133" s="123">
        <f>MIN(V150:V155)</f>
        <v>12.98923234391</v>
      </c>
      <c r="W133" s="127">
        <f>AVERAGE(V150:V155)</f>
        <v>17.846075742067637</v>
      </c>
      <c r="X133" s="128">
        <f>MAX(V150:V155)</f>
        <v>22.477019447287699</v>
      </c>
      <c r="Y133" s="123">
        <f>MIN(W150:W155)</f>
        <v>15.248229273285601</v>
      </c>
      <c r="Z133" s="127">
        <f>AVERAGE(W150:W155)</f>
        <v>21.253396110542567</v>
      </c>
      <c r="AA133" s="128">
        <f>MAX(W150:W155)</f>
        <v>26.430264073695099</v>
      </c>
      <c r="AB133" s="123">
        <f>MIN(X150:X155)</f>
        <v>19.3144237461618</v>
      </c>
      <c r="AC133" s="127">
        <f>AVERAGE(X150:X155)</f>
        <v>27.0138382804505</v>
      </c>
      <c r="AD133" s="128">
        <f>MAX(X150:X155)</f>
        <v>33.884953940634801</v>
      </c>
      <c r="AE133" s="123">
        <f>MIN(Y150:Y155)</f>
        <v>24.058317297850699</v>
      </c>
      <c r="AF133" s="127">
        <f>AVERAGE(Y150:Y155)</f>
        <v>33.809654042988946</v>
      </c>
      <c r="AG133" s="128">
        <f>MAX(Y150:Y155)</f>
        <v>42.356192425793502</v>
      </c>
    </row>
    <row r="134" spans="1:33" ht="15" thickBot="1" x14ac:dyDescent="0.35">
      <c r="G134" s="25">
        <v>2050</v>
      </c>
      <c r="H134" s="124">
        <f>MIN(L150:L155)</f>
        <v>16.737489539747699</v>
      </c>
      <c r="I134" s="129">
        <f>AVERAGE(L150:L155)</f>
        <v>23.278577405856851</v>
      </c>
      <c r="J134" s="130">
        <f>MAX(L150:L155)</f>
        <v>30.012050209204499</v>
      </c>
      <c r="K134" s="124">
        <f>MIN(M150:M155)</f>
        <v>21.210439330542599</v>
      </c>
      <c r="L134" s="129">
        <f>AVERAGE(M150:M155)</f>
        <v>29.122269874475972</v>
      </c>
      <c r="M134" s="130">
        <f>MAX(M150:M155)</f>
        <v>37.515062761505597</v>
      </c>
      <c r="N134" s="124">
        <f>MIN(N150:N155)</f>
        <v>26.1162552301241</v>
      </c>
      <c r="O134" s="129">
        <f>AVERAGE(N150:N155)</f>
        <v>36.144320083680881</v>
      </c>
      <c r="P134" s="130">
        <f>MAX(N150:N155)</f>
        <v>46.893828451882001</v>
      </c>
      <c r="Q134" s="124">
        <f>MIN(O150:O155)</f>
        <v>31.887803347278901</v>
      </c>
      <c r="R134" s="129">
        <f>AVERAGE(O150:O155)</f>
        <v>44.320679916316784</v>
      </c>
      <c r="S134" s="130">
        <f>MAX(O150:O155)</f>
        <v>57.426903765689403</v>
      </c>
      <c r="U134" s="25">
        <v>2050</v>
      </c>
      <c r="V134" s="124">
        <f>MIN(Z150:Z155)</f>
        <v>10.5043357215967</v>
      </c>
      <c r="W134" s="129">
        <f>AVERAGE(Z150:Z155)</f>
        <v>14.777604912999033</v>
      </c>
      <c r="X134" s="130">
        <f>MAX(Z150:Z155)</f>
        <v>18.297875127942799</v>
      </c>
      <c r="Y134" s="124">
        <f>MIN(AA150:AA155)</f>
        <v>12.085633572159701</v>
      </c>
      <c r="Z134" s="129">
        <f>AVERAGE(AA150:AA155)</f>
        <v>17.300151484135185</v>
      </c>
      <c r="AA134" s="130">
        <f>MAX(AA150:AA155)</f>
        <v>21.573420675537498</v>
      </c>
      <c r="AB134" s="124">
        <f>MIN(AB150:AB155)</f>
        <v>15.9259283520983</v>
      </c>
      <c r="AC134" s="129">
        <f>AVERAGE(AB150:AB155)</f>
        <v>22.062870010235532</v>
      </c>
      <c r="AD134" s="130">
        <f>MAX(AB150:AB155)</f>
        <v>27.4468126919142</v>
      </c>
      <c r="AE134" s="124">
        <f>MIN(AC150:AC155)</f>
        <v>19.540323439099399</v>
      </c>
      <c r="AF134" s="129">
        <f>AVERAGE(AC150:AC155)</f>
        <v>27.409162743091255</v>
      </c>
      <c r="AG134" s="130">
        <f>MAX(AC150:AC155)</f>
        <v>34.223803480041099</v>
      </c>
    </row>
    <row r="135" spans="1:33" ht="16.2" x14ac:dyDescent="0.3">
      <c r="G135" t="s">
        <v>221</v>
      </c>
      <c r="U135" t="s">
        <v>221</v>
      </c>
    </row>
    <row r="136" spans="1:33" ht="16.2" x14ac:dyDescent="0.3">
      <c r="G136" t="s">
        <v>226</v>
      </c>
      <c r="U136" t="s">
        <v>226</v>
      </c>
    </row>
    <row r="137" spans="1:33" ht="16.2" x14ac:dyDescent="0.3">
      <c r="G137" t="s">
        <v>225</v>
      </c>
      <c r="U137" t="s">
        <v>225</v>
      </c>
    </row>
    <row r="139" spans="1:33" x14ac:dyDescent="0.3">
      <c r="G139" t="s">
        <v>216</v>
      </c>
      <c r="H139" t="s">
        <v>217</v>
      </c>
      <c r="U139" t="s">
        <v>216</v>
      </c>
      <c r="V139" t="s">
        <v>217</v>
      </c>
    </row>
    <row r="140" spans="1:33" x14ac:dyDescent="0.3">
      <c r="G140" t="s">
        <v>0</v>
      </c>
      <c r="H140">
        <v>2020</v>
      </c>
      <c r="L140">
        <v>2025</v>
      </c>
      <c r="P140">
        <v>2030</v>
      </c>
      <c r="U140" t="s">
        <v>0</v>
      </c>
      <c r="V140">
        <v>2020</v>
      </c>
      <c r="Z140">
        <v>2025</v>
      </c>
      <c r="AD140">
        <v>2030</v>
      </c>
    </row>
    <row r="141" spans="1:33" x14ac:dyDescent="0.3">
      <c r="G141" t="s">
        <v>215</v>
      </c>
      <c r="H141">
        <v>2</v>
      </c>
      <c r="I141">
        <v>4</v>
      </c>
      <c r="J141">
        <v>7</v>
      </c>
      <c r="K141">
        <v>10</v>
      </c>
      <c r="L141">
        <v>2</v>
      </c>
      <c r="M141">
        <v>4</v>
      </c>
      <c r="N141">
        <v>7</v>
      </c>
      <c r="O141">
        <v>10</v>
      </c>
      <c r="P141">
        <v>2</v>
      </c>
      <c r="Q141">
        <v>4</v>
      </c>
      <c r="R141">
        <v>7</v>
      </c>
      <c r="S141">
        <v>10</v>
      </c>
      <c r="U141" t="s">
        <v>215</v>
      </c>
      <c r="V141">
        <v>2</v>
      </c>
      <c r="W141">
        <v>4</v>
      </c>
      <c r="X141">
        <v>7</v>
      </c>
      <c r="Y141">
        <v>10</v>
      </c>
      <c r="Z141">
        <v>2</v>
      </c>
      <c r="AA141">
        <v>4</v>
      </c>
      <c r="AB141">
        <v>7</v>
      </c>
      <c r="AC141">
        <v>10</v>
      </c>
      <c r="AD141">
        <v>2</v>
      </c>
      <c r="AE141">
        <v>4</v>
      </c>
      <c r="AF141">
        <v>7</v>
      </c>
      <c r="AG141">
        <v>10</v>
      </c>
    </row>
    <row r="142" spans="1:33" x14ac:dyDescent="0.3">
      <c r="G142" t="e" vm="6">
        <v>#VALUE!</v>
      </c>
      <c r="H142" s="4">
        <v>69.547154811714506</v>
      </c>
      <c r="I142" s="4">
        <v>88.160397489538397</v>
      </c>
      <c r="J142" s="4">
        <v>109.80370292886801</v>
      </c>
      <c r="K142" s="4">
        <v>135.05422594141999</v>
      </c>
      <c r="L142" s="4">
        <v>55.695439330543103</v>
      </c>
      <c r="M142" s="4">
        <v>69.980020920501005</v>
      </c>
      <c r="N142" s="4">
        <v>87.294665271965201</v>
      </c>
      <c r="O142" s="4">
        <v>107.206506276149</v>
      </c>
      <c r="P142" s="4">
        <v>46.172384937237801</v>
      </c>
      <c r="Q142" s="4">
        <v>58.292635983262699</v>
      </c>
      <c r="R142" s="4">
        <v>72.865794979078402</v>
      </c>
      <c r="S142" s="4">
        <v>89.458995815898206</v>
      </c>
      <c r="U142" t="e" vm="6">
        <v>#VALUE!</v>
      </c>
      <c r="V142" s="4">
        <v>45.066988741044298</v>
      </c>
      <c r="W142" s="4">
        <v>53.538227226202999</v>
      </c>
      <c r="X142" s="4">
        <v>68.786456499488693</v>
      </c>
      <c r="Y142" s="4">
        <v>86.632532241556405</v>
      </c>
      <c r="Z142" s="4">
        <v>35.353301944728997</v>
      </c>
      <c r="AA142" s="4">
        <v>42.017342886387198</v>
      </c>
      <c r="AB142" s="4">
        <v>53.764126919140601</v>
      </c>
      <c r="AC142" s="4">
        <v>67.769907881269702</v>
      </c>
      <c r="AD142" s="4">
        <v>29.366960081883501</v>
      </c>
      <c r="AE142" s="4">
        <v>34.788552712385098</v>
      </c>
      <c r="AF142" s="4">
        <v>44.389289662231597</v>
      </c>
      <c r="AG142" s="4">
        <v>55.571324462641101</v>
      </c>
    </row>
    <row r="143" spans="1:33" x14ac:dyDescent="0.3">
      <c r="G143" t="e" vm="1">
        <v>#VALUE!</v>
      </c>
      <c r="H143" s="4">
        <v>66.228514644350298</v>
      </c>
      <c r="I143" s="4">
        <v>83.398870292885604</v>
      </c>
      <c r="J143" s="4">
        <v>104.176443514642</v>
      </c>
      <c r="K143" s="4">
        <v>127.83979079497701</v>
      </c>
      <c r="L143" s="4">
        <v>52.665376569036702</v>
      </c>
      <c r="M143" s="4">
        <v>66.517092050208007</v>
      </c>
      <c r="N143" s="4">
        <v>82.677426778241298</v>
      </c>
      <c r="O143" s="4">
        <v>101.43495815899399</v>
      </c>
      <c r="P143" s="4">
        <v>44.008054393304597</v>
      </c>
      <c r="Q143" s="4">
        <v>55.695439330542897</v>
      </c>
      <c r="R143" s="4">
        <v>69.114288702927595</v>
      </c>
      <c r="S143" s="4">
        <v>84.553179916316495</v>
      </c>
      <c r="U143" t="e" vm="1">
        <v>#VALUE!</v>
      </c>
      <c r="V143" s="4">
        <v>43.824540429887698</v>
      </c>
      <c r="W143" s="4">
        <v>52.295778915046398</v>
      </c>
      <c r="X143" s="4">
        <v>67.318108495394497</v>
      </c>
      <c r="Y143" s="4">
        <v>84.599435005118295</v>
      </c>
      <c r="Z143" s="4">
        <v>34.675602865916296</v>
      </c>
      <c r="AA143" s="4">
        <v>41.0007942681681</v>
      </c>
      <c r="AB143" s="4">
        <v>52.521678607984001</v>
      </c>
      <c r="AC143" s="4">
        <v>65.849760491300401</v>
      </c>
      <c r="AD143" s="4">
        <v>28.802210849539598</v>
      </c>
      <c r="AE143" s="4">
        <v>33.997903787103603</v>
      </c>
      <c r="AF143" s="4">
        <v>43.259791197543798</v>
      </c>
      <c r="AG143" s="4">
        <v>54.328876151484501</v>
      </c>
    </row>
    <row r="144" spans="1:33" x14ac:dyDescent="0.3">
      <c r="G144" t="e" vm="2">
        <v>#VALUE!</v>
      </c>
      <c r="H144" s="4">
        <v>56.994037656902599</v>
      </c>
      <c r="I144" s="4">
        <v>72.288640167362601</v>
      </c>
      <c r="J144" s="4">
        <v>89.891861924684505</v>
      </c>
      <c r="K144" s="4">
        <v>110.380857740583</v>
      </c>
      <c r="L144" s="4">
        <v>45.450941422593097</v>
      </c>
      <c r="M144" s="4">
        <v>57.571192468618001</v>
      </c>
      <c r="N144" s="4">
        <v>71.422907949789305</v>
      </c>
      <c r="O144" s="4">
        <v>87.583242677822597</v>
      </c>
      <c r="P144" s="4">
        <v>38.236506276149598</v>
      </c>
      <c r="Q144" s="4">
        <v>48.192426778241497</v>
      </c>
      <c r="R144" s="4">
        <v>59.735523012550999</v>
      </c>
      <c r="S144" s="4">
        <v>72.865794979078004</v>
      </c>
      <c r="U144" t="e" vm="2">
        <v>#VALUE!</v>
      </c>
      <c r="V144" s="4">
        <v>38.515897645854899</v>
      </c>
      <c r="W144" s="4">
        <v>45.744687819856999</v>
      </c>
      <c r="X144" s="4">
        <v>58.395070624360699</v>
      </c>
      <c r="Y144" s="4">
        <v>73.530350051177606</v>
      </c>
      <c r="Z144" s="4">
        <v>30.044659160696199</v>
      </c>
      <c r="AA144" s="4">
        <v>35.805101330604103</v>
      </c>
      <c r="AB144" s="4">
        <v>45.970587512794602</v>
      </c>
      <c r="AC144" s="4">
        <v>57.491471852610402</v>
      </c>
      <c r="AD144" s="4">
        <v>24.848966223132201</v>
      </c>
      <c r="AE144" s="4">
        <v>29.479909928352299</v>
      </c>
      <c r="AF144" s="4">
        <v>37.3863991811671</v>
      </c>
      <c r="AG144" s="4">
        <v>47.551885363357499</v>
      </c>
    </row>
    <row r="145" spans="7:33" x14ac:dyDescent="0.3">
      <c r="G145" t="e" vm="3">
        <v>#VALUE!</v>
      </c>
      <c r="H145" s="4">
        <v>51.222489539747599</v>
      </c>
      <c r="I145" s="4">
        <v>64.641338912132397</v>
      </c>
      <c r="J145" s="4">
        <v>80.368807531379005</v>
      </c>
      <c r="K145" s="4">
        <v>98.837761506274106</v>
      </c>
      <c r="L145" s="4">
        <v>40.833702928869101</v>
      </c>
      <c r="M145" s="4">
        <v>51.5110669456054</v>
      </c>
      <c r="N145" s="4">
        <v>63.919895397487998</v>
      </c>
      <c r="O145" s="4">
        <v>78.493054393303694</v>
      </c>
      <c r="P145" s="4">
        <v>34.196422594141097</v>
      </c>
      <c r="Q145" s="4">
        <v>42.853744769873302</v>
      </c>
      <c r="R145" s="4">
        <v>53.242531380751799</v>
      </c>
      <c r="S145" s="4">
        <v>65.362782426776704</v>
      </c>
      <c r="U145" t="e" vm="3">
        <v>#VALUE!</v>
      </c>
      <c r="V145" s="4">
        <v>34.223803480041198</v>
      </c>
      <c r="W145" s="4">
        <v>40.323095189355399</v>
      </c>
      <c r="X145" s="4">
        <v>52.295778915046398</v>
      </c>
      <c r="Y145" s="4">
        <v>65.397961105425196</v>
      </c>
      <c r="Z145" s="4">
        <v>26.995013306039102</v>
      </c>
      <c r="AA145" s="4">
        <v>31.9648065506655</v>
      </c>
      <c r="AB145" s="4">
        <v>41.0007942681681</v>
      </c>
      <c r="AC145" s="4">
        <v>50.714481064483401</v>
      </c>
      <c r="AD145" s="4">
        <v>22.0252200614126</v>
      </c>
      <c r="AE145" s="4">
        <v>26.5432139201639</v>
      </c>
      <c r="AF145" s="4">
        <v>33.320204708290902</v>
      </c>
      <c r="AG145" s="4">
        <v>41.904393039918403</v>
      </c>
    </row>
    <row r="146" spans="7:33" x14ac:dyDescent="0.3">
      <c r="G146" t="e" vm="4">
        <v>#VALUE!</v>
      </c>
      <c r="H146" s="4">
        <v>41.410857740584497</v>
      </c>
      <c r="I146" s="4">
        <v>51.511066945605201</v>
      </c>
      <c r="J146" s="4">
        <v>64.2084728033456</v>
      </c>
      <c r="K146" s="4">
        <v>78.637343096232499</v>
      </c>
      <c r="L146" s="4">
        <v>32.753535564852299</v>
      </c>
      <c r="M146" s="4">
        <v>41.122280334726703</v>
      </c>
      <c r="N146" s="4">
        <v>51.2224895397475</v>
      </c>
      <c r="O146" s="4">
        <v>62.477008368199101</v>
      </c>
      <c r="P146" s="4">
        <v>27.559142259413001</v>
      </c>
      <c r="Q146" s="4">
        <v>34.196422594140998</v>
      </c>
      <c r="R146" s="4">
        <v>42.565167364015402</v>
      </c>
      <c r="S146" s="4">
        <v>51.799644351462902</v>
      </c>
      <c r="U146" t="e" vm="4">
        <v>#VALUE!</v>
      </c>
      <c r="V146" s="4">
        <v>29.141060388945899</v>
      </c>
      <c r="W146" s="4">
        <v>34.675602865916296</v>
      </c>
      <c r="X146" s="4">
        <v>44.389289662231597</v>
      </c>
      <c r="Y146" s="4">
        <v>55.910174002047498</v>
      </c>
      <c r="Z146" s="4">
        <v>23.1547185261004</v>
      </c>
      <c r="AA146" s="4">
        <v>27.220912998976601</v>
      </c>
      <c r="AB146" s="4">
        <v>34.901502558853799</v>
      </c>
      <c r="AC146" s="4">
        <v>43.711590583418896</v>
      </c>
      <c r="AD146" s="4">
        <v>19.088524053224301</v>
      </c>
      <c r="AE146" s="4">
        <v>22.9288188331629</v>
      </c>
      <c r="AF146" s="4">
        <v>28.576311156601999</v>
      </c>
      <c r="AG146" s="4">
        <v>35.805101330604103</v>
      </c>
    </row>
    <row r="147" spans="7:33" x14ac:dyDescent="0.3">
      <c r="G147" t="e" vm="5">
        <v>#VALUE!</v>
      </c>
      <c r="H147" s="4">
        <v>39.102238493722403</v>
      </c>
      <c r="I147" s="4">
        <v>49.346736401671997</v>
      </c>
      <c r="J147" s="4">
        <v>61.1784100418392</v>
      </c>
      <c r="K147" s="4">
        <v>75.174414225939401</v>
      </c>
      <c r="L147" s="4">
        <v>31.166359832634601</v>
      </c>
      <c r="M147" s="4">
        <v>39.102238493722403</v>
      </c>
      <c r="N147" s="4">
        <v>48.769581589956502</v>
      </c>
      <c r="O147" s="4">
        <v>59.735523012550502</v>
      </c>
      <c r="P147" s="4">
        <v>25.827677824266399</v>
      </c>
      <c r="Q147" s="4">
        <v>32.464958158994399</v>
      </c>
      <c r="R147" s="4">
        <v>40.545125523011002</v>
      </c>
      <c r="S147" s="4">
        <v>49.923891213387499</v>
      </c>
      <c r="U147" t="e" vm="5">
        <v>#VALUE!</v>
      </c>
      <c r="V147" s="4">
        <v>25.865514841351199</v>
      </c>
      <c r="W147" s="4">
        <v>30.609408393040098</v>
      </c>
      <c r="X147" s="4">
        <v>39.1935967246676</v>
      </c>
      <c r="Y147" s="4">
        <v>49.584982599795602</v>
      </c>
      <c r="Z147" s="4">
        <v>20.2180225179121</v>
      </c>
      <c r="AA147" s="4">
        <v>24.284216990788298</v>
      </c>
      <c r="AB147" s="4">
        <v>30.496458546571301</v>
      </c>
      <c r="AC147" s="4">
        <v>38.515897645854899</v>
      </c>
      <c r="AD147" s="4">
        <v>16.603627430911001</v>
      </c>
      <c r="AE147" s="4">
        <v>19.8791729785057</v>
      </c>
      <c r="AF147" s="4">
        <v>25.187815762538499</v>
      </c>
      <c r="AG147" s="4">
        <v>31.287107471852799</v>
      </c>
    </row>
    <row r="148" spans="7:33" x14ac:dyDescent="0.3">
      <c r="G148" t="s">
        <v>0</v>
      </c>
      <c r="H148">
        <v>2040</v>
      </c>
      <c r="L148">
        <v>2050</v>
      </c>
      <c r="U148" t="s">
        <v>0</v>
      </c>
      <c r="V148">
        <v>2040</v>
      </c>
      <c r="Z148">
        <v>2050</v>
      </c>
    </row>
    <row r="149" spans="7:33" x14ac:dyDescent="0.3">
      <c r="G149" t="s">
        <v>215</v>
      </c>
      <c r="H149">
        <v>2</v>
      </c>
      <c r="I149">
        <v>4</v>
      </c>
      <c r="J149">
        <v>7</v>
      </c>
      <c r="K149">
        <v>10</v>
      </c>
      <c r="L149">
        <v>2</v>
      </c>
      <c r="M149">
        <v>4</v>
      </c>
      <c r="N149">
        <v>7</v>
      </c>
      <c r="O149">
        <v>10</v>
      </c>
      <c r="U149" t="s">
        <v>215</v>
      </c>
      <c r="V149">
        <v>2</v>
      </c>
      <c r="W149">
        <v>4</v>
      </c>
      <c r="X149">
        <v>7</v>
      </c>
      <c r="Y149">
        <v>10</v>
      </c>
      <c r="Z149">
        <v>2</v>
      </c>
      <c r="AA149">
        <v>4</v>
      </c>
      <c r="AB149">
        <v>7</v>
      </c>
      <c r="AC149">
        <v>10</v>
      </c>
    </row>
    <row r="150" spans="7:33" x14ac:dyDescent="0.3">
      <c r="G150" t="e" vm="6">
        <v>#VALUE!</v>
      </c>
      <c r="H150" s="4">
        <v>36.072175732216998</v>
      </c>
      <c r="I150" s="4">
        <v>45.450941422593402</v>
      </c>
      <c r="J150" s="4">
        <v>56.705460251045103</v>
      </c>
      <c r="K150" s="4">
        <v>69.402866108785503</v>
      </c>
      <c r="L150" s="4">
        <v>30.012050209204499</v>
      </c>
      <c r="M150" s="4">
        <v>37.515062761505597</v>
      </c>
      <c r="N150" s="4">
        <v>46.893828451882001</v>
      </c>
      <c r="O150" s="4">
        <v>57.426903765689403</v>
      </c>
      <c r="U150" t="e" vm="6">
        <v>#VALUE!</v>
      </c>
      <c r="V150" s="4">
        <v>22.477019447287699</v>
      </c>
      <c r="W150" s="4">
        <v>26.430264073695099</v>
      </c>
      <c r="X150" s="4">
        <v>33.884953940634801</v>
      </c>
      <c r="Y150" s="4">
        <v>42.356192425793502</v>
      </c>
      <c r="Z150" s="4">
        <v>18.297875127942799</v>
      </c>
      <c r="AA150" s="4">
        <v>21.573420675537498</v>
      </c>
      <c r="AB150" s="4">
        <v>27.4468126919142</v>
      </c>
      <c r="AC150" s="4">
        <v>34.223803480041099</v>
      </c>
    </row>
    <row r="151" spans="7:33" x14ac:dyDescent="0.3">
      <c r="G151" t="e" vm="1">
        <v>#VALUE!</v>
      </c>
      <c r="H151" s="4">
        <v>34.196422594141502</v>
      </c>
      <c r="I151" s="4">
        <v>43.286610878660198</v>
      </c>
      <c r="J151" s="4">
        <v>53.675397489538703</v>
      </c>
      <c r="K151" s="4">
        <v>65.7956485355636</v>
      </c>
      <c r="L151" s="4">
        <v>28.569163179915599</v>
      </c>
      <c r="M151" s="4">
        <v>35.639309623430101</v>
      </c>
      <c r="N151" s="4">
        <v>44.296631799162199</v>
      </c>
      <c r="O151" s="4">
        <v>54.396841004183003</v>
      </c>
      <c r="U151" t="e" vm="1">
        <v>#VALUE!</v>
      </c>
      <c r="V151" s="4">
        <v>21.799320368475001</v>
      </c>
      <c r="W151" s="4">
        <v>25.865514841351199</v>
      </c>
      <c r="X151" s="4">
        <v>33.094305015353299</v>
      </c>
      <c r="Y151" s="4">
        <v>41.226693961105703</v>
      </c>
      <c r="Z151" s="4">
        <v>17.959025588536399</v>
      </c>
      <c r="AA151" s="4">
        <v>21.234571136131098</v>
      </c>
      <c r="AB151" s="4">
        <v>26.769113613101499</v>
      </c>
      <c r="AC151" s="4">
        <v>33.320204708290902</v>
      </c>
    </row>
    <row r="152" spans="7:33" x14ac:dyDescent="0.3">
      <c r="G152" t="e" vm="2">
        <v>#VALUE!</v>
      </c>
      <c r="H152" s="4">
        <v>29.5791841004175</v>
      </c>
      <c r="I152" s="4">
        <v>37.0821966527187</v>
      </c>
      <c r="J152" s="4">
        <v>46.172384937237403</v>
      </c>
      <c r="K152" s="4">
        <v>56.705460251044698</v>
      </c>
      <c r="L152" s="4">
        <v>24.673368200835998</v>
      </c>
      <c r="M152" s="4">
        <v>30.733493723848401</v>
      </c>
      <c r="N152" s="4">
        <v>38.236506276149598</v>
      </c>
      <c r="O152" s="4">
        <v>46.893828451881703</v>
      </c>
      <c r="U152" t="e" vm="2">
        <v>#VALUE!</v>
      </c>
      <c r="V152" s="4">
        <v>18.862624360286699</v>
      </c>
      <c r="W152" s="4">
        <v>22.477019447287699</v>
      </c>
      <c r="X152" s="4">
        <v>28.3504114636644</v>
      </c>
      <c r="Y152" s="4">
        <v>35.805101330604103</v>
      </c>
      <c r="Z152" s="4">
        <v>15.9259283520983</v>
      </c>
      <c r="AA152" s="4">
        <v>18.410824974411501</v>
      </c>
      <c r="AB152" s="4">
        <v>23.380618219037999</v>
      </c>
      <c r="AC152" s="4">
        <v>29.479909928352299</v>
      </c>
    </row>
    <row r="153" spans="7:33" x14ac:dyDescent="0.3">
      <c r="G153" t="e" vm="3">
        <v>#VALUE!</v>
      </c>
      <c r="H153" s="4">
        <v>26.69341004184</v>
      </c>
      <c r="I153" s="4">
        <v>33.474979079496798</v>
      </c>
      <c r="J153" s="4">
        <v>41.2665690376557</v>
      </c>
      <c r="K153" s="4">
        <v>50.645334728032097</v>
      </c>
      <c r="L153" s="4">
        <v>22.0761715481162</v>
      </c>
      <c r="M153" s="4">
        <v>27.414853556484299</v>
      </c>
      <c r="N153" s="4">
        <v>34.0521338912122</v>
      </c>
      <c r="O153" s="4">
        <v>41.988012552299999</v>
      </c>
      <c r="U153" t="e" vm="3">
        <v>#VALUE!</v>
      </c>
      <c r="V153" s="4">
        <v>16.603627430911001</v>
      </c>
      <c r="W153" s="4">
        <v>20.2180225179121</v>
      </c>
      <c r="X153" s="4">
        <v>25.6396151484137</v>
      </c>
      <c r="Y153" s="4">
        <v>31.9648065506655</v>
      </c>
      <c r="Z153" s="4">
        <v>14.1187308085978</v>
      </c>
      <c r="AA153" s="4">
        <v>16.377727737973501</v>
      </c>
      <c r="AB153" s="4">
        <v>21.121621289662301</v>
      </c>
      <c r="AC153" s="4">
        <v>25.639615148413601</v>
      </c>
    </row>
    <row r="154" spans="7:33" x14ac:dyDescent="0.3">
      <c r="G154" t="e" vm="4">
        <v>#VALUE!</v>
      </c>
      <c r="H154" s="4">
        <v>21.499016736400499</v>
      </c>
      <c r="I154" s="4">
        <v>26.837698744768598</v>
      </c>
      <c r="J154" s="4">
        <v>33.042112970710001</v>
      </c>
      <c r="K154" s="4">
        <v>40.112259414224503</v>
      </c>
      <c r="L154" s="4">
        <v>17.603221757321101</v>
      </c>
      <c r="M154" s="4">
        <v>22.220460251044798</v>
      </c>
      <c r="N154" s="4">
        <v>27.2705648535552</v>
      </c>
      <c r="O154" s="4">
        <v>33.330690376567702</v>
      </c>
      <c r="U154" t="e" vm="4">
        <v>#VALUE!</v>
      </c>
      <c r="V154" s="4">
        <v>14.3446305015354</v>
      </c>
      <c r="W154" s="4">
        <v>17.281326509723701</v>
      </c>
      <c r="X154" s="4">
        <v>21.799320368475001</v>
      </c>
      <c r="Y154" s="4">
        <v>27.4468126919142</v>
      </c>
      <c r="Z154" s="4">
        <v>11.859733879222199</v>
      </c>
      <c r="AA154" s="4">
        <v>14.1187308085978</v>
      </c>
      <c r="AB154" s="4">
        <v>17.733125895598899</v>
      </c>
      <c r="AC154" s="4">
        <v>22.251119754350199</v>
      </c>
    </row>
    <row r="155" spans="7:33" x14ac:dyDescent="0.3">
      <c r="G155" t="e" vm="5">
        <v>#VALUE!</v>
      </c>
      <c r="H155" s="4">
        <v>20.200418410040601</v>
      </c>
      <c r="I155" s="4">
        <v>25.539100418408701</v>
      </c>
      <c r="J155" s="4">
        <v>31.5992259414211</v>
      </c>
      <c r="K155" s="4">
        <v>38.669372384935699</v>
      </c>
      <c r="L155" s="4">
        <v>16.737489539747699</v>
      </c>
      <c r="M155" s="4">
        <v>21.210439330542599</v>
      </c>
      <c r="N155" s="4">
        <v>26.1162552301241</v>
      </c>
      <c r="O155" s="4">
        <v>31.887803347278901</v>
      </c>
      <c r="U155" t="e" vm="5">
        <v>#VALUE!</v>
      </c>
      <c r="V155" s="4">
        <v>12.98923234391</v>
      </c>
      <c r="W155" s="4">
        <v>15.248229273285601</v>
      </c>
      <c r="X155" s="4">
        <v>19.3144237461618</v>
      </c>
      <c r="Y155" s="4">
        <v>24.058317297850699</v>
      </c>
      <c r="Z155" s="4">
        <v>10.5043357215967</v>
      </c>
      <c r="AA155" s="4">
        <v>12.085633572159701</v>
      </c>
      <c r="AB155" s="4">
        <v>15.9259283520983</v>
      </c>
      <c r="AC155" s="4">
        <v>19.540323439099399</v>
      </c>
    </row>
    <row r="156" spans="7:33" ht="15" thickBot="1" x14ac:dyDescent="0.35"/>
    <row r="157" spans="7:33" ht="18.600000000000001" thickBot="1" x14ac:dyDescent="0.35">
      <c r="G157" s="289" t="s">
        <v>0</v>
      </c>
      <c r="H157" s="338" t="s">
        <v>382</v>
      </c>
      <c r="I157" s="339"/>
      <c r="J157" s="339"/>
      <c r="K157" s="339"/>
      <c r="L157" s="339"/>
      <c r="M157" s="339"/>
      <c r="N157" s="339"/>
      <c r="O157" s="339"/>
      <c r="P157" s="339"/>
      <c r="Q157" s="339"/>
      <c r="R157" s="339"/>
      <c r="S157" s="340"/>
      <c r="U157" s="289" t="s">
        <v>0</v>
      </c>
      <c r="V157" s="338" t="s">
        <v>382</v>
      </c>
      <c r="W157" s="339"/>
      <c r="X157" s="339"/>
      <c r="Y157" s="339"/>
      <c r="Z157" s="339"/>
      <c r="AA157" s="339"/>
      <c r="AB157" s="339"/>
      <c r="AC157" s="339"/>
      <c r="AD157" s="339"/>
      <c r="AE157" s="339"/>
      <c r="AF157" s="339"/>
      <c r="AG157" s="340"/>
    </row>
    <row r="158" spans="7:33" ht="18.600000000000001" thickBot="1" x14ac:dyDescent="0.4">
      <c r="G158" s="344"/>
      <c r="H158" s="380" t="s">
        <v>206</v>
      </c>
      <c r="I158" s="381"/>
      <c r="J158" s="381"/>
      <c r="K158" s="381"/>
      <c r="L158" s="381"/>
      <c r="M158" s="381"/>
      <c r="N158" s="381"/>
      <c r="O158" s="381"/>
      <c r="P158" s="381"/>
      <c r="Q158" s="381"/>
      <c r="R158" s="381"/>
      <c r="S158" s="382"/>
      <c r="U158" s="344"/>
      <c r="V158" s="380" t="s">
        <v>206</v>
      </c>
      <c r="W158" s="381"/>
      <c r="X158" s="381"/>
      <c r="Y158" s="381"/>
      <c r="Z158" s="381"/>
      <c r="AA158" s="381"/>
      <c r="AB158" s="381"/>
      <c r="AC158" s="381"/>
      <c r="AD158" s="381"/>
      <c r="AE158" s="381"/>
      <c r="AF158" s="381"/>
      <c r="AG158" s="382"/>
    </row>
    <row r="159" spans="7:33" ht="21" thickBot="1" x14ac:dyDescent="0.35">
      <c r="G159" s="344"/>
      <c r="H159" s="404" t="s">
        <v>208</v>
      </c>
      <c r="I159" s="405"/>
      <c r="J159" s="405"/>
      <c r="K159" s="405"/>
      <c r="L159" s="405"/>
      <c r="M159" s="405"/>
      <c r="N159" s="405"/>
      <c r="O159" s="405"/>
      <c r="P159" s="405"/>
      <c r="Q159" s="405"/>
      <c r="R159" s="405"/>
      <c r="S159" s="406"/>
      <c r="U159" s="344"/>
      <c r="V159" s="368" t="s">
        <v>224</v>
      </c>
      <c r="W159" s="369"/>
      <c r="X159" s="369"/>
      <c r="Y159" s="369"/>
      <c r="Z159" s="369"/>
      <c r="AA159" s="369"/>
      <c r="AB159" s="369"/>
      <c r="AC159" s="369"/>
      <c r="AD159" s="369"/>
      <c r="AE159" s="369"/>
      <c r="AF159" s="369"/>
      <c r="AG159" s="370"/>
    </row>
    <row r="160" spans="7:33" ht="15" thickBot="1" x14ac:dyDescent="0.35">
      <c r="G160" s="344"/>
      <c r="H160" s="401" t="s">
        <v>214</v>
      </c>
      <c r="I160" s="402"/>
      <c r="J160" s="403"/>
      <c r="K160" s="401" t="s">
        <v>211</v>
      </c>
      <c r="L160" s="402"/>
      <c r="M160" s="403"/>
      <c r="N160" s="401" t="s">
        <v>212</v>
      </c>
      <c r="O160" s="402"/>
      <c r="P160" s="403"/>
      <c r="Q160" s="401" t="s">
        <v>213</v>
      </c>
      <c r="R160" s="402"/>
      <c r="S160" s="403"/>
      <c r="U160" s="344"/>
      <c r="V160" s="398" t="s">
        <v>214</v>
      </c>
      <c r="W160" s="399"/>
      <c r="X160" s="400"/>
      <c r="Y160" s="398" t="s">
        <v>211</v>
      </c>
      <c r="Z160" s="399"/>
      <c r="AA160" s="400"/>
      <c r="AB160" s="398" t="s">
        <v>212</v>
      </c>
      <c r="AC160" s="399"/>
      <c r="AD160" s="400"/>
      <c r="AE160" s="398" t="s">
        <v>213</v>
      </c>
      <c r="AF160" s="399"/>
      <c r="AG160" s="400"/>
    </row>
    <row r="161" spans="7:33" ht="16.8" thickBot="1" x14ac:dyDescent="0.35">
      <c r="G161" s="290"/>
      <c r="H161" s="180" t="s">
        <v>218</v>
      </c>
      <c r="I161" s="183" t="s">
        <v>219</v>
      </c>
      <c r="J161" s="184" t="s">
        <v>134</v>
      </c>
      <c r="K161" s="180" t="s">
        <v>218</v>
      </c>
      <c r="L161" s="183" t="s">
        <v>219</v>
      </c>
      <c r="M161" s="184" t="s">
        <v>134</v>
      </c>
      <c r="N161" s="180" t="s">
        <v>218</v>
      </c>
      <c r="O161" s="183" t="s">
        <v>219</v>
      </c>
      <c r="P161" s="184" t="s">
        <v>134</v>
      </c>
      <c r="Q161" s="180" t="s">
        <v>218</v>
      </c>
      <c r="R161" s="183" t="s">
        <v>219</v>
      </c>
      <c r="S161" s="184" t="s">
        <v>134</v>
      </c>
      <c r="U161" s="290"/>
      <c r="V161" s="179" t="s">
        <v>218</v>
      </c>
      <c r="W161" s="185" t="s">
        <v>219</v>
      </c>
      <c r="X161" s="186" t="s">
        <v>134</v>
      </c>
      <c r="Y161" s="179" t="s">
        <v>218</v>
      </c>
      <c r="Z161" s="185" t="s">
        <v>219</v>
      </c>
      <c r="AA161" s="186" t="s">
        <v>134</v>
      </c>
      <c r="AB161" s="179" t="s">
        <v>218</v>
      </c>
      <c r="AC161" s="185" t="s">
        <v>219</v>
      </c>
      <c r="AD161" s="186" t="s">
        <v>134</v>
      </c>
      <c r="AE161" s="179" t="s">
        <v>218</v>
      </c>
      <c r="AF161" s="185" t="s">
        <v>219</v>
      </c>
      <c r="AG161" s="186" t="s">
        <v>134</v>
      </c>
    </row>
    <row r="162" spans="7:33" x14ac:dyDescent="0.3">
      <c r="G162" s="24">
        <v>2020</v>
      </c>
      <c r="H162" s="123">
        <f>MIN(H174:H179)</f>
        <v>30.871617497457201</v>
      </c>
      <c r="I162" s="127">
        <f>AVERAGE(H174:H179)</f>
        <v>43.238974567650651</v>
      </c>
      <c r="J162" s="128">
        <f>MAX(H174:H179)</f>
        <v>54.109525940997699</v>
      </c>
      <c r="K162" s="123">
        <f>MIN(I174:I179)</f>
        <v>37.607243133266003</v>
      </c>
      <c r="L162" s="127">
        <f>AVERAGE(I174:I179)</f>
        <v>52.500459816887805</v>
      </c>
      <c r="M162" s="128">
        <f>MAX(I174:I179)</f>
        <v>65.784610376399698</v>
      </c>
      <c r="N162" s="123">
        <f>MIN(J174:J179)</f>
        <v>49.282327568668101</v>
      </c>
      <c r="O162" s="127">
        <f>AVERAGE(J174:J179)</f>
        <v>68.871772126145444</v>
      </c>
      <c r="P162" s="128">
        <f>MAX(J174:J179)</f>
        <v>86.328268565616696</v>
      </c>
      <c r="Q162" s="123">
        <f>MIN(K174:K179)</f>
        <v>62.865839267549198</v>
      </c>
      <c r="R162" s="127">
        <f>AVERAGE(K174:K179)</f>
        <v>87.937334689726455</v>
      </c>
      <c r="S162" s="128">
        <f>MAX(K174:K179)</f>
        <v>110.127479145474</v>
      </c>
      <c r="U162" s="24">
        <v>2020</v>
      </c>
      <c r="V162" s="123">
        <f>MIN(V174:V179)</f>
        <v>20.031673469388199</v>
      </c>
      <c r="W162" s="127">
        <f>AVERAGE(V174:V179)</f>
        <v>27.933714285714931</v>
      </c>
      <c r="X162" s="128">
        <f>MAX(V174:V179)</f>
        <v>34.966530612245698</v>
      </c>
      <c r="Y162" s="123">
        <f>MIN(W174:W179)</f>
        <v>24.0617142857148</v>
      </c>
      <c r="Z162" s="127">
        <f>AVERAGE(W174:W179)</f>
        <v>33.386122448980352</v>
      </c>
      <c r="AA162" s="128">
        <f>MAX(W174:W179)</f>
        <v>41.3671836734704</v>
      </c>
      <c r="AB162" s="123">
        <f>MIN(X174:X179)</f>
        <v>30.699428571429198</v>
      </c>
      <c r="AC162" s="127">
        <f>AVERAGE(X174:X179)</f>
        <v>43.026612244898956</v>
      </c>
      <c r="AD162" s="128">
        <f>MAX(X174:X179)</f>
        <v>53.931428571429798</v>
      </c>
      <c r="AE162" s="123">
        <f>MIN(Y174:Y179)</f>
        <v>38.759510204082503</v>
      </c>
      <c r="AF162" s="127">
        <f>AVERAGE(Y174:Y179)</f>
        <v>54.28702040816453</v>
      </c>
      <c r="AG162" s="128">
        <f>MAX(Y174:Y179)</f>
        <v>68.155102040817894</v>
      </c>
    </row>
    <row r="163" spans="7:33" x14ac:dyDescent="0.3">
      <c r="G163" s="24">
        <v>2025</v>
      </c>
      <c r="H163" s="123">
        <f>MIN(L174:L179)</f>
        <v>24.585033570702201</v>
      </c>
      <c r="I163" s="127">
        <f>AVERAGE(L174:L179)</f>
        <v>34.295560528993313</v>
      </c>
      <c r="J163" s="128">
        <f>MAX(L174:L179)</f>
        <v>42.995743641913101</v>
      </c>
      <c r="K163" s="123">
        <f>MIN(M174:M179)</f>
        <v>29.636752797558898</v>
      </c>
      <c r="L163" s="127">
        <f>AVERAGE(M174:M179)</f>
        <v>41.40538758901382</v>
      </c>
      <c r="M163" s="128">
        <f>MAX(M174:M179)</f>
        <v>51.976577822991601</v>
      </c>
      <c r="N163" s="123">
        <f>MIN(N174:N179)</f>
        <v>38.729847405900799</v>
      </c>
      <c r="O163" s="127">
        <f>AVERAGE(N174:N179)</f>
        <v>54.259206510682361</v>
      </c>
      <c r="P163" s="128">
        <f>MAX(N174:N179)</f>
        <v>67.917558494405895</v>
      </c>
      <c r="Q163" s="123">
        <f>MIN(O174:O179)</f>
        <v>49.282327568668002</v>
      </c>
      <c r="R163" s="127">
        <f>AVERAGE(O174:O179)</f>
        <v>69.077582909461839</v>
      </c>
      <c r="S163" s="128">
        <f>MAX(O174:O179)</f>
        <v>86.552789420143696</v>
      </c>
      <c r="U163" s="24">
        <v>2025</v>
      </c>
      <c r="V163" s="123">
        <f>MIN(Z174:Z179)</f>
        <v>15.764571428571699</v>
      </c>
      <c r="W163" s="127">
        <f>AVERAGE(Z174:Z179)</f>
        <v>22.204734693878049</v>
      </c>
      <c r="X163" s="128">
        <f>MAX(Z174:Z179)</f>
        <v>27.8546938775517</v>
      </c>
      <c r="Y163" s="123">
        <f>MIN(AA174:AA179)</f>
        <v>18.8463673469392</v>
      </c>
      <c r="Z163" s="127">
        <f>AVERAGE(AA174:AA179)</f>
        <v>26.491591836735296</v>
      </c>
      <c r="AA163" s="128">
        <f>MAX(AA174:AA179)</f>
        <v>33.307102040817099</v>
      </c>
      <c r="AB163" s="123">
        <f>MIN(AB174:AB179)</f>
        <v>24.0617142857148</v>
      </c>
      <c r="AC163" s="127">
        <f>AVERAGE(AB174:AB179)</f>
        <v>33.741714285715069</v>
      </c>
      <c r="AD163" s="128">
        <f>MAX(AB174:AB179)</f>
        <v>42.552489795919399</v>
      </c>
      <c r="AE163" s="123">
        <f>MIN(AC174:AC179)</f>
        <v>30.225306122449702</v>
      </c>
      <c r="AF163" s="127">
        <f>AVERAGE(AC174:AC179)</f>
        <v>42.473469387756097</v>
      </c>
      <c r="AG163" s="128">
        <f>MAX(AC174:AC179)</f>
        <v>53.457306122450198</v>
      </c>
    </row>
    <row r="164" spans="7:33" x14ac:dyDescent="0.3">
      <c r="G164" s="24">
        <v>2030</v>
      </c>
      <c r="H164" s="123">
        <f>MIN(P174:P179)</f>
        <v>20.319137334690001</v>
      </c>
      <c r="I164" s="127">
        <f>AVERAGE(P174:P179)</f>
        <v>28.458018311292349</v>
      </c>
      <c r="J164" s="128">
        <f>MAX(P174:P179)</f>
        <v>35.698815869786898</v>
      </c>
      <c r="K164" s="123">
        <f>MIN(Q174:Q179)</f>
        <v>24.585033570702201</v>
      </c>
      <c r="L164" s="127">
        <f>AVERAGE(Q174:Q179)</f>
        <v>34.48266124109913</v>
      </c>
      <c r="M164" s="128">
        <f>MAX(Q174:Q179)</f>
        <v>43.444785350967003</v>
      </c>
      <c r="N164" s="123">
        <f>MIN(R174:R179)</f>
        <v>31.994221770092</v>
      </c>
      <c r="O164" s="127">
        <f>AVERAGE(R174:R179)</f>
        <v>44.960301119024017</v>
      </c>
      <c r="P164" s="128">
        <f>MAX(R174:R179)</f>
        <v>56.466994913530797</v>
      </c>
      <c r="Q164" s="123">
        <f>MIN(S174:S179)</f>
        <v>40.862795523906897</v>
      </c>
      <c r="R164" s="127">
        <f>AVERAGE(S174:S179)</f>
        <v>57.084427263479959</v>
      </c>
      <c r="S164" s="128">
        <f>MAX(S174:S179)</f>
        <v>71.509892166837204</v>
      </c>
      <c r="U164" s="24">
        <v>2030</v>
      </c>
      <c r="V164" s="123">
        <f>MIN(AD174:AD179)</f>
        <v>13.156897959183899</v>
      </c>
      <c r="W164" s="127">
        <f>AVERAGE(AD174:AD179)</f>
        <v>18.293224489796312</v>
      </c>
      <c r="X164" s="128">
        <f>MAX(AD174:AD179)</f>
        <v>22.639346938776001</v>
      </c>
      <c r="Y164" s="123">
        <f>MIN(AE174:AE179)</f>
        <v>15.290448979592201</v>
      </c>
      <c r="Z164" s="127">
        <f>AVERAGE(AE174:AE179)</f>
        <v>21.7701224489801</v>
      </c>
      <c r="AA164" s="128">
        <f>MAX(AE174:AE179)</f>
        <v>26.906448979592501</v>
      </c>
      <c r="AB164" s="123">
        <f>MIN(AF174:AF179)</f>
        <v>19.794612244898399</v>
      </c>
      <c r="AC164" s="127">
        <f>AVERAGE(AF174:AF179)</f>
        <v>27.795428571429213</v>
      </c>
      <c r="AD164" s="128">
        <f>MAX(AF174:AF179)</f>
        <v>34.492408163266099</v>
      </c>
      <c r="AE164" s="123">
        <f>MIN(AG174:AG179)</f>
        <v>24.654367346939299</v>
      </c>
      <c r="AF164" s="127">
        <f>AVERAGE(AG174:AG179)</f>
        <v>34.729469387755898</v>
      </c>
      <c r="AG164" s="128">
        <f>MAX(AG174:AG179)</f>
        <v>43.737795918368398</v>
      </c>
    </row>
    <row r="165" spans="7:33" x14ac:dyDescent="0.3">
      <c r="G165" s="24">
        <v>2040</v>
      </c>
      <c r="H165" s="123">
        <f>MIN(H182:H187)</f>
        <v>15.8287202441507</v>
      </c>
      <c r="I165" s="127">
        <f>AVERAGE(H182:H187)</f>
        <v>21.965623601221015</v>
      </c>
      <c r="J165" s="128">
        <f>MAX(H182:H187)</f>
        <v>27.616065106816201</v>
      </c>
      <c r="K165" s="123">
        <f>MIN(I182:I187)</f>
        <v>18.859751780264698</v>
      </c>
      <c r="L165" s="127">
        <f>AVERAGE(I182:I187)</f>
        <v>26.456040691760251</v>
      </c>
      <c r="M165" s="128">
        <f>MAX(I182:I187)</f>
        <v>33.2290864699903</v>
      </c>
      <c r="N165" s="123">
        <f>MIN(J182:J187)</f>
        <v>24.585033570702301</v>
      </c>
      <c r="O165" s="127">
        <f>AVERAGE(J182:J187)</f>
        <v>34.557501525941483</v>
      </c>
      <c r="P165" s="128">
        <f>MAX(J182:J187)</f>
        <v>43.220264496440102</v>
      </c>
      <c r="Q165" s="123">
        <f>MIN(K182:K187)</f>
        <v>31.208398779247599</v>
      </c>
      <c r="R165" s="127">
        <f>AVERAGE(K182:K187)</f>
        <v>43.856406917599777</v>
      </c>
      <c r="S165" s="128">
        <f>MAX(K182:K187)</f>
        <v>55.119869786369001</v>
      </c>
      <c r="U165" s="24">
        <v>2040</v>
      </c>
      <c r="V165" s="123">
        <f>MIN(V182:V187)</f>
        <v>10.904816326530799</v>
      </c>
      <c r="W165" s="127">
        <f>AVERAGE(V182:V187)</f>
        <v>15.349714285714635</v>
      </c>
      <c r="X165" s="128">
        <f>MAX(V182:V187)</f>
        <v>19.3204897959188</v>
      </c>
      <c r="Y165" s="123">
        <f>MIN(W182:W187)</f>
        <v>12.919836734694201</v>
      </c>
      <c r="Z165" s="127">
        <f>AVERAGE(W182:W187)</f>
        <v>18.312979591837149</v>
      </c>
      <c r="AA165" s="128">
        <f>MAX(W182:W187)</f>
        <v>22.876408163265801</v>
      </c>
      <c r="AB165" s="123">
        <f>MIN(X182:X187)</f>
        <v>16.712816326530898</v>
      </c>
      <c r="AC165" s="127">
        <f>AVERAGE(X182:X187)</f>
        <v>23.508571428571951</v>
      </c>
      <c r="AD165" s="128">
        <f>MAX(X182:X187)</f>
        <v>29.514122448980299</v>
      </c>
      <c r="AE165" s="123">
        <f>MIN(Y182:Y187)</f>
        <v>20.979918367347398</v>
      </c>
      <c r="AF165" s="127">
        <f>AVERAGE(Y182:Y187)</f>
        <v>29.454857142857819</v>
      </c>
      <c r="AG165" s="128">
        <f>MAX(Y182:Y187)</f>
        <v>36.625959183674297</v>
      </c>
    </row>
    <row r="166" spans="7:33" ht="15" thickBot="1" x14ac:dyDescent="0.35">
      <c r="G166" s="25">
        <v>2050</v>
      </c>
      <c r="H166" s="124">
        <f>MIN(L182:L187)</f>
        <v>12.9099491353003</v>
      </c>
      <c r="I166" s="129">
        <f>AVERAGE(L182:L187)</f>
        <v>18.055218718209797</v>
      </c>
      <c r="J166" s="130">
        <f>MAX(L182:L187)</f>
        <v>22.4520854526961</v>
      </c>
      <c r="K166" s="124">
        <f>MIN(M182:M187)</f>
        <v>15.491938962360299</v>
      </c>
      <c r="L166" s="129">
        <f>AVERAGE(M182:M187)</f>
        <v>21.684972533062336</v>
      </c>
      <c r="M166" s="130">
        <f>MAX(M182:M187)</f>
        <v>27.0547629704988</v>
      </c>
      <c r="N166" s="124">
        <f>MIN(N182:N187)</f>
        <v>20.319137334690001</v>
      </c>
      <c r="O166" s="129">
        <f>AVERAGE(N182:N187)</f>
        <v>28.233497456765381</v>
      </c>
      <c r="P166" s="130">
        <f>MAX(N182:N187)</f>
        <v>35.362034587996398</v>
      </c>
      <c r="Q166" s="124">
        <f>MIN(O182:O187)</f>
        <v>25.707637843337</v>
      </c>
      <c r="R166" s="129">
        <f>AVERAGE(O182:O187)</f>
        <v>35.867206510682053</v>
      </c>
      <c r="S166" s="130">
        <f>MAX(O182:O187)</f>
        <v>45.016431332655799</v>
      </c>
      <c r="U166" s="25">
        <v>2050</v>
      </c>
      <c r="V166" s="124">
        <f>MIN(Z182:Z187)</f>
        <v>8.1786122448981402</v>
      </c>
      <c r="W166" s="129">
        <f>AVERAGE(Z182:Z187)</f>
        <v>11.695020408163515</v>
      </c>
      <c r="X166" s="130">
        <f>MAX(Z182:Z187)</f>
        <v>14.579265306122799</v>
      </c>
      <c r="Y166" s="124">
        <f>MIN(AA182:AA187)</f>
        <v>9.3639183673471607</v>
      </c>
      <c r="Z166" s="129">
        <f>AVERAGE(AA182:AA187)</f>
        <v>13.571755102041129</v>
      </c>
      <c r="AA166" s="130">
        <f>MAX(AA182:AA187)</f>
        <v>16.949877551020801</v>
      </c>
      <c r="AB166" s="124">
        <f>MIN(AB182:AB187)</f>
        <v>12.208653061224799</v>
      </c>
      <c r="AC166" s="129">
        <f>AVERAGE(AB182:AB187)</f>
        <v>17.463510204082034</v>
      </c>
      <c r="AD166" s="130">
        <f>MAX(AB182:AB187)</f>
        <v>22.165224489796401</v>
      </c>
      <c r="AE166" s="124">
        <f>MIN(AC182:AC187)</f>
        <v>15.290448979592201</v>
      </c>
      <c r="AF166" s="129">
        <f>AVERAGE(AC182:AC187)</f>
        <v>21.552816326531101</v>
      </c>
      <c r="AG166" s="130">
        <f>MAX(AC182:AC187)</f>
        <v>27.1435102040823</v>
      </c>
    </row>
    <row r="167" spans="7:33" ht="16.2" x14ac:dyDescent="0.3">
      <c r="G167" t="s">
        <v>221</v>
      </c>
      <c r="U167" t="s">
        <v>221</v>
      </c>
    </row>
    <row r="168" spans="7:33" ht="16.2" x14ac:dyDescent="0.3">
      <c r="G168" t="s">
        <v>226</v>
      </c>
      <c r="U168" t="s">
        <v>226</v>
      </c>
    </row>
    <row r="169" spans="7:33" ht="16.2" x14ac:dyDescent="0.3">
      <c r="G169" t="s">
        <v>225</v>
      </c>
      <c r="U169" t="s">
        <v>225</v>
      </c>
    </row>
    <row r="171" spans="7:33" x14ac:dyDescent="0.3">
      <c r="G171" t="s">
        <v>216</v>
      </c>
      <c r="H171" t="s">
        <v>217</v>
      </c>
      <c r="U171" t="s">
        <v>216</v>
      </c>
      <c r="V171" t="s">
        <v>217</v>
      </c>
    </row>
    <row r="172" spans="7:33" x14ac:dyDescent="0.3">
      <c r="G172" t="s">
        <v>0</v>
      </c>
      <c r="H172">
        <v>2020</v>
      </c>
      <c r="L172">
        <v>2025</v>
      </c>
      <c r="P172">
        <v>2030</v>
      </c>
      <c r="U172" t="s">
        <v>0</v>
      </c>
      <c r="V172">
        <v>2020</v>
      </c>
      <c r="Z172">
        <v>2025</v>
      </c>
      <c r="AD172">
        <v>2030</v>
      </c>
    </row>
    <row r="173" spans="7:33" x14ac:dyDescent="0.3">
      <c r="G173" t="s">
        <v>215</v>
      </c>
      <c r="H173">
        <v>2</v>
      </c>
      <c r="I173">
        <v>4</v>
      </c>
      <c r="J173">
        <v>7</v>
      </c>
      <c r="K173">
        <v>10</v>
      </c>
      <c r="L173">
        <v>2</v>
      </c>
      <c r="M173">
        <v>4</v>
      </c>
      <c r="N173">
        <v>7</v>
      </c>
      <c r="O173">
        <v>10</v>
      </c>
      <c r="P173">
        <v>2</v>
      </c>
      <c r="Q173">
        <v>4</v>
      </c>
      <c r="R173">
        <v>7</v>
      </c>
      <c r="S173">
        <v>10</v>
      </c>
      <c r="U173" t="s">
        <v>215</v>
      </c>
      <c r="V173">
        <v>2</v>
      </c>
      <c r="W173">
        <v>4</v>
      </c>
      <c r="X173">
        <v>7</v>
      </c>
      <c r="Y173">
        <v>10</v>
      </c>
      <c r="Z173">
        <v>2</v>
      </c>
      <c r="AA173">
        <v>4</v>
      </c>
      <c r="AB173">
        <v>7</v>
      </c>
      <c r="AC173">
        <v>10</v>
      </c>
      <c r="AD173">
        <v>2</v>
      </c>
      <c r="AE173">
        <v>4</v>
      </c>
      <c r="AF173">
        <v>7</v>
      </c>
      <c r="AG173">
        <v>10</v>
      </c>
    </row>
    <row r="174" spans="7:33" x14ac:dyDescent="0.3">
      <c r="G174" t="e" vm="6">
        <v>#VALUE!</v>
      </c>
      <c r="H174" s="4">
        <v>54.109525940997699</v>
      </c>
      <c r="I174" s="4">
        <v>65.784610376399698</v>
      </c>
      <c r="J174" s="4">
        <v>86.328268565616696</v>
      </c>
      <c r="K174" s="4">
        <v>110.127479145474</v>
      </c>
      <c r="L174" s="4">
        <v>42.995743641913101</v>
      </c>
      <c r="M174" s="4">
        <v>51.976577822991601</v>
      </c>
      <c r="N174">
        <v>67.917558494405895</v>
      </c>
      <c r="O174" s="4">
        <v>86.552789420143696</v>
      </c>
      <c r="P174" s="4">
        <v>35.698815869786898</v>
      </c>
      <c r="Q174" s="4">
        <v>43.444785350967003</v>
      </c>
      <c r="R174" s="4">
        <v>56.466994913530797</v>
      </c>
      <c r="S174" s="4">
        <v>71.509892166837204</v>
      </c>
      <c r="U174" t="e" vm="6">
        <v>#VALUE!</v>
      </c>
      <c r="V174" s="4">
        <v>34.966530612245698</v>
      </c>
      <c r="W174" s="4">
        <v>41.3671836734704</v>
      </c>
      <c r="X174" s="4">
        <v>53.931428571429798</v>
      </c>
      <c r="Y174" s="4">
        <v>68.155102040817894</v>
      </c>
      <c r="Z174" s="4">
        <v>27.8546938775517</v>
      </c>
      <c r="AA174" s="4">
        <v>33.307102040817099</v>
      </c>
      <c r="AB174" s="4">
        <v>42.552489795919399</v>
      </c>
      <c r="AC174" s="4">
        <v>53.457306122450198</v>
      </c>
      <c r="AD174" s="4">
        <v>22.639346938776001</v>
      </c>
      <c r="AE174" s="4">
        <v>26.906448979592501</v>
      </c>
      <c r="AF174" s="4">
        <v>34.492408163266099</v>
      </c>
      <c r="AG174" s="4">
        <v>43.737795918368398</v>
      </c>
    </row>
    <row r="175" spans="7:33" x14ac:dyDescent="0.3">
      <c r="G175" t="e" vm="1">
        <v>#VALUE!</v>
      </c>
      <c r="H175" s="4">
        <v>52.874661241099403</v>
      </c>
      <c r="I175" s="4">
        <v>63.876183112920501</v>
      </c>
      <c r="J175" s="4">
        <v>84.083060020347105</v>
      </c>
      <c r="K175" s="4">
        <v>107.433228891151</v>
      </c>
      <c r="L175" s="4">
        <v>41.760878942014799</v>
      </c>
      <c r="M175" s="4">
        <v>50.404931841302897</v>
      </c>
      <c r="N175" s="4">
        <v>66.458172939980599</v>
      </c>
      <c r="O175" s="4">
        <v>84.532101729401006</v>
      </c>
      <c r="P175" s="4">
        <v>34.800732451679004</v>
      </c>
      <c r="Q175" s="4">
        <v>41.985399796541799</v>
      </c>
      <c r="R175" s="4">
        <v>55.007609359105601</v>
      </c>
      <c r="S175" s="4">
        <v>69.7137253306216</v>
      </c>
      <c r="U175" t="e" vm="1">
        <v>#VALUE!</v>
      </c>
      <c r="V175" s="4">
        <v>34.018285714286499</v>
      </c>
      <c r="W175" s="4">
        <v>40.656000000000901</v>
      </c>
      <c r="X175" s="4">
        <v>52.509061224490999</v>
      </c>
      <c r="Y175" s="4">
        <v>66.732734693879095</v>
      </c>
      <c r="Z175" s="4">
        <v>27.1435102040823</v>
      </c>
      <c r="AA175" s="4">
        <v>32.240326530612997</v>
      </c>
      <c r="AB175" s="4">
        <v>41.130122448980501</v>
      </c>
      <c r="AC175" s="4">
        <v>52.034938775511399</v>
      </c>
      <c r="AD175" s="4">
        <v>22.165224489796401</v>
      </c>
      <c r="AE175" s="4">
        <v>26.906448979592501</v>
      </c>
      <c r="AF175" s="4">
        <v>34.255346938776299</v>
      </c>
      <c r="AG175" s="4">
        <v>42.315428571429599</v>
      </c>
    </row>
    <row r="176" spans="7:33" x14ac:dyDescent="0.3">
      <c r="G176" t="e" vm="2">
        <v>#VALUE!</v>
      </c>
      <c r="H176" s="4">
        <v>45.914514750763601</v>
      </c>
      <c r="I176" s="4">
        <v>55.905692777213403</v>
      </c>
      <c r="J176" s="4">
        <v>72.9692777212625</v>
      </c>
      <c r="K176" s="4">
        <v>93.288415055952498</v>
      </c>
      <c r="L176" s="4">
        <v>36.4846388606312</v>
      </c>
      <c r="M176" s="4">
        <v>43.893827060021003</v>
      </c>
      <c r="N176" s="4">
        <v>57.5895991861656</v>
      </c>
      <c r="O176" s="4">
        <v>73.306059003052994</v>
      </c>
      <c r="P176" s="4">
        <v>30.3103153611398</v>
      </c>
      <c r="Q176" s="4">
        <v>36.596899287894701</v>
      </c>
      <c r="R176" s="4">
        <v>47.710681586979298</v>
      </c>
      <c r="S176" s="4">
        <v>60.7328911495431</v>
      </c>
      <c r="U176" t="e" vm="2">
        <v>#VALUE!</v>
      </c>
      <c r="V176" s="4">
        <v>29.751183673470099</v>
      </c>
      <c r="W176" s="4">
        <v>35.677714285715098</v>
      </c>
      <c r="X176" s="4">
        <v>45.871346938776597</v>
      </c>
      <c r="Y176" s="4">
        <v>57.487346938776902</v>
      </c>
      <c r="Z176" s="4">
        <v>23.824653061225</v>
      </c>
      <c r="AA176" s="4">
        <v>28.3288163265313</v>
      </c>
      <c r="AB176" s="4">
        <v>36.151836734694697</v>
      </c>
      <c r="AC176" s="4">
        <v>45.160163265307197</v>
      </c>
      <c r="AD176" s="4">
        <v>19.557551020408599</v>
      </c>
      <c r="AE176" s="4">
        <v>23.1134693877556</v>
      </c>
      <c r="AF176" s="4">
        <v>29.751183673470099</v>
      </c>
      <c r="AG176" s="4">
        <v>37.337142857143697</v>
      </c>
    </row>
    <row r="177" spans="7:33" x14ac:dyDescent="0.3">
      <c r="G177" t="e" vm="3">
        <v>#VALUE!</v>
      </c>
      <c r="H177" s="4">
        <v>40.862795523907003</v>
      </c>
      <c r="I177" s="4">
        <v>49.506848423195002</v>
      </c>
      <c r="J177" s="4">
        <v>64.998787385555303</v>
      </c>
      <c r="K177" s="4">
        <v>82.960455747712302</v>
      </c>
      <c r="L177" s="4">
        <v>32.331003051882398</v>
      </c>
      <c r="M177" s="4">
        <v>39.1788891149547</v>
      </c>
      <c r="N177" s="4">
        <v>50.966233977620298</v>
      </c>
      <c r="O177" s="4">
        <v>65.223308240082304</v>
      </c>
      <c r="P177" s="4">
        <v>26.605721261444899</v>
      </c>
      <c r="Q177" s="4">
        <v>32.443263479145898</v>
      </c>
      <c r="R177" s="4">
        <v>42.3221810783322</v>
      </c>
      <c r="S177" s="4">
        <v>53.772744659207298</v>
      </c>
      <c r="U177" t="e" vm="3">
        <v>#VALUE!</v>
      </c>
      <c r="V177" s="4">
        <v>26.195265306123101</v>
      </c>
      <c r="W177" s="4">
        <v>31.647673469388501</v>
      </c>
      <c r="X177" s="4">
        <v>40.656000000001001</v>
      </c>
      <c r="Y177" s="4">
        <v>51.0866938775522</v>
      </c>
      <c r="Z177" s="4">
        <v>20.505795918367799</v>
      </c>
      <c r="AA177" s="4">
        <v>24.772897959184199</v>
      </c>
      <c r="AB177" s="4">
        <v>31.647673469388501</v>
      </c>
      <c r="AC177" s="4">
        <v>39.944816326531601</v>
      </c>
      <c r="AD177" s="4">
        <v>17.186938775510601</v>
      </c>
      <c r="AE177" s="4">
        <v>20.742857142857599</v>
      </c>
      <c r="AF177" s="4">
        <v>26.195265306123101</v>
      </c>
      <c r="AG177" s="4">
        <v>32.5959183673477</v>
      </c>
    </row>
    <row r="178" spans="7:33" x14ac:dyDescent="0.3">
      <c r="G178" t="e" vm="4">
        <v>#VALUE!</v>
      </c>
      <c r="H178" s="4">
        <v>34.800732451679004</v>
      </c>
      <c r="I178" s="4">
        <v>42.3221810783322</v>
      </c>
      <c r="J178" s="4">
        <v>55.568911495423002</v>
      </c>
      <c r="K178" s="4">
        <v>70.948590030519796</v>
      </c>
      <c r="L178" s="4">
        <v>27.616065106816201</v>
      </c>
      <c r="M178" s="4">
        <v>33.3413468972538</v>
      </c>
      <c r="N178" s="4">
        <v>43.893827060021003</v>
      </c>
      <c r="O178" s="4">
        <v>55.568911495423002</v>
      </c>
      <c r="P178" s="4">
        <v>23.013387589013501</v>
      </c>
      <c r="Q178" s="4">
        <v>27.840585961343201</v>
      </c>
      <c r="R178" s="4">
        <v>36.2601180061042</v>
      </c>
      <c r="S178" s="4">
        <v>45.914514750763601</v>
      </c>
      <c r="U178" t="e" vm="4">
        <v>#VALUE!</v>
      </c>
      <c r="V178" s="4">
        <v>22.639346938776001</v>
      </c>
      <c r="W178" s="4">
        <v>26.906448979592401</v>
      </c>
      <c r="X178" s="4">
        <v>34.492408163266099</v>
      </c>
      <c r="Y178" s="4">
        <v>43.500734693878599</v>
      </c>
      <c r="Z178" s="4">
        <v>18.1351836734698</v>
      </c>
      <c r="AA178" s="4">
        <v>21.454040816327002</v>
      </c>
      <c r="AB178" s="4">
        <v>26.906448979592501</v>
      </c>
      <c r="AC178" s="4">
        <v>34.018285714286499</v>
      </c>
      <c r="AD178" s="4">
        <v>15.053387755102399</v>
      </c>
      <c r="AE178" s="4">
        <v>17.661061224490201</v>
      </c>
      <c r="AF178" s="4">
        <v>22.283755102041301</v>
      </c>
      <c r="AG178" s="4">
        <v>27.736163265306701</v>
      </c>
    </row>
    <row r="179" spans="7:33" x14ac:dyDescent="0.3">
      <c r="G179" t="e" vm="5">
        <v>#VALUE!</v>
      </c>
      <c r="H179" s="4">
        <v>30.871617497457201</v>
      </c>
      <c r="I179" s="4">
        <v>37.607243133266003</v>
      </c>
      <c r="J179" s="4">
        <v>49.282327568668101</v>
      </c>
      <c r="K179" s="4">
        <v>62.865839267549198</v>
      </c>
      <c r="L179" s="4">
        <v>24.585033570702201</v>
      </c>
      <c r="M179" s="4">
        <v>29.636752797558898</v>
      </c>
      <c r="N179" s="4">
        <v>38.729847405900799</v>
      </c>
      <c r="O179" s="4">
        <v>49.282327568668002</v>
      </c>
      <c r="P179" s="4">
        <v>20.319137334690001</v>
      </c>
      <c r="Q179" s="4">
        <v>24.585033570702201</v>
      </c>
      <c r="R179" s="4">
        <v>31.994221770092</v>
      </c>
      <c r="S179" s="4">
        <v>40.862795523906897</v>
      </c>
      <c r="U179" t="e" vm="5">
        <v>#VALUE!</v>
      </c>
      <c r="V179" s="4">
        <v>20.031673469388199</v>
      </c>
      <c r="W179" s="4">
        <v>24.0617142857148</v>
      </c>
      <c r="X179" s="4">
        <v>30.699428571429198</v>
      </c>
      <c r="Y179" s="4">
        <v>38.759510204082503</v>
      </c>
      <c r="Z179" s="4">
        <v>15.764571428571699</v>
      </c>
      <c r="AA179" s="4">
        <v>18.8463673469392</v>
      </c>
      <c r="AB179" s="4">
        <v>24.0617142857148</v>
      </c>
      <c r="AC179" s="4">
        <v>30.225306122449702</v>
      </c>
      <c r="AD179" s="4">
        <v>13.156897959183899</v>
      </c>
      <c r="AE179" s="4">
        <v>15.290448979592201</v>
      </c>
      <c r="AF179" s="4">
        <v>19.794612244898399</v>
      </c>
      <c r="AG179" s="4">
        <v>24.654367346939299</v>
      </c>
    </row>
    <row r="180" spans="7:33" x14ac:dyDescent="0.3">
      <c r="G180" t="s">
        <v>0</v>
      </c>
      <c r="H180">
        <v>2040</v>
      </c>
      <c r="L180">
        <v>2050</v>
      </c>
      <c r="U180" t="s">
        <v>0</v>
      </c>
      <c r="V180">
        <v>2040</v>
      </c>
      <c r="Z180">
        <v>2050</v>
      </c>
    </row>
    <row r="181" spans="7:33" x14ac:dyDescent="0.3">
      <c r="G181" t="s">
        <v>215</v>
      </c>
      <c r="H181">
        <v>2</v>
      </c>
      <c r="I181">
        <v>4</v>
      </c>
      <c r="J181">
        <v>7</v>
      </c>
      <c r="K181">
        <v>10</v>
      </c>
      <c r="L181">
        <v>2</v>
      </c>
      <c r="M181">
        <v>4</v>
      </c>
      <c r="N181">
        <v>7</v>
      </c>
      <c r="O181">
        <v>10</v>
      </c>
      <c r="U181" t="s">
        <v>215</v>
      </c>
      <c r="V181">
        <v>2</v>
      </c>
      <c r="W181">
        <v>4</v>
      </c>
      <c r="X181">
        <v>7</v>
      </c>
      <c r="Y181">
        <v>10</v>
      </c>
      <c r="Z181">
        <v>2</v>
      </c>
      <c r="AA181">
        <v>4</v>
      </c>
      <c r="AB181">
        <v>7</v>
      </c>
      <c r="AC181">
        <v>10</v>
      </c>
    </row>
    <row r="182" spans="7:33" x14ac:dyDescent="0.3">
      <c r="G182" t="e" vm="6">
        <v>#VALUE!</v>
      </c>
      <c r="H182" s="4">
        <v>27.616065106816201</v>
      </c>
      <c r="I182" s="4">
        <v>33.2290864699903</v>
      </c>
      <c r="J182" s="4">
        <v>43.220264496440102</v>
      </c>
      <c r="K182" s="4">
        <v>55.119869786369001</v>
      </c>
      <c r="L182" s="4">
        <v>22.4520854526961</v>
      </c>
      <c r="M182" s="4">
        <v>27.0547629704988</v>
      </c>
      <c r="N182" s="4">
        <v>35.362034587996398</v>
      </c>
      <c r="O182" s="4">
        <v>45.016431332655799</v>
      </c>
      <c r="U182" t="e" vm="6">
        <v>#VALUE!</v>
      </c>
      <c r="V182" s="4">
        <v>19.3204897959188</v>
      </c>
      <c r="W182" s="4">
        <v>22.876408163265801</v>
      </c>
      <c r="X182" s="4">
        <v>29.514122448980299</v>
      </c>
      <c r="Y182" s="4">
        <v>36.625959183674297</v>
      </c>
      <c r="Z182" s="4">
        <v>14.579265306122799</v>
      </c>
      <c r="AA182" s="4">
        <v>16.949877551020801</v>
      </c>
      <c r="AB182" s="4">
        <v>22.165224489796401</v>
      </c>
      <c r="AC182" s="4">
        <v>27.1435102040823</v>
      </c>
    </row>
    <row r="183" spans="7:33" x14ac:dyDescent="0.3">
      <c r="G183" t="e" vm="1">
        <v>#VALUE!</v>
      </c>
      <c r="H183" s="4">
        <v>26.717981688708399</v>
      </c>
      <c r="I183" s="4">
        <v>32.443263479145898</v>
      </c>
      <c r="J183" s="4">
        <v>42.3221810783322</v>
      </c>
      <c r="K183" s="4">
        <v>53.435963377416797</v>
      </c>
      <c r="L183" s="4">
        <v>22.115304170905699</v>
      </c>
      <c r="M183" s="4">
        <v>26.605721261444899</v>
      </c>
      <c r="N183" s="4">
        <v>34.463951169888603</v>
      </c>
      <c r="O183" s="4">
        <v>43.781566632757503</v>
      </c>
      <c r="U183" t="e" vm="1">
        <v>#VALUE!</v>
      </c>
      <c r="V183" s="4">
        <v>18.8463673469392</v>
      </c>
      <c r="W183" s="4">
        <v>22.402285714286201</v>
      </c>
      <c r="X183" s="4">
        <v>28.802938775510899</v>
      </c>
      <c r="Y183" s="4">
        <v>36.151836734694697</v>
      </c>
      <c r="Z183" s="4">
        <v>14.1051428571432</v>
      </c>
      <c r="AA183" s="4">
        <v>16.475755102041202</v>
      </c>
      <c r="AB183" s="4">
        <v>21.454040816327002</v>
      </c>
      <c r="AC183" s="4">
        <v>26.195265306123002</v>
      </c>
    </row>
    <row r="184" spans="7:33" x14ac:dyDescent="0.3">
      <c r="G184" t="e" vm="2">
        <v>#VALUE!</v>
      </c>
      <c r="H184" s="4">
        <v>23.350168870804001</v>
      </c>
      <c r="I184" s="4">
        <v>28.177367243133599</v>
      </c>
      <c r="J184" s="4">
        <v>36.596899287894701</v>
      </c>
      <c r="K184" s="4">
        <v>46.588077314344503</v>
      </c>
      <c r="L184" s="4">
        <v>19.196533062055199</v>
      </c>
      <c r="M184" s="4">
        <v>23.013387589013501</v>
      </c>
      <c r="N184" s="4">
        <v>29.973534079349299</v>
      </c>
      <c r="O184" s="4">
        <v>38.056284842319897</v>
      </c>
      <c r="U184" t="e" vm="2">
        <v>#VALUE!</v>
      </c>
      <c r="V184" s="4">
        <v>16.001632653061598</v>
      </c>
      <c r="W184" s="4">
        <v>19.557551020408599</v>
      </c>
      <c r="X184" s="4">
        <v>24.772897959184199</v>
      </c>
      <c r="Y184" s="4">
        <v>31.410612244898701</v>
      </c>
      <c r="Z184" s="4">
        <v>12.6827755102043</v>
      </c>
      <c r="AA184" s="4">
        <v>14.816326530612599</v>
      </c>
      <c r="AB184" s="4">
        <v>18.6093061224494</v>
      </c>
      <c r="AC184" s="4">
        <v>23.1134693877556</v>
      </c>
    </row>
    <row r="185" spans="7:33" x14ac:dyDescent="0.3">
      <c r="G185" t="e" vm="3">
        <v>#VALUE!</v>
      </c>
      <c r="H185" s="4">
        <v>20.655918616480399</v>
      </c>
      <c r="I185" s="4">
        <v>24.809554425229202</v>
      </c>
      <c r="J185" s="4">
        <v>32.667784333672898</v>
      </c>
      <c r="K185" s="4">
        <v>41.424097660224398</v>
      </c>
      <c r="L185" s="4">
        <v>16.951324516785601</v>
      </c>
      <c r="M185" s="4">
        <v>20.319137334690001</v>
      </c>
      <c r="N185" s="4">
        <v>26.605721261444899</v>
      </c>
      <c r="O185" s="4">
        <v>33.902649033571102</v>
      </c>
      <c r="U185" t="e" vm="3">
        <v>#VALUE!</v>
      </c>
      <c r="V185" s="4">
        <v>14.342204081633</v>
      </c>
      <c r="W185" s="4">
        <v>17.186938775510601</v>
      </c>
      <c r="X185" s="4">
        <v>22.402285714286201</v>
      </c>
      <c r="Y185" s="4">
        <v>28.0917551020415</v>
      </c>
      <c r="Z185" s="4">
        <v>11.023346938775701</v>
      </c>
      <c r="AA185" s="4">
        <v>12.919836734694099</v>
      </c>
      <c r="AB185" s="4">
        <v>16.475755102041202</v>
      </c>
      <c r="AC185" s="4">
        <v>20.387265306122899</v>
      </c>
    </row>
    <row r="186" spans="7:33" x14ac:dyDescent="0.3">
      <c r="G186" t="e" vm="4">
        <v>#VALUE!</v>
      </c>
      <c r="H186" s="4">
        <v>17.624887080366399</v>
      </c>
      <c r="I186" s="4">
        <v>21.2172207527978</v>
      </c>
      <c r="J186" s="4">
        <v>27.952846388606702</v>
      </c>
      <c r="K186" s="4">
        <v>35.362034587996398</v>
      </c>
      <c r="L186" s="4">
        <v>14.706115971515899</v>
      </c>
      <c r="M186" s="4">
        <v>17.624887080366499</v>
      </c>
      <c r="N186" s="4">
        <v>22.6766063072231</v>
      </c>
      <c r="O186" s="4">
        <v>28.738669379451</v>
      </c>
      <c r="U186" t="e" vm="4">
        <v>#VALUE!</v>
      </c>
      <c r="V186" s="4">
        <v>12.682775510204401</v>
      </c>
      <c r="W186" s="4">
        <v>14.934857142857499</v>
      </c>
      <c r="X186" s="4">
        <v>18.8463673469392</v>
      </c>
      <c r="Y186" s="4">
        <v>23.4690612244903</v>
      </c>
      <c r="Z186" s="4">
        <v>9.6009795918369498</v>
      </c>
      <c r="AA186" s="4">
        <v>10.9048163265309</v>
      </c>
      <c r="AB186" s="4">
        <v>13.8680816326534</v>
      </c>
      <c r="AC186" s="4">
        <v>17.186938775510601</v>
      </c>
    </row>
    <row r="187" spans="7:33" x14ac:dyDescent="0.3">
      <c r="G187" t="e" vm="5">
        <v>#VALUE!</v>
      </c>
      <c r="H187" s="4">
        <v>15.8287202441507</v>
      </c>
      <c r="I187" s="4">
        <v>18.859751780264698</v>
      </c>
      <c r="J187" s="4">
        <v>24.585033570702301</v>
      </c>
      <c r="K187" s="4">
        <v>31.208398779247599</v>
      </c>
      <c r="L187" s="4">
        <v>12.9099491353003</v>
      </c>
      <c r="M187" s="4">
        <v>15.491938962360299</v>
      </c>
      <c r="N187" s="4">
        <v>20.319137334690001</v>
      </c>
      <c r="O187" s="4">
        <v>25.707637843337</v>
      </c>
      <c r="U187" t="e" vm="5">
        <v>#VALUE!</v>
      </c>
      <c r="V187" s="4">
        <v>10.904816326530799</v>
      </c>
      <c r="W187" s="4">
        <v>12.919836734694201</v>
      </c>
      <c r="X187" s="4">
        <v>16.712816326530898</v>
      </c>
      <c r="Y187" s="4">
        <v>20.979918367347398</v>
      </c>
      <c r="Z187" s="4">
        <v>8.1786122448981402</v>
      </c>
      <c r="AA187" s="4">
        <v>9.3639183673471607</v>
      </c>
      <c r="AB187" s="4">
        <v>12.208653061224799</v>
      </c>
      <c r="AC187" s="4">
        <v>15.290448979592201</v>
      </c>
    </row>
    <row r="188" spans="7:33" x14ac:dyDescent="0.3">
      <c r="H188" s="4"/>
      <c r="I188" s="4"/>
      <c r="J188" s="4"/>
      <c r="K188" s="4"/>
      <c r="L188" s="4"/>
      <c r="M188" s="4"/>
      <c r="N188" s="4"/>
      <c r="O188" s="4"/>
      <c r="P188" s="4"/>
      <c r="Q188" s="4"/>
      <c r="R188" s="4"/>
      <c r="S188" s="4"/>
      <c r="V188" s="4"/>
      <c r="W188" s="4"/>
      <c r="X188" s="4"/>
      <c r="Y188" s="4"/>
      <c r="Z188" s="4"/>
      <c r="AA188" s="4"/>
      <c r="AB188" s="4"/>
      <c r="AC188" s="4"/>
      <c r="AD188" s="4"/>
      <c r="AE188" s="4"/>
      <c r="AF188" s="4"/>
      <c r="AG188" s="4"/>
    </row>
  </sheetData>
  <mergeCells count="105">
    <mergeCell ref="A1:A4"/>
    <mergeCell ref="U1:U5"/>
    <mergeCell ref="V1:AG1"/>
    <mergeCell ref="V2:AG2"/>
    <mergeCell ref="V3:AG3"/>
    <mergeCell ref="V4:X4"/>
    <mergeCell ref="Y4:AA4"/>
    <mergeCell ref="AB4:AD4"/>
    <mergeCell ref="AE4:AG4"/>
    <mergeCell ref="G1:G5"/>
    <mergeCell ref="H4:J4"/>
    <mergeCell ref="K4:M4"/>
    <mergeCell ref="N4:P4"/>
    <mergeCell ref="Q4:S4"/>
    <mergeCell ref="H1:S1"/>
    <mergeCell ref="H2:S2"/>
    <mergeCell ref="U32:U36"/>
    <mergeCell ref="V32:AG32"/>
    <mergeCell ref="V33:AG33"/>
    <mergeCell ref="V34:AG34"/>
    <mergeCell ref="V35:X35"/>
    <mergeCell ref="Y35:AA35"/>
    <mergeCell ref="AB35:AD35"/>
    <mergeCell ref="AE35:AG35"/>
    <mergeCell ref="B1:E1"/>
    <mergeCell ref="B2:E2"/>
    <mergeCell ref="H3:S3"/>
    <mergeCell ref="Q35:S35"/>
    <mergeCell ref="G32:G36"/>
    <mergeCell ref="H34:S34"/>
    <mergeCell ref="H32:S32"/>
    <mergeCell ref="H33:S33"/>
    <mergeCell ref="H35:J35"/>
    <mergeCell ref="K35:M35"/>
    <mergeCell ref="N35:P35"/>
    <mergeCell ref="V63:AG63"/>
    <mergeCell ref="B64:E64"/>
    <mergeCell ref="H64:S64"/>
    <mergeCell ref="V64:AG64"/>
    <mergeCell ref="H65:S65"/>
    <mergeCell ref="V65:AG65"/>
    <mergeCell ref="A63:A66"/>
    <mergeCell ref="B63:E63"/>
    <mergeCell ref="G63:G67"/>
    <mergeCell ref="H63:S63"/>
    <mergeCell ref="U63:U67"/>
    <mergeCell ref="H66:J66"/>
    <mergeCell ref="K66:M66"/>
    <mergeCell ref="N66:P66"/>
    <mergeCell ref="Q66:S66"/>
    <mergeCell ref="V66:X66"/>
    <mergeCell ref="Y66:AA66"/>
    <mergeCell ref="AB66:AD66"/>
    <mergeCell ref="AE66:AG66"/>
    <mergeCell ref="G94:G98"/>
    <mergeCell ref="H94:S94"/>
    <mergeCell ref="U94:U98"/>
    <mergeCell ref="V94:AG94"/>
    <mergeCell ref="H95:S95"/>
    <mergeCell ref="V95:AG95"/>
    <mergeCell ref="H96:S96"/>
    <mergeCell ref="V96:AG96"/>
    <mergeCell ref="H97:J97"/>
    <mergeCell ref="K97:M97"/>
    <mergeCell ref="N97:P97"/>
    <mergeCell ref="Q97:S97"/>
    <mergeCell ref="V97:X97"/>
    <mergeCell ref="Y97:AA97"/>
    <mergeCell ref="AB97:AD97"/>
    <mergeCell ref="AE97:AG97"/>
    <mergeCell ref="A125:A128"/>
    <mergeCell ref="B125:E125"/>
    <mergeCell ref="G125:G129"/>
    <mergeCell ref="H125:S125"/>
    <mergeCell ref="U125:U129"/>
    <mergeCell ref="V125:AG125"/>
    <mergeCell ref="B126:E126"/>
    <mergeCell ref="H126:S126"/>
    <mergeCell ref="V126:AG126"/>
    <mergeCell ref="H127:S127"/>
    <mergeCell ref="V127:AG127"/>
    <mergeCell ref="H128:J128"/>
    <mergeCell ref="AB160:AD160"/>
    <mergeCell ref="AE160:AG160"/>
    <mergeCell ref="AB128:AD128"/>
    <mergeCell ref="AE128:AG128"/>
    <mergeCell ref="G157:G161"/>
    <mergeCell ref="H157:S157"/>
    <mergeCell ref="U157:U161"/>
    <mergeCell ref="V157:AG157"/>
    <mergeCell ref="H158:S158"/>
    <mergeCell ref="V158:AG158"/>
    <mergeCell ref="H159:S159"/>
    <mergeCell ref="V159:AG159"/>
    <mergeCell ref="H160:J160"/>
    <mergeCell ref="K160:M160"/>
    <mergeCell ref="N160:P160"/>
    <mergeCell ref="Q160:S160"/>
    <mergeCell ref="V160:X160"/>
    <mergeCell ref="Y160:AA160"/>
    <mergeCell ref="K128:M128"/>
    <mergeCell ref="N128:P128"/>
    <mergeCell ref="Q128:S128"/>
    <mergeCell ref="V128:X128"/>
    <mergeCell ref="Y128:AA128"/>
  </mergeCells>
  <pageMargins left="0.19685039370078741" right="0.19685039370078741" top="0.19685039370078741" bottom="0.19685039370078741" header="0.19685039370078741" footer="0.19685039370078741"/>
  <pageSetup paperSize="9" scale="18" orientation="landscape" r:id="rId1"/>
  <headerFooter>
    <oddFooter>&amp;C_x000D_&amp;1#&amp;"Calibri"&amp;7&amp;K000000 Classification: In-Confidence</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DFB9B-5D7A-4300-8BB3-3796859C5B07}">
  <sheetPr>
    <tabColor theme="0" tint="-0.499984740745262"/>
    <pageSetUpPr fitToPage="1"/>
  </sheetPr>
  <dimension ref="A1:AQ330"/>
  <sheetViews>
    <sheetView zoomScale="55" zoomScaleNormal="55" workbookViewId="0">
      <selection activeCell="Q31" sqref="Q31"/>
    </sheetView>
  </sheetViews>
  <sheetFormatPr defaultRowHeight="14.4" x14ac:dyDescent="0.3"/>
  <cols>
    <col min="2" max="2" width="17.21875" bestFit="1" customWidth="1"/>
    <col min="3" max="3" width="19.109375" bestFit="1" customWidth="1"/>
    <col min="4" max="4" width="14.44140625" bestFit="1" customWidth="1"/>
    <col min="5" max="5" width="17.21875" bestFit="1" customWidth="1"/>
    <col min="6" max="6" width="19.109375" bestFit="1" customWidth="1"/>
    <col min="7" max="7" width="14.44140625" bestFit="1" customWidth="1"/>
    <col min="8" max="8" width="17.21875" bestFit="1" customWidth="1"/>
    <col min="9" max="9" width="19.109375" bestFit="1" customWidth="1"/>
    <col min="10" max="10" width="14.44140625" bestFit="1" customWidth="1"/>
    <col min="11" max="11" width="17.21875" bestFit="1" customWidth="1"/>
    <col min="12" max="12" width="19.109375" bestFit="1" customWidth="1"/>
    <col min="13" max="13" width="14.44140625" bestFit="1" customWidth="1"/>
    <col min="14" max="14" width="17.21875" bestFit="1" customWidth="1"/>
    <col min="15" max="15" width="19.109375" bestFit="1" customWidth="1"/>
    <col min="16" max="16" width="14.44140625" bestFit="1" customWidth="1"/>
    <col min="17" max="17" width="17.21875" bestFit="1" customWidth="1"/>
    <col min="18" max="18" width="21.109375" customWidth="1"/>
    <col min="19" max="19" width="14.44140625" bestFit="1" customWidth="1"/>
    <col min="20" max="20" width="18.33203125" bestFit="1" customWidth="1"/>
    <col min="21" max="22" width="19.109375" bestFit="1" customWidth="1"/>
    <col min="23" max="23" width="14.44140625" bestFit="1" customWidth="1"/>
    <col min="24" max="24" width="17.21875" bestFit="1" customWidth="1"/>
    <col min="25" max="25" width="19.109375" bestFit="1" customWidth="1"/>
    <col min="26" max="26" width="14.44140625" bestFit="1" customWidth="1"/>
    <col min="27" max="27" width="17.21875" bestFit="1" customWidth="1"/>
    <col min="28" max="28" width="19.109375" bestFit="1" customWidth="1"/>
    <col min="29" max="29" width="14.44140625" bestFit="1" customWidth="1"/>
    <col min="30" max="30" width="7.6640625" bestFit="1" customWidth="1"/>
    <col min="31" max="33" width="7.109375" bestFit="1" customWidth="1"/>
    <col min="34" max="34" width="6.5546875" bestFit="1" customWidth="1"/>
    <col min="35" max="36" width="7.109375" bestFit="1" customWidth="1"/>
  </cols>
  <sheetData>
    <row r="1" spans="1:36" ht="18.600000000000001" customHeight="1" thickBot="1" x14ac:dyDescent="0.4">
      <c r="A1" s="289" t="s">
        <v>0</v>
      </c>
      <c r="B1" s="380" t="s">
        <v>383</v>
      </c>
      <c r="C1" s="381"/>
      <c r="D1" s="381"/>
      <c r="E1" s="381"/>
      <c r="F1" s="381"/>
      <c r="G1" s="381"/>
      <c r="H1" s="381"/>
      <c r="I1" s="381"/>
      <c r="J1" s="381"/>
      <c r="K1" s="381"/>
      <c r="L1" s="381"/>
      <c r="M1" s="381"/>
      <c r="N1" s="381"/>
      <c r="O1" s="381"/>
      <c r="P1" s="382"/>
      <c r="R1" s="380" t="s">
        <v>384</v>
      </c>
      <c r="S1" s="381"/>
      <c r="T1" s="381"/>
      <c r="U1" s="381"/>
      <c r="V1" s="381"/>
      <c r="W1" s="381"/>
      <c r="X1" s="381"/>
      <c r="Y1" s="381"/>
      <c r="Z1" s="381"/>
      <c r="AA1" s="381"/>
      <c r="AB1" s="381"/>
      <c r="AC1" s="381"/>
      <c r="AD1" s="381"/>
      <c r="AE1" s="381"/>
      <c r="AF1" s="381"/>
      <c r="AG1" s="381"/>
      <c r="AH1" s="381"/>
      <c r="AI1" s="381"/>
      <c r="AJ1" s="382"/>
    </row>
    <row r="2" spans="1:36" ht="20.399999999999999" customHeight="1" thickBot="1" x14ac:dyDescent="0.35">
      <c r="A2" s="344"/>
      <c r="B2" s="368" t="s">
        <v>58</v>
      </c>
      <c r="C2" s="369"/>
      <c r="D2" s="370"/>
      <c r="E2" s="404" t="s">
        <v>155</v>
      </c>
      <c r="F2" s="405"/>
      <c r="G2" s="406"/>
      <c r="H2" s="446" t="s">
        <v>120</v>
      </c>
      <c r="I2" s="447"/>
      <c r="J2" s="448"/>
      <c r="K2" s="410" t="s">
        <v>228</v>
      </c>
      <c r="L2" s="411"/>
      <c r="M2" s="412"/>
      <c r="N2" s="341" t="s">
        <v>235</v>
      </c>
      <c r="O2" s="342"/>
      <c r="P2" s="343"/>
      <c r="R2" s="289" t="s">
        <v>0</v>
      </c>
      <c r="S2" s="368" t="s">
        <v>58</v>
      </c>
      <c r="T2" s="369"/>
      <c r="U2" s="369"/>
      <c r="V2" s="369"/>
      <c r="W2" s="369"/>
      <c r="X2" s="369"/>
      <c r="Y2" s="369"/>
      <c r="Z2" s="369"/>
      <c r="AA2" s="369"/>
      <c r="AB2" s="369"/>
      <c r="AC2" s="369"/>
      <c r="AD2" s="369"/>
      <c r="AE2" s="369"/>
      <c r="AF2" s="369"/>
      <c r="AG2" s="369"/>
      <c r="AH2" s="369"/>
      <c r="AI2" s="369"/>
      <c r="AJ2" s="370"/>
    </row>
    <row r="3" spans="1:36" ht="16.8" customHeight="1" thickBot="1" x14ac:dyDescent="0.35">
      <c r="A3" s="290"/>
      <c r="B3" s="78" t="s">
        <v>230</v>
      </c>
      <c r="C3" s="79" t="s">
        <v>231</v>
      </c>
      <c r="D3" s="80" t="s">
        <v>28</v>
      </c>
      <c r="E3" s="78" t="s">
        <v>230</v>
      </c>
      <c r="F3" s="79" t="s">
        <v>231</v>
      </c>
      <c r="G3" s="80" t="s">
        <v>28</v>
      </c>
      <c r="H3" s="78" t="s">
        <v>230</v>
      </c>
      <c r="I3" s="79" t="s">
        <v>231</v>
      </c>
      <c r="J3" s="80" t="s">
        <v>28</v>
      </c>
      <c r="K3" s="78" t="s">
        <v>230</v>
      </c>
      <c r="L3" s="79" t="s">
        <v>231</v>
      </c>
      <c r="M3" s="80" t="s">
        <v>28</v>
      </c>
      <c r="N3" s="78" t="s">
        <v>18</v>
      </c>
      <c r="O3" s="79" t="s">
        <v>19</v>
      </c>
      <c r="P3" s="80" t="s">
        <v>20</v>
      </c>
      <c r="R3" s="344"/>
      <c r="S3" s="419" t="s">
        <v>236</v>
      </c>
      <c r="T3" s="420"/>
      <c r="U3" s="421"/>
      <c r="V3" s="419" t="s">
        <v>237</v>
      </c>
      <c r="W3" s="420"/>
      <c r="X3" s="421"/>
      <c r="Y3" s="419" t="s">
        <v>242</v>
      </c>
      <c r="Z3" s="420"/>
      <c r="AA3" s="421"/>
      <c r="AB3" s="419" t="s">
        <v>243</v>
      </c>
      <c r="AC3" s="420"/>
      <c r="AD3" s="421"/>
      <c r="AE3" s="419" t="s">
        <v>244</v>
      </c>
      <c r="AF3" s="420"/>
      <c r="AG3" s="421"/>
      <c r="AH3" s="419" t="s">
        <v>245</v>
      </c>
      <c r="AI3" s="420"/>
      <c r="AJ3" s="421"/>
    </row>
    <row r="4" spans="1:36" ht="15" customHeight="1" thickBot="1" x14ac:dyDescent="0.35">
      <c r="A4" s="41">
        <v>2015</v>
      </c>
      <c r="B4" s="122">
        <v>2255.7050999999997</v>
      </c>
      <c r="C4" s="125">
        <v>2255.7050999999997</v>
      </c>
      <c r="D4" s="125">
        <v>2255.7050999999997</v>
      </c>
      <c r="E4" s="122">
        <v>2070.4166999999998</v>
      </c>
      <c r="F4" s="125">
        <v>2070.4166999999998</v>
      </c>
      <c r="G4" s="126">
        <v>2070.4166999999998</v>
      </c>
      <c r="H4" s="122">
        <v>8338.0671000000002</v>
      </c>
      <c r="I4" s="125">
        <v>8338.0671000000002</v>
      </c>
      <c r="J4" s="126">
        <v>8338.0671000000002</v>
      </c>
      <c r="K4" s="125">
        <v>2561.8427999999999</v>
      </c>
      <c r="L4" s="125">
        <v>2561.8427999999999</v>
      </c>
      <c r="M4" s="126">
        <v>2561.8427999999999</v>
      </c>
      <c r="N4" s="125">
        <v>701.73311999999999</v>
      </c>
      <c r="O4" s="125">
        <v>883.13411999999994</v>
      </c>
      <c r="P4" s="126">
        <v>1064.53512</v>
      </c>
      <c r="R4" s="290"/>
      <c r="S4" s="78" t="s">
        <v>18</v>
      </c>
      <c r="T4" s="79" t="s">
        <v>19</v>
      </c>
      <c r="U4" s="80" t="s">
        <v>22</v>
      </c>
      <c r="V4" s="78" t="s">
        <v>18</v>
      </c>
      <c r="W4" s="79" t="s">
        <v>19</v>
      </c>
      <c r="X4" s="80" t="s">
        <v>22</v>
      </c>
      <c r="Y4" s="78" t="s">
        <v>18</v>
      </c>
      <c r="Z4" s="79" t="s">
        <v>19</v>
      </c>
      <c r="AA4" s="80" t="s">
        <v>22</v>
      </c>
      <c r="AB4" s="78" t="s">
        <v>18</v>
      </c>
      <c r="AC4" s="79" t="s">
        <v>19</v>
      </c>
      <c r="AD4" s="80" t="s">
        <v>22</v>
      </c>
      <c r="AE4" s="78" t="s">
        <v>18</v>
      </c>
      <c r="AF4" s="79" t="s">
        <v>19</v>
      </c>
      <c r="AG4" s="80" t="s">
        <v>22</v>
      </c>
      <c r="AH4" s="78" t="s">
        <v>18</v>
      </c>
      <c r="AI4" s="79" t="s">
        <v>19</v>
      </c>
      <c r="AJ4" s="80" t="s">
        <v>22</v>
      </c>
    </row>
    <row r="5" spans="1:36" x14ac:dyDescent="0.3">
      <c r="A5" s="41">
        <v>2020</v>
      </c>
      <c r="B5" s="123">
        <v>1715.9472000000001</v>
      </c>
      <c r="C5" s="127">
        <v>1933.4601</v>
      </c>
      <c r="D5" s="127">
        <v>1824.7036499999999</v>
      </c>
      <c r="E5" s="123">
        <v>1683.7227</v>
      </c>
      <c r="F5" s="127">
        <v>1820.6793</v>
      </c>
      <c r="G5" s="128">
        <v>1752.201</v>
      </c>
      <c r="H5" s="123">
        <v>7065.2042999999994</v>
      </c>
      <c r="I5" s="127">
        <v>7089.3701999999994</v>
      </c>
      <c r="J5" s="128">
        <v>7077.2872499999994</v>
      </c>
      <c r="K5" s="127">
        <v>2312.1053999999999</v>
      </c>
      <c r="L5" s="127">
        <v>2529.6183000000001</v>
      </c>
      <c r="M5" s="128">
        <v>2420.8618500000002</v>
      </c>
      <c r="N5" s="127">
        <v>343.70688000000001</v>
      </c>
      <c r="O5" s="127">
        <v>587.16503999999998</v>
      </c>
      <c r="P5" s="128">
        <v>830.6232</v>
      </c>
      <c r="R5" s="52">
        <v>2015</v>
      </c>
      <c r="S5" s="125">
        <v>127.02500000000001</v>
      </c>
      <c r="T5" s="125">
        <v>148.881</v>
      </c>
      <c r="U5" s="126">
        <v>170.73699999999999</v>
      </c>
      <c r="V5" s="122">
        <v>119.25700000000001</v>
      </c>
      <c r="W5" s="125">
        <v>140.35149999999999</v>
      </c>
      <c r="X5" s="126">
        <v>161.446</v>
      </c>
      <c r="Y5" s="122">
        <v>119.714</v>
      </c>
      <c r="Z5" s="125">
        <v>138.21949999999998</v>
      </c>
      <c r="AA5" s="126">
        <v>156.72499999999999</v>
      </c>
      <c r="AB5" s="122">
        <v>116.66800000000001</v>
      </c>
      <c r="AC5" s="125">
        <v>132.8125</v>
      </c>
      <c r="AD5" s="126">
        <v>148.95699999999999</v>
      </c>
      <c r="AE5" s="122">
        <v>133.422</v>
      </c>
      <c r="AF5" s="125">
        <v>145.7585</v>
      </c>
      <c r="AG5" s="126">
        <v>158.095</v>
      </c>
      <c r="AH5" s="122">
        <v>128.548</v>
      </c>
      <c r="AI5" s="125">
        <v>140.88499999999999</v>
      </c>
      <c r="AJ5" s="126">
        <v>153.22200000000001</v>
      </c>
    </row>
    <row r="6" spans="1:36" ht="15.6" x14ac:dyDescent="0.3">
      <c r="A6" s="41">
        <v>2025</v>
      </c>
      <c r="B6" s="123">
        <v>1176.1893</v>
      </c>
      <c r="C6" s="127">
        <v>1715.9472000000001</v>
      </c>
      <c r="D6" s="127">
        <v>1446.06825</v>
      </c>
      <c r="E6" s="123">
        <v>1321.2045000000001</v>
      </c>
      <c r="F6" s="127">
        <v>1667.6153999999999</v>
      </c>
      <c r="G6" s="128">
        <v>1494.4099500000002</v>
      </c>
      <c r="H6" s="123">
        <v>5131.7343000000001</v>
      </c>
      <c r="I6" s="127">
        <v>4132.7748000000001</v>
      </c>
      <c r="J6" s="128">
        <v>4632.2545499999997</v>
      </c>
      <c r="K6" s="127">
        <v>2022.0849000000001</v>
      </c>
      <c r="L6" s="127">
        <v>2046.2508</v>
      </c>
      <c r="M6" s="128">
        <v>2034.16785</v>
      </c>
      <c r="N6" s="127">
        <v>286.42151999999999</v>
      </c>
      <c r="O6" s="127">
        <v>367.57446000000004</v>
      </c>
      <c r="P6" s="128">
        <v>448.72739999999999</v>
      </c>
      <c r="R6" s="24" t="s">
        <v>246</v>
      </c>
      <c r="S6" s="127">
        <v>68.538499999999999</v>
      </c>
      <c r="T6" s="127">
        <v>79.697149999999993</v>
      </c>
      <c r="U6" s="128">
        <v>90.855800000000002</v>
      </c>
      <c r="V6" s="123">
        <v>63.461500000000001</v>
      </c>
      <c r="W6" s="127">
        <v>74.35575</v>
      </c>
      <c r="X6" s="128">
        <v>85.25</v>
      </c>
      <c r="Y6" s="123">
        <v>65.788499999999999</v>
      </c>
      <c r="Z6" s="127">
        <v>75.149050000000003</v>
      </c>
      <c r="AA6" s="128">
        <v>84.509600000000006</v>
      </c>
      <c r="AB6" s="123">
        <v>63.25</v>
      </c>
      <c r="AC6" s="127">
        <v>71.5</v>
      </c>
      <c r="AD6" s="128">
        <v>79.75</v>
      </c>
      <c r="AE6" s="123">
        <v>74.25</v>
      </c>
      <c r="AF6" s="127">
        <v>79.538449999999997</v>
      </c>
      <c r="AG6" s="128">
        <v>84.826899999999995</v>
      </c>
      <c r="AH6" s="123">
        <v>68.855800000000002</v>
      </c>
      <c r="AI6" s="127">
        <v>75.149050000000003</v>
      </c>
      <c r="AJ6" s="128">
        <v>81.442300000000003</v>
      </c>
    </row>
    <row r="7" spans="1:36" ht="15.6" x14ac:dyDescent="0.3">
      <c r="A7" s="41">
        <v>2030</v>
      </c>
      <c r="B7" s="123">
        <v>1095.633</v>
      </c>
      <c r="C7" s="127">
        <v>1127.8575000000001</v>
      </c>
      <c r="D7" s="127">
        <v>1111.7452499999999</v>
      </c>
      <c r="E7" s="123">
        <v>1208.4137999999998</v>
      </c>
      <c r="F7" s="127">
        <v>1232.5797</v>
      </c>
      <c r="G7" s="128">
        <v>1220.4967499999998</v>
      </c>
      <c r="H7" s="123">
        <v>3834.7056000000002</v>
      </c>
      <c r="I7" s="127">
        <v>3826.6469999999999</v>
      </c>
      <c r="J7" s="128">
        <v>3830.6763000000001</v>
      </c>
      <c r="K7" s="127">
        <v>2005.9676999999999</v>
      </c>
      <c r="L7" s="127">
        <v>1933.4601</v>
      </c>
      <c r="M7" s="128">
        <v>1969.7139000000002</v>
      </c>
      <c r="N7" s="127">
        <v>276.87396000000001</v>
      </c>
      <c r="O7" s="127">
        <v>400.99025999999998</v>
      </c>
      <c r="P7" s="128">
        <v>525.10656000000006</v>
      </c>
      <c r="R7" s="24" t="s">
        <v>247</v>
      </c>
      <c r="S7" s="127">
        <v>70.759600000000006</v>
      </c>
      <c r="T7" s="127">
        <v>81.91825</v>
      </c>
      <c r="U7" s="128">
        <v>93.076899999999995</v>
      </c>
      <c r="V7" s="123">
        <v>65.153800000000004</v>
      </c>
      <c r="W7" s="127">
        <v>76.153800000000004</v>
      </c>
      <c r="X7" s="128">
        <v>87.153800000000004</v>
      </c>
      <c r="Y7" s="123">
        <v>67.163499999999999</v>
      </c>
      <c r="Z7" s="127">
        <v>76.524050000000003</v>
      </c>
      <c r="AA7" s="128">
        <v>85.884600000000006</v>
      </c>
      <c r="AB7" s="123">
        <v>64.730800000000002</v>
      </c>
      <c r="AC7" s="127">
        <v>73.139450000000011</v>
      </c>
      <c r="AD7" s="128">
        <v>81.548100000000005</v>
      </c>
      <c r="AE7" s="123">
        <v>74.355800000000002</v>
      </c>
      <c r="AF7" s="127">
        <v>80.490399999999994</v>
      </c>
      <c r="AG7" s="128">
        <v>86.625</v>
      </c>
      <c r="AH7" s="123">
        <v>70.759600000000006</v>
      </c>
      <c r="AI7" s="127">
        <v>76.682700000000011</v>
      </c>
      <c r="AJ7" s="128">
        <v>82.605800000000002</v>
      </c>
    </row>
    <row r="8" spans="1:36" ht="16.2" thickBot="1" x14ac:dyDescent="0.35">
      <c r="A8" s="41">
        <v>2035</v>
      </c>
      <c r="B8" s="123">
        <v>853.94628</v>
      </c>
      <c r="C8" s="127">
        <v>773.38601999999992</v>
      </c>
      <c r="D8" s="127">
        <v>813.66615000000002</v>
      </c>
      <c r="E8" s="123">
        <v>1031.184</v>
      </c>
      <c r="F8" s="127">
        <v>982.84428000000003</v>
      </c>
      <c r="G8" s="128">
        <v>1007.0141399999999</v>
      </c>
      <c r="H8" s="123">
        <v>3778.3152</v>
      </c>
      <c r="I8" s="127">
        <v>3794.4225000000001</v>
      </c>
      <c r="J8" s="128">
        <v>3786.3688499999998</v>
      </c>
      <c r="K8" s="127">
        <v>1981.8018</v>
      </c>
      <c r="L8" s="127">
        <v>1925.4114</v>
      </c>
      <c r="M8" s="128">
        <v>1953.6065999999998</v>
      </c>
      <c r="N8" s="127"/>
      <c r="O8" s="127"/>
      <c r="P8" s="128"/>
      <c r="R8" s="25" t="s">
        <v>248</v>
      </c>
      <c r="S8" s="129">
        <v>70.971199999999996</v>
      </c>
      <c r="T8" s="129">
        <v>82.764449999999997</v>
      </c>
      <c r="U8" s="130">
        <v>94.557699999999997</v>
      </c>
      <c r="V8" s="124">
        <v>65.471199999999996</v>
      </c>
      <c r="W8" s="129">
        <v>77.052899999999994</v>
      </c>
      <c r="X8" s="130">
        <v>88.634600000000006</v>
      </c>
      <c r="Y8" s="124">
        <v>68.009600000000006</v>
      </c>
      <c r="Z8" s="129">
        <v>78.110550000000003</v>
      </c>
      <c r="AA8" s="130">
        <v>88.211500000000001</v>
      </c>
      <c r="AB8" s="124">
        <v>65.259600000000006</v>
      </c>
      <c r="AC8" s="129">
        <v>74.144200000000012</v>
      </c>
      <c r="AD8" s="130">
        <v>83.028800000000004</v>
      </c>
      <c r="AE8" s="124">
        <v>74.673100000000005</v>
      </c>
      <c r="AF8" s="129">
        <v>81.600950000000012</v>
      </c>
      <c r="AG8" s="130">
        <v>88.528800000000004</v>
      </c>
      <c r="AH8" s="124">
        <v>71.5</v>
      </c>
      <c r="AI8" s="129">
        <v>77.899050000000003</v>
      </c>
      <c r="AJ8" s="130">
        <v>84.298100000000005</v>
      </c>
    </row>
    <row r="9" spans="1:36" ht="18.600000000000001" thickBot="1" x14ac:dyDescent="0.35">
      <c r="A9" s="41">
        <v>2040</v>
      </c>
      <c r="B9" s="123">
        <v>668.65589999999997</v>
      </c>
      <c r="C9" s="127">
        <v>716.99265000000003</v>
      </c>
      <c r="D9" s="127">
        <v>692.82427499999994</v>
      </c>
      <c r="E9" s="123">
        <v>918.39528000000007</v>
      </c>
      <c r="F9" s="127">
        <v>942.56415000000004</v>
      </c>
      <c r="G9" s="128">
        <v>930.47971500000006</v>
      </c>
      <c r="H9" s="123">
        <v>3754.1394</v>
      </c>
      <c r="I9" s="127">
        <v>3770.2566000000002</v>
      </c>
      <c r="J9" s="128">
        <v>3762.1979999999999</v>
      </c>
      <c r="K9" s="127">
        <v>1997.9090999999999</v>
      </c>
      <c r="L9" s="127">
        <v>1860.9623999999999</v>
      </c>
      <c r="M9" s="128">
        <v>1929.4357499999999</v>
      </c>
      <c r="N9" s="127"/>
      <c r="O9" s="127"/>
      <c r="P9" s="128"/>
      <c r="R9" s="289" t="s">
        <v>0</v>
      </c>
      <c r="S9" s="404" t="s">
        <v>155</v>
      </c>
      <c r="T9" s="405"/>
      <c r="U9" s="405"/>
      <c r="V9" s="405"/>
      <c r="W9" s="405"/>
      <c r="X9" s="406"/>
      <c r="Y9" s="413" t="s">
        <v>120</v>
      </c>
      <c r="Z9" s="414"/>
      <c r="AA9" s="415"/>
      <c r="AB9" s="411" t="s">
        <v>228</v>
      </c>
      <c r="AC9" s="411"/>
      <c r="AD9" s="411"/>
      <c r="AE9" s="411"/>
      <c r="AF9" s="411"/>
      <c r="AG9" s="412"/>
    </row>
    <row r="10" spans="1:36" ht="15" thickBot="1" x14ac:dyDescent="0.35">
      <c r="A10" s="41">
        <v>2045</v>
      </c>
      <c r="B10" s="123">
        <v>660.60027000000002</v>
      </c>
      <c r="C10" s="127">
        <v>716.99265000000003</v>
      </c>
      <c r="D10" s="127">
        <v>688.79646000000002</v>
      </c>
      <c r="E10" s="123">
        <v>894.22739999999999</v>
      </c>
      <c r="F10" s="127">
        <v>926.45189999999991</v>
      </c>
      <c r="G10" s="128">
        <v>910.33965000000001</v>
      </c>
      <c r="H10" s="123">
        <v>3738.0320999999999</v>
      </c>
      <c r="I10" s="127">
        <v>3738.0320999999999</v>
      </c>
      <c r="J10" s="128">
        <v>3738.0320999999999</v>
      </c>
      <c r="K10" s="127">
        <v>1981.8018</v>
      </c>
      <c r="L10" s="127">
        <v>1820.6793</v>
      </c>
      <c r="M10" s="128">
        <v>1901.24055</v>
      </c>
      <c r="N10" s="127"/>
      <c r="O10" s="127"/>
      <c r="P10" s="128"/>
      <c r="R10" s="344"/>
      <c r="S10" s="419" t="s">
        <v>238</v>
      </c>
      <c r="T10" s="420"/>
      <c r="U10" s="421"/>
      <c r="V10" s="419" t="s">
        <v>239</v>
      </c>
      <c r="W10" s="420"/>
      <c r="X10" s="421"/>
      <c r="Y10" s="416"/>
      <c r="Z10" s="417"/>
      <c r="AA10" s="418"/>
      <c r="AB10" s="419" t="s">
        <v>240</v>
      </c>
      <c r="AC10" s="420"/>
      <c r="AD10" s="421"/>
      <c r="AE10" s="419" t="s">
        <v>241</v>
      </c>
      <c r="AF10" s="420"/>
      <c r="AG10" s="421"/>
    </row>
    <row r="11" spans="1:36" ht="15" thickBot="1" x14ac:dyDescent="0.35">
      <c r="A11" s="42">
        <v>2050</v>
      </c>
      <c r="B11" s="124">
        <v>636.43238999999994</v>
      </c>
      <c r="C11" s="129">
        <v>700.88040000000001</v>
      </c>
      <c r="D11" s="129">
        <v>668.65639499999997</v>
      </c>
      <c r="E11" s="124">
        <v>853.94628</v>
      </c>
      <c r="F11" s="129">
        <v>910.33965000000001</v>
      </c>
      <c r="G11" s="130">
        <v>882.142965</v>
      </c>
      <c r="H11" s="124">
        <v>3738.0320999999999</v>
      </c>
      <c r="I11" s="129">
        <v>3738.0320999999999</v>
      </c>
      <c r="J11" s="130">
        <v>3738.0320999999999</v>
      </c>
      <c r="K11" s="129">
        <v>1869.0111000000002</v>
      </c>
      <c r="L11" s="129">
        <v>1788.4548</v>
      </c>
      <c r="M11" s="130">
        <v>1828.7329499999998</v>
      </c>
      <c r="N11" s="129"/>
      <c r="O11" s="129"/>
      <c r="P11" s="130"/>
      <c r="R11" s="290"/>
      <c r="S11" s="78" t="s">
        <v>18</v>
      </c>
      <c r="T11" s="79" t="s">
        <v>19</v>
      </c>
      <c r="U11" s="80" t="s">
        <v>20</v>
      </c>
      <c r="V11" s="78" t="s">
        <v>18</v>
      </c>
      <c r="W11" s="79" t="s">
        <v>19</v>
      </c>
      <c r="X11" s="80" t="s">
        <v>20</v>
      </c>
      <c r="Y11" s="78" t="s">
        <v>18</v>
      </c>
      <c r="Z11" s="79" t="s">
        <v>19</v>
      </c>
      <c r="AA11" s="80" t="s">
        <v>22</v>
      </c>
      <c r="AB11" s="78" t="s">
        <v>18</v>
      </c>
      <c r="AC11" s="79" t="s">
        <v>19</v>
      </c>
      <c r="AD11" s="80" t="s">
        <v>22</v>
      </c>
      <c r="AE11" s="78" t="s">
        <v>18</v>
      </c>
      <c r="AF11" s="79" t="s">
        <v>19</v>
      </c>
      <c r="AG11" s="80" t="s">
        <v>22</v>
      </c>
    </row>
    <row r="12" spans="1:36" ht="16.2" x14ac:dyDescent="0.3">
      <c r="A12" s="93" t="s">
        <v>233</v>
      </c>
      <c r="R12" s="52">
        <v>2015</v>
      </c>
      <c r="S12" s="122">
        <v>125.654</v>
      </c>
      <c r="T12" s="125">
        <v>160.38</v>
      </c>
      <c r="U12" s="126">
        <v>195.10599999999999</v>
      </c>
      <c r="V12" s="122">
        <v>120.78</v>
      </c>
      <c r="W12" s="125">
        <v>134.86849999999998</v>
      </c>
      <c r="X12" s="126">
        <v>148.95699999999999</v>
      </c>
      <c r="Y12" s="122">
        <v>168.3</v>
      </c>
      <c r="Z12" s="125">
        <v>243.61600000000001</v>
      </c>
      <c r="AA12" s="126">
        <v>318.93200000000002</v>
      </c>
      <c r="AB12" s="125">
        <v>85.596900000000005</v>
      </c>
      <c r="AC12" s="125">
        <v>103.64545000000001</v>
      </c>
      <c r="AD12" s="126">
        <v>121.694</v>
      </c>
      <c r="AE12" s="125">
        <v>83.921499999999995</v>
      </c>
      <c r="AF12" s="125">
        <v>101.74175</v>
      </c>
      <c r="AG12" s="126">
        <v>119.562</v>
      </c>
    </row>
    <row r="13" spans="1:36" ht="16.2" x14ac:dyDescent="0.3">
      <c r="A13" s="93" t="s">
        <v>234</v>
      </c>
      <c r="R13" s="24" t="s">
        <v>246</v>
      </c>
      <c r="S13" s="123">
        <v>68.538499999999999</v>
      </c>
      <c r="T13" s="127">
        <v>84.033649999999994</v>
      </c>
      <c r="U13" s="128">
        <v>99.528800000000004</v>
      </c>
      <c r="V13" s="123">
        <v>66.951899999999995</v>
      </c>
      <c r="W13" s="127">
        <v>74.567299999999989</v>
      </c>
      <c r="X13" s="128">
        <v>82.182699999999997</v>
      </c>
      <c r="Y13" s="123">
        <v>81.125</v>
      </c>
      <c r="Z13" s="127">
        <v>111.2165</v>
      </c>
      <c r="AA13" s="128">
        <v>141.30799999999999</v>
      </c>
      <c r="AB13" s="127">
        <v>60.394199999999998</v>
      </c>
      <c r="AC13" s="127">
        <v>71.182699999999997</v>
      </c>
      <c r="AD13" s="128">
        <v>81.971199999999996</v>
      </c>
      <c r="AE13" s="127">
        <v>59.019199999999998</v>
      </c>
      <c r="AF13" s="127">
        <v>70.072100000000006</v>
      </c>
      <c r="AG13" s="128">
        <v>81.125</v>
      </c>
    </row>
    <row r="14" spans="1:36" ht="16.2" x14ac:dyDescent="0.3">
      <c r="A14" s="93" t="s">
        <v>232</v>
      </c>
      <c r="R14" s="24" t="s">
        <v>247</v>
      </c>
      <c r="S14" s="123">
        <v>70.230800000000002</v>
      </c>
      <c r="T14" s="127">
        <v>85.672899999999998</v>
      </c>
      <c r="U14" s="128">
        <v>101.11499999999999</v>
      </c>
      <c r="V14" s="123">
        <v>68.221199999999996</v>
      </c>
      <c r="W14" s="127">
        <v>75.783699999999996</v>
      </c>
      <c r="X14" s="128">
        <v>83.346199999999996</v>
      </c>
      <c r="Y14" s="123">
        <v>80.384600000000006</v>
      </c>
      <c r="Z14" s="127">
        <v>111.16330000000001</v>
      </c>
      <c r="AA14" s="128">
        <v>141.94200000000001</v>
      </c>
      <c r="AB14" s="127">
        <v>59.653799999999997</v>
      </c>
      <c r="AC14" s="127">
        <v>70.442300000000003</v>
      </c>
      <c r="AD14" s="128">
        <v>81.230800000000002</v>
      </c>
      <c r="AE14" s="127">
        <v>57.961500000000001</v>
      </c>
      <c r="AF14" s="127">
        <v>68.644199999999998</v>
      </c>
      <c r="AG14" s="128">
        <v>79.326899999999995</v>
      </c>
    </row>
    <row r="15" spans="1:36" ht="16.2" thickBot="1" x14ac:dyDescent="0.35">
      <c r="R15" s="25" t="s">
        <v>248</v>
      </c>
      <c r="S15" s="124">
        <v>70.865399999999994</v>
      </c>
      <c r="T15" s="129">
        <v>86.783699999999996</v>
      </c>
      <c r="U15" s="130">
        <v>102.702</v>
      </c>
      <c r="V15" s="124">
        <v>69.278800000000004</v>
      </c>
      <c r="W15" s="129">
        <v>77</v>
      </c>
      <c r="X15" s="130">
        <v>84.721199999999996</v>
      </c>
      <c r="Y15" s="124">
        <v>127.24</v>
      </c>
      <c r="Z15" s="129">
        <v>179.649</v>
      </c>
      <c r="AA15" s="130">
        <v>232.05799999999999</v>
      </c>
      <c r="AB15" s="129">
        <v>61.346200000000003</v>
      </c>
      <c r="AC15" s="129">
        <v>73.192350000000005</v>
      </c>
      <c r="AD15" s="130">
        <v>85.038499999999999</v>
      </c>
      <c r="AE15" s="129">
        <v>60.288499999999999</v>
      </c>
      <c r="AF15" s="129">
        <v>71.605800000000002</v>
      </c>
      <c r="AG15" s="130">
        <v>82.923100000000005</v>
      </c>
    </row>
    <row r="16" spans="1:36" ht="16.2" x14ac:dyDescent="0.3">
      <c r="R16" s="93" t="s">
        <v>233</v>
      </c>
    </row>
    <row r="17" spans="1:18" ht="16.2" x14ac:dyDescent="0.3">
      <c r="R17" s="93" t="s">
        <v>234</v>
      </c>
    </row>
    <row r="18" spans="1:18" ht="16.2" x14ac:dyDescent="0.3">
      <c r="R18" s="93" t="s">
        <v>249</v>
      </c>
    </row>
    <row r="19" spans="1:18" ht="15" thickBot="1" x14ac:dyDescent="0.35"/>
    <row r="20" spans="1:18" ht="18.600000000000001" thickBot="1" x14ac:dyDescent="0.4">
      <c r="A20" s="289" t="s">
        <v>0</v>
      </c>
      <c r="B20" s="380" t="s">
        <v>385</v>
      </c>
      <c r="C20" s="381"/>
      <c r="D20" s="381"/>
      <c r="E20" s="381"/>
      <c r="F20" s="381"/>
      <c r="G20" s="381"/>
      <c r="H20" s="381"/>
      <c r="I20" s="381"/>
      <c r="J20" s="381"/>
      <c r="K20" s="381"/>
      <c r="L20" s="381"/>
      <c r="M20" s="381"/>
      <c r="N20" s="382"/>
    </row>
    <row r="21" spans="1:18" ht="20.399999999999999" thickBot="1" x14ac:dyDescent="0.35">
      <c r="A21" s="344"/>
      <c r="B21" s="368" t="s">
        <v>58</v>
      </c>
      <c r="C21" s="369"/>
      <c r="D21" s="370"/>
      <c r="E21" s="404" t="s">
        <v>155</v>
      </c>
      <c r="F21" s="405"/>
      <c r="G21" s="406"/>
      <c r="H21" s="446" t="s">
        <v>120</v>
      </c>
      <c r="I21" s="447"/>
      <c r="J21" s="448"/>
      <c r="K21" s="410" t="s">
        <v>228</v>
      </c>
      <c r="L21" s="411"/>
      <c r="M21" s="412"/>
      <c r="N21" s="244" t="s">
        <v>235</v>
      </c>
    </row>
    <row r="22" spans="1:18" ht="16.8" thickBot="1" x14ac:dyDescent="0.35">
      <c r="A22" s="290"/>
      <c r="B22" s="78" t="s">
        <v>252</v>
      </c>
      <c r="C22" s="79" t="s">
        <v>253</v>
      </c>
      <c r="D22" s="80" t="s">
        <v>28</v>
      </c>
      <c r="E22" s="78" t="s">
        <v>252</v>
      </c>
      <c r="F22" s="79" t="s">
        <v>253</v>
      </c>
      <c r="G22" s="80" t="s">
        <v>28</v>
      </c>
      <c r="H22" s="78" t="s">
        <v>252</v>
      </c>
      <c r="I22" s="79" t="s">
        <v>253</v>
      </c>
      <c r="J22" s="80" t="s">
        <v>28</v>
      </c>
      <c r="K22" s="78" t="s">
        <v>252</v>
      </c>
      <c r="L22" s="79" t="s">
        <v>253</v>
      </c>
      <c r="M22" s="80" t="s">
        <v>28</v>
      </c>
      <c r="N22" s="32" t="s">
        <v>19</v>
      </c>
    </row>
    <row r="23" spans="1:18" x14ac:dyDescent="0.3">
      <c r="A23" s="41">
        <v>2017</v>
      </c>
      <c r="B23" s="122">
        <v>2006.03</v>
      </c>
      <c r="C23" s="125">
        <v>2016.29</v>
      </c>
      <c r="D23" s="125">
        <v>2011.1599999999999</v>
      </c>
      <c r="E23" s="122">
        <v>1530.06</v>
      </c>
      <c r="F23" s="125">
        <v>1531.99</v>
      </c>
      <c r="G23" s="126">
        <v>1531.0250000000001</v>
      </c>
      <c r="H23" s="122">
        <v>4630.01</v>
      </c>
      <c r="I23" s="125">
        <v>4636.99</v>
      </c>
      <c r="J23" s="126">
        <v>4633.5</v>
      </c>
      <c r="K23" s="125">
        <v>1875.71</v>
      </c>
      <c r="L23" s="125">
        <v>1875.71</v>
      </c>
      <c r="M23" s="126">
        <v>1875.71</v>
      </c>
      <c r="N23" s="131">
        <v>299.93200000000002</v>
      </c>
    </row>
    <row r="24" spans="1:18" x14ac:dyDescent="0.3">
      <c r="A24" s="41">
        <v>2018</v>
      </c>
      <c r="B24" s="123">
        <v>1865.76</v>
      </c>
      <c r="C24" s="127">
        <v>1875.44</v>
      </c>
      <c r="D24" s="127">
        <v>1870.6</v>
      </c>
      <c r="E24" s="123">
        <v>1418.15</v>
      </c>
      <c r="F24" s="127">
        <v>1427.8</v>
      </c>
      <c r="G24" s="128">
        <v>1422.9749999999999</v>
      </c>
      <c r="H24" s="123">
        <v>4246.5</v>
      </c>
      <c r="I24" s="127">
        <v>4253.4799999999996</v>
      </c>
      <c r="J24" s="128">
        <v>4249.99</v>
      </c>
      <c r="K24" s="127">
        <v>1872.23</v>
      </c>
      <c r="L24" s="127">
        <v>1865.25</v>
      </c>
      <c r="M24" s="128">
        <v>1868.74</v>
      </c>
      <c r="N24" s="132">
        <v>267.92899999999997</v>
      </c>
    </row>
    <row r="25" spans="1:18" x14ac:dyDescent="0.3">
      <c r="A25" s="41">
        <v>2019</v>
      </c>
      <c r="B25" s="123">
        <v>1656.32</v>
      </c>
      <c r="C25" s="127">
        <v>1678.63</v>
      </c>
      <c r="D25" s="127">
        <v>1667.4749999999999</v>
      </c>
      <c r="E25" s="123">
        <v>1263.8</v>
      </c>
      <c r="F25" s="127">
        <v>1277.3</v>
      </c>
      <c r="G25" s="128">
        <v>1270.55</v>
      </c>
      <c r="H25" s="123">
        <v>3549.21</v>
      </c>
      <c r="I25" s="127">
        <v>3521.32</v>
      </c>
      <c r="J25" s="128">
        <v>3535.2650000000003</v>
      </c>
      <c r="K25" s="127">
        <v>1865.25</v>
      </c>
      <c r="L25" s="127">
        <v>1861.77</v>
      </c>
      <c r="M25" s="128">
        <v>1863.51</v>
      </c>
      <c r="N25" s="132">
        <v>183.04300000000001</v>
      </c>
    </row>
    <row r="26" spans="1:18" x14ac:dyDescent="0.3">
      <c r="A26" s="41">
        <v>2020</v>
      </c>
      <c r="B26" s="123">
        <v>1552.56</v>
      </c>
      <c r="C26" s="127">
        <v>1489.54</v>
      </c>
      <c r="D26" s="127">
        <v>1521.05</v>
      </c>
      <c r="E26" s="123">
        <v>1188.55</v>
      </c>
      <c r="F26" s="127">
        <v>1148.03</v>
      </c>
      <c r="G26" s="128">
        <v>1168.29</v>
      </c>
      <c r="H26" s="123">
        <v>3172.67</v>
      </c>
      <c r="I26" s="127">
        <v>3172.67</v>
      </c>
      <c r="J26" s="128">
        <v>3172.67</v>
      </c>
      <c r="K26" s="127">
        <v>1861.77</v>
      </c>
      <c r="L26" s="127">
        <v>1854.79</v>
      </c>
      <c r="M26" s="128">
        <v>1858.28</v>
      </c>
      <c r="N26" s="132">
        <v>134.452</v>
      </c>
    </row>
    <row r="27" spans="1:18" x14ac:dyDescent="0.3">
      <c r="A27" s="41">
        <v>2021</v>
      </c>
      <c r="B27" s="123">
        <v>1425.74</v>
      </c>
      <c r="C27" s="127">
        <v>1423.94</v>
      </c>
      <c r="D27" s="127">
        <v>1424.8400000000001</v>
      </c>
      <c r="E27" s="123">
        <v>1095.93</v>
      </c>
      <c r="F27" s="127">
        <v>1090.1500000000001</v>
      </c>
      <c r="G27" s="128">
        <v>1093.04</v>
      </c>
      <c r="H27" s="123">
        <v>3172.67</v>
      </c>
      <c r="I27" s="127">
        <v>3172.67</v>
      </c>
      <c r="J27" s="128">
        <v>3172.67</v>
      </c>
      <c r="K27" s="127">
        <v>1847.82</v>
      </c>
      <c r="L27" s="127">
        <v>1854.79</v>
      </c>
      <c r="M27" s="128">
        <v>1851.3049999999998</v>
      </c>
      <c r="N27" s="132">
        <v>121.57299999999999</v>
      </c>
    </row>
    <row r="28" spans="1:18" x14ac:dyDescent="0.3">
      <c r="A28" s="41">
        <v>2022</v>
      </c>
      <c r="B28" s="123">
        <v>1356.57</v>
      </c>
      <c r="C28" s="127">
        <v>1366.06</v>
      </c>
      <c r="D28" s="127">
        <v>1361.3150000000001</v>
      </c>
      <c r="E28" s="123">
        <v>1045.77</v>
      </c>
      <c r="F28" s="127">
        <v>1045.77</v>
      </c>
      <c r="G28" s="128">
        <v>1045.77</v>
      </c>
      <c r="H28" s="123">
        <v>3172.67</v>
      </c>
      <c r="I28" s="127">
        <v>3172.67</v>
      </c>
      <c r="J28" s="128">
        <v>3172.67</v>
      </c>
      <c r="K28" s="127">
        <v>1844.33</v>
      </c>
      <c r="L28" s="127">
        <v>1851.31</v>
      </c>
      <c r="M28" s="128">
        <v>1847.82</v>
      </c>
      <c r="N28" s="132">
        <v>119.23099999999999</v>
      </c>
    </row>
    <row r="29" spans="1:18" x14ac:dyDescent="0.3">
      <c r="A29" s="41">
        <v>2023</v>
      </c>
      <c r="B29" s="123">
        <v>1300.8499999999999</v>
      </c>
      <c r="C29" s="127">
        <v>1317.82</v>
      </c>
      <c r="D29" s="127">
        <v>1309.335</v>
      </c>
      <c r="E29" s="123">
        <v>999.46100000000001</v>
      </c>
      <c r="F29" s="127">
        <v>1007.18</v>
      </c>
      <c r="G29" s="128">
        <v>1003.3205</v>
      </c>
      <c r="H29" s="123">
        <v>3172.67</v>
      </c>
      <c r="I29" s="127">
        <v>3172.67</v>
      </c>
      <c r="J29" s="128">
        <v>3172.67</v>
      </c>
      <c r="K29" s="127">
        <v>1837.36</v>
      </c>
      <c r="L29" s="127">
        <v>1844.33</v>
      </c>
      <c r="M29" s="128">
        <v>1840.8449999999998</v>
      </c>
      <c r="N29" s="132">
        <v>116.69499999999999</v>
      </c>
    </row>
    <row r="30" spans="1:18" x14ac:dyDescent="0.3">
      <c r="A30" s="41">
        <v>2024</v>
      </c>
      <c r="B30" s="123">
        <v>1256.6500000000001</v>
      </c>
      <c r="C30" s="127">
        <v>1263.8</v>
      </c>
      <c r="D30" s="127">
        <v>1260.2249999999999</v>
      </c>
      <c r="E30" s="123">
        <v>968.58900000000006</v>
      </c>
      <c r="F30" s="127">
        <v>968.58900000000006</v>
      </c>
      <c r="G30" s="128">
        <v>968.58900000000006</v>
      </c>
      <c r="H30" s="123">
        <v>3172.67</v>
      </c>
      <c r="I30" s="127">
        <v>3172.67</v>
      </c>
      <c r="J30" s="128">
        <v>3172.67</v>
      </c>
      <c r="K30" s="127">
        <v>1830.39</v>
      </c>
      <c r="L30" s="127">
        <v>1840.85</v>
      </c>
      <c r="M30" s="128">
        <v>1835.62</v>
      </c>
      <c r="N30" s="132">
        <v>114.74299999999999</v>
      </c>
    </row>
    <row r="31" spans="1:18" x14ac:dyDescent="0.3">
      <c r="A31" s="41">
        <v>2025</v>
      </c>
      <c r="B31" s="123">
        <v>1206.69</v>
      </c>
      <c r="C31" s="127">
        <v>1225.21</v>
      </c>
      <c r="D31" s="127">
        <v>1215.95</v>
      </c>
      <c r="E31" s="123">
        <v>935.78800000000001</v>
      </c>
      <c r="F31" s="127">
        <v>937.71799999999996</v>
      </c>
      <c r="G31" s="128">
        <v>936.75299999999993</v>
      </c>
      <c r="H31" s="123">
        <v>3172.67</v>
      </c>
      <c r="I31" s="127">
        <v>3172.67</v>
      </c>
      <c r="J31" s="128">
        <v>3172.67</v>
      </c>
      <c r="K31" s="127">
        <v>1826.9</v>
      </c>
      <c r="L31" s="127">
        <v>1819.93</v>
      </c>
      <c r="M31" s="128">
        <v>1823.415</v>
      </c>
      <c r="N31" s="132">
        <v>112.98699999999999</v>
      </c>
    </row>
    <row r="32" spans="1:18" x14ac:dyDescent="0.3">
      <c r="A32" s="41">
        <v>2026</v>
      </c>
      <c r="B32" s="123">
        <v>1174.03</v>
      </c>
      <c r="C32" s="127">
        <v>1184.69</v>
      </c>
      <c r="D32" s="127">
        <v>1179.3600000000001</v>
      </c>
      <c r="E32" s="123">
        <v>904.91700000000003</v>
      </c>
      <c r="F32" s="127">
        <v>910.70500000000004</v>
      </c>
      <c r="G32" s="128">
        <v>907.81100000000004</v>
      </c>
      <c r="H32" s="123">
        <v>3172.67</v>
      </c>
      <c r="I32" s="127">
        <v>3172.67</v>
      </c>
      <c r="J32" s="128">
        <v>3172.67</v>
      </c>
      <c r="K32" s="127">
        <v>1826.9</v>
      </c>
      <c r="L32" s="127">
        <v>1812.96</v>
      </c>
      <c r="M32" s="128">
        <v>1819.93</v>
      </c>
      <c r="N32" s="132">
        <v>111.035</v>
      </c>
    </row>
    <row r="33" spans="1:30" x14ac:dyDescent="0.3">
      <c r="A33" s="41">
        <v>2027</v>
      </c>
      <c r="B33" s="123">
        <v>1129.83</v>
      </c>
      <c r="C33" s="127">
        <v>1148.03</v>
      </c>
      <c r="D33" s="127">
        <v>1138.9299999999998</v>
      </c>
      <c r="E33" s="123">
        <v>874.04600000000005</v>
      </c>
      <c r="F33" s="127">
        <v>883.69299999999998</v>
      </c>
      <c r="G33" s="128">
        <v>878.86950000000002</v>
      </c>
      <c r="H33" s="123">
        <v>3026.24</v>
      </c>
      <c r="I33" s="127">
        <v>3165.7</v>
      </c>
      <c r="J33" s="128">
        <v>3095.97</v>
      </c>
      <c r="K33" s="127">
        <v>1826.9</v>
      </c>
      <c r="L33" s="127">
        <v>1799.01</v>
      </c>
      <c r="M33" s="128">
        <v>1812.9549999999999</v>
      </c>
      <c r="N33" s="132">
        <v>108.889</v>
      </c>
    </row>
    <row r="34" spans="1:30" x14ac:dyDescent="0.3">
      <c r="A34" s="41">
        <v>2028</v>
      </c>
      <c r="B34" s="123">
        <v>1095.25</v>
      </c>
      <c r="C34" s="127">
        <v>1099.79</v>
      </c>
      <c r="D34" s="127">
        <v>1097.52</v>
      </c>
      <c r="E34" s="123">
        <v>845.10400000000004</v>
      </c>
      <c r="F34" s="127">
        <v>850.89200000000005</v>
      </c>
      <c r="G34" s="128">
        <v>847.99800000000005</v>
      </c>
      <c r="H34" s="123">
        <v>2914.68</v>
      </c>
      <c r="I34" s="127">
        <v>3144.78</v>
      </c>
      <c r="J34" s="128">
        <v>3029.73</v>
      </c>
      <c r="K34" s="127">
        <v>1826.9</v>
      </c>
      <c r="L34" s="127">
        <v>1781.58</v>
      </c>
      <c r="M34" s="128">
        <v>1804.24</v>
      </c>
      <c r="N34" s="132">
        <v>102.059</v>
      </c>
    </row>
    <row r="35" spans="1:30" x14ac:dyDescent="0.3">
      <c r="A35" s="41">
        <v>2029</v>
      </c>
      <c r="B35" s="123">
        <v>1037.5999999999999</v>
      </c>
      <c r="C35" s="127">
        <v>1057.3399999999999</v>
      </c>
      <c r="D35" s="127">
        <v>1047.4699999999998</v>
      </c>
      <c r="E35" s="123">
        <v>796.86699999999996</v>
      </c>
      <c r="F35" s="127">
        <v>814.23199999999997</v>
      </c>
      <c r="G35" s="128">
        <v>805.54949999999997</v>
      </c>
      <c r="H35" s="123">
        <v>2810.08</v>
      </c>
      <c r="I35" s="127">
        <v>3116.89</v>
      </c>
      <c r="J35" s="128">
        <v>2963.4849999999997</v>
      </c>
      <c r="K35" s="127">
        <v>1826.9</v>
      </c>
      <c r="L35" s="127">
        <v>1743.23</v>
      </c>
      <c r="M35" s="128">
        <v>1785.0650000000001</v>
      </c>
      <c r="N35" s="132">
        <v>99.717200000000005</v>
      </c>
      <c r="AD35" s="127"/>
    </row>
    <row r="36" spans="1:30" x14ac:dyDescent="0.3">
      <c r="A36" s="41">
        <v>2030</v>
      </c>
      <c r="B36" s="123">
        <v>987.64499999999998</v>
      </c>
      <c r="C36" s="127">
        <v>1009.11</v>
      </c>
      <c r="D36" s="127">
        <v>998.37750000000005</v>
      </c>
      <c r="E36" s="123">
        <v>767.92499999999995</v>
      </c>
      <c r="F36" s="127">
        <v>779.50199999999995</v>
      </c>
      <c r="G36" s="128">
        <v>773.71349999999995</v>
      </c>
      <c r="H36" s="123">
        <v>2719.44</v>
      </c>
      <c r="I36" s="127">
        <v>3012.3</v>
      </c>
      <c r="J36" s="128">
        <v>2865.87</v>
      </c>
      <c r="K36" s="127">
        <v>1805.98</v>
      </c>
      <c r="L36" s="127">
        <v>1729.28</v>
      </c>
      <c r="M36" s="128">
        <v>1767.63</v>
      </c>
      <c r="N36" s="132">
        <v>97.765799999999999</v>
      </c>
      <c r="R36" s="93"/>
      <c r="AD36" s="127"/>
    </row>
    <row r="37" spans="1:30" x14ac:dyDescent="0.3">
      <c r="A37" s="41">
        <v>2031</v>
      </c>
      <c r="B37" s="123">
        <v>951.13599999999997</v>
      </c>
      <c r="C37" s="127">
        <v>968.58900000000006</v>
      </c>
      <c r="D37" s="127">
        <v>959.86249999999995</v>
      </c>
      <c r="E37" s="123">
        <v>733.19500000000005</v>
      </c>
      <c r="F37" s="127">
        <v>748.63099999999997</v>
      </c>
      <c r="G37" s="128">
        <v>740.91300000000001</v>
      </c>
      <c r="H37" s="123">
        <v>2684.57</v>
      </c>
      <c r="I37" s="127">
        <v>2844.95</v>
      </c>
      <c r="J37" s="128">
        <v>2764.76</v>
      </c>
      <c r="K37" s="127">
        <v>1785.07</v>
      </c>
      <c r="L37" s="127">
        <v>1718.82</v>
      </c>
      <c r="M37" s="128">
        <v>1751.9449999999999</v>
      </c>
      <c r="N37" s="132">
        <v>95.814400000000006</v>
      </c>
      <c r="R37" s="93"/>
    </row>
    <row r="38" spans="1:30" x14ac:dyDescent="0.3">
      <c r="A38" s="41">
        <v>2032</v>
      </c>
      <c r="B38" s="123">
        <v>910.78499999999997</v>
      </c>
      <c r="C38" s="127">
        <v>935.78800000000001</v>
      </c>
      <c r="D38" s="127">
        <v>923.28649999999993</v>
      </c>
      <c r="E38" s="123">
        <v>706.18299999999999</v>
      </c>
      <c r="F38" s="127">
        <v>723.548</v>
      </c>
      <c r="G38" s="128">
        <v>714.8655</v>
      </c>
      <c r="H38" s="123">
        <v>2677.6</v>
      </c>
      <c r="I38" s="127">
        <v>2782.19</v>
      </c>
      <c r="J38" s="128">
        <v>2729.895</v>
      </c>
      <c r="K38" s="127">
        <v>1760.66</v>
      </c>
      <c r="L38" s="127">
        <v>1704.88</v>
      </c>
      <c r="M38" s="128">
        <v>1732.77</v>
      </c>
      <c r="N38" s="132">
        <v>93.863</v>
      </c>
      <c r="R38" s="93"/>
    </row>
    <row r="39" spans="1:30" x14ac:dyDescent="0.3">
      <c r="A39" s="41">
        <v>2033</v>
      </c>
      <c r="B39" s="123">
        <v>870.43399999999997</v>
      </c>
      <c r="C39" s="127">
        <v>904.91700000000003</v>
      </c>
      <c r="D39" s="127">
        <v>887.67550000000006</v>
      </c>
      <c r="E39" s="123">
        <v>675.31100000000004</v>
      </c>
      <c r="F39" s="127">
        <v>698.46500000000003</v>
      </c>
      <c r="G39" s="128">
        <v>686.88800000000003</v>
      </c>
      <c r="H39" s="123">
        <v>2600.9</v>
      </c>
      <c r="I39" s="127">
        <v>2705.49</v>
      </c>
      <c r="J39" s="128">
        <v>2653.1949999999997</v>
      </c>
      <c r="K39" s="127">
        <v>1753.69</v>
      </c>
      <c r="L39" s="127">
        <v>1694.42</v>
      </c>
      <c r="M39" s="128">
        <v>1724.0550000000001</v>
      </c>
      <c r="N39" s="132">
        <v>91.716399999999993</v>
      </c>
    </row>
    <row r="40" spans="1:30" x14ac:dyDescent="0.3">
      <c r="A40" s="41">
        <v>2034</v>
      </c>
      <c r="B40" s="123">
        <v>833.92600000000004</v>
      </c>
      <c r="C40" s="127">
        <v>868.25699999999995</v>
      </c>
      <c r="D40" s="127">
        <v>851.0915</v>
      </c>
      <c r="E40" s="123">
        <v>644.44000000000005</v>
      </c>
      <c r="F40" s="127">
        <v>673.38199999999995</v>
      </c>
      <c r="G40" s="128">
        <v>658.91100000000006</v>
      </c>
      <c r="H40" s="123">
        <v>2517.2199999999998</v>
      </c>
      <c r="I40" s="127">
        <v>2628.79</v>
      </c>
      <c r="J40" s="128">
        <v>2573.0050000000001</v>
      </c>
      <c r="K40" s="127">
        <v>1750.2</v>
      </c>
      <c r="L40" s="127">
        <v>1687.44</v>
      </c>
      <c r="M40" s="128">
        <v>1718.8200000000002</v>
      </c>
      <c r="N40" s="132">
        <v>89.765000000000001</v>
      </c>
    </row>
    <row r="41" spans="1:30" x14ac:dyDescent="0.3">
      <c r="A41" s="41">
        <v>2035</v>
      </c>
      <c r="B41" s="123">
        <v>812.78899999999999</v>
      </c>
      <c r="C41" s="127">
        <v>829.66800000000001</v>
      </c>
      <c r="D41" s="127">
        <v>821.22849999999994</v>
      </c>
      <c r="E41" s="123">
        <v>632.86300000000006</v>
      </c>
      <c r="F41" s="127">
        <v>638.65099999999995</v>
      </c>
      <c r="G41" s="128">
        <v>635.75700000000006</v>
      </c>
      <c r="H41" s="123">
        <v>2475.38</v>
      </c>
      <c r="I41" s="127">
        <v>2559.06</v>
      </c>
      <c r="J41" s="128">
        <v>2517.2200000000003</v>
      </c>
      <c r="K41" s="127">
        <v>1729.28</v>
      </c>
      <c r="L41" s="127">
        <v>1680.47</v>
      </c>
      <c r="M41" s="128">
        <v>1704.875</v>
      </c>
      <c r="N41" s="132">
        <v>87.423299999999998</v>
      </c>
    </row>
    <row r="42" spans="1:30" x14ac:dyDescent="0.3">
      <c r="A42" s="41">
        <v>2036</v>
      </c>
      <c r="B42" s="123">
        <v>780.12400000000002</v>
      </c>
      <c r="C42" s="127">
        <v>804.58500000000004</v>
      </c>
      <c r="D42" s="127">
        <v>792.35450000000003</v>
      </c>
      <c r="E42" s="123">
        <v>609.71</v>
      </c>
      <c r="F42" s="127">
        <v>627.07500000000005</v>
      </c>
      <c r="G42" s="128">
        <v>618.39250000000004</v>
      </c>
      <c r="H42" s="123">
        <v>2440.52</v>
      </c>
      <c r="I42" s="127">
        <v>2489.33</v>
      </c>
      <c r="J42" s="128">
        <v>2464.9250000000002</v>
      </c>
      <c r="K42" s="127">
        <v>1704.88</v>
      </c>
      <c r="L42" s="127">
        <v>1676.98</v>
      </c>
      <c r="M42" s="128">
        <v>1690.93</v>
      </c>
      <c r="N42" s="132">
        <v>85.667100000000005</v>
      </c>
    </row>
    <row r="43" spans="1:30" x14ac:dyDescent="0.3">
      <c r="A43" s="41">
        <v>2037</v>
      </c>
      <c r="B43" s="123">
        <v>762.83100000000002</v>
      </c>
      <c r="C43" s="127">
        <v>787.22</v>
      </c>
      <c r="D43" s="127">
        <v>775.02549999999997</v>
      </c>
      <c r="E43" s="123">
        <v>594.274</v>
      </c>
      <c r="F43" s="127">
        <v>609.71</v>
      </c>
      <c r="G43" s="128">
        <v>601.99199999999996</v>
      </c>
      <c r="H43" s="123">
        <v>2405.65</v>
      </c>
      <c r="I43" s="127">
        <v>2440.52</v>
      </c>
      <c r="J43" s="128">
        <v>2423.085</v>
      </c>
      <c r="K43" s="127">
        <v>1687.44</v>
      </c>
      <c r="L43" s="127">
        <v>1670.01</v>
      </c>
      <c r="M43" s="128">
        <v>1678.7249999999999</v>
      </c>
      <c r="N43" s="132">
        <v>85.081599999999995</v>
      </c>
    </row>
    <row r="44" spans="1:30" x14ac:dyDescent="0.3">
      <c r="A44" s="41">
        <v>2038</v>
      </c>
      <c r="B44" s="123">
        <v>745.53700000000003</v>
      </c>
      <c r="C44" s="127">
        <v>767.92499999999995</v>
      </c>
      <c r="D44" s="127">
        <v>756.73099999999999</v>
      </c>
      <c r="E44" s="123">
        <v>580.76800000000003</v>
      </c>
      <c r="F44" s="127">
        <v>596.20299999999997</v>
      </c>
      <c r="G44" s="128">
        <v>588.4855</v>
      </c>
      <c r="H44" s="123">
        <v>2377.7600000000002</v>
      </c>
      <c r="I44" s="127">
        <v>2405.65</v>
      </c>
      <c r="J44" s="128">
        <v>2391.7049999999999</v>
      </c>
      <c r="K44" s="127">
        <v>1676.98</v>
      </c>
      <c r="L44" s="127">
        <v>1666.53</v>
      </c>
      <c r="M44" s="128">
        <v>1671.7550000000001</v>
      </c>
      <c r="N44" s="132">
        <v>83.910799999999995</v>
      </c>
    </row>
    <row r="45" spans="1:30" x14ac:dyDescent="0.3">
      <c r="A45" s="41">
        <v>2039</v>
      </c>
      <c r="B45" s="123">
        <v>732.08699999999999</v>
      </c>
      <c r="C45" s="127">
        <v>754.41899999999998</v>
      </c>
      <c r="D45" s="127">
        <v>743.25299999999993</v>
      </c>
      <c r="E45" s="123">
        <v>565.33199999999999</v>
      </c>
      <c r="F45" s="127">
        <v>584.62699999999995</v>
      </c>
      <c r="G45" s="128">
        <v>574.97949999999992</v>
      </c>
      <c r="H45" s="123">
        <v>2356.84</v>
      </c>
      <c r="I45" s="127">
        <v>2370.79</v>
      </c>
      <c r="J45" s="128">
        <v>2363.8150000000001</v>
      </c>
      <c r="K45" s="127">
        <v>1673.5</v>
      </c>
      <c r="L45" s="127">
        <v>1663.04</v>
      </c>
      <c r="M45" s="128">
        <v>1668.27</v>
      </c>
      <c r="N45" s="132">
        <v>82.935100000000006</v>
      </c>
    </row>
    <row r="46" spans="1:30" x14ac:dyDescent="0.3">
      <c r="A46" s="41">
        <v>2040</v>
      </c>
      <c r="B46" s="123">
        <v>720.55799999999999</v>
      </c>
      <c r="C46" s="127">
        <v>738.98299999999995</v>
      </c>
      <c r="D46" s="127">
        <v>729.77049999999997</v>
      </c>
      <c r="E46" s="123">
        <v>555.68499999999995</v>
      </c>
      <c r="F46" s="127">
        <v>573.04999999999995</v>
      </c>
      <c r="G46" s="128">
        <v>564.36749999999995</v>
      </c>
      <c r="H46" s="123">
        <v>2328.9499999999998</v>
      </c>
      <c r="I46" s="127">
        <v>2349.87</v>
      </c>
      <c r="J46" s="128">
        <v>2339.41</v>
      </c>
      <c r="K46" s="127">
        <v>1663.04</v>
      </c>
      <c r="L46" s="127">
        <v>1659.55</v>
      </c>
      <c r="M46" s="128">
        <v>1661.2950000000001</v>
      </c>
      <c r="N46" s="132">
        <v>82.544799999999995</v>
      </c>
    </row>
    <row r="47" spans="1:30" x14ac:dyDescent="0.3">
      <c r="A47" s="41">
        <v>2041</v>
      </c>
      <c r="B47" s="123">
        <v>705.18600000000004</v>
      </c>
      <c r="C47" s="127">
        <v>725.47699999999998</v>
      </c>
      <c r="D47" s="127">
        <v>715.33150000000001</v>
      </c>
      <c r="E47" s="123">
        <v>547.96699999999998</v>
      </c>
      <c r="F47" s="127">
        <v>565.33199999999999</v>
      </c>
      <c r="G47" s="128">
        <v>556.64949999999999</v>
      </c>
      <c r="H47" s="123">
        <v>2301.06</v>
      </c>
      <c r="I47" s="127">
        <v>2321.98</v>
      </c>
      <c r="J47" s="128">
        <v>2311.52</v>
      </c>
      <c r="K47" s="127">
        <v>1649.09</v>
      </c>
      <c r="L47" s="127">
        <v>1628.17</v>
      </c>
      <c r="M47" s="128">
        <v>1638.63</v>
      </c>
      <c r="N47" s="132">
        <v>82.154499999999999</v>
      </c>
    </row>
    <row r="48" spans="1:30" x14ac:dyDescent="0.3">
      <c r="A48" s="41">
        <v>2042</v>
      </c>
      <c r="B48" s="123">
        <v>693.65700000000004</v>
      </c>
      <c r="C48" s="127">
        <v>713.9</v>
      </c>
      <c r="D48" s="127">
        <v>703.77850000000001</v>
      </c>
      <c r="E48" s="123">
        <v>538.32000000000005</v>
      </c>
      <c r="F48" s="127">
        <v>555.68499999999995</v>
      </c>
      <c r="G48" s="128">
        <v>547.00250000000005</v>
      </c>
      <c r="H48" s="123">
        <v>2294.09</v>
      </c>
      <c r="I48" s="127">
        <v>2294.09</v>
      </c>
      <c r="J48" s="128">
        <v>2294.09</v>
      </c>
      <c r="K48" s="127">
        <v>1645.61</v>
      </c>
      <c r="L48" s="127">
        <v>1624.69</v>
      </c>
      <c r="M48" s="128">
        <v>1635.15</v>
      </c>
      <c r="N48" s="132">
        <v>81.178799999999995</v>
      </c>
    </row>
    <row r="49" spans="1:30" x14ac:dyDescent="0.3">
      <c r="A49" s="41">
        <v>2043</v>
      </c>
      <c r="B49" s="123">
        <v>684.05</v>
      </c>
      <c r="C49" s="127">
        <v>704.25300000000004</v>
      </c>
      <c r="D49" s="127">
        <v>694.15149999999994</v>
      </c>
      <c r="E49" s="123">
        <v>532.53099999999995</v>
      </c>
      <c r="F49" s="127">
        <v>547.96699999999998</v>
      </c>
      <c r="G49" s="128">
        <v>540.24900000000002</v>
      </c>
      <c r="H49" s="123">
        <v>2280.14</v>
      </c>
      <c r="I49" s="127">
        <v>2294.09</v>
      </c>
      <c r="J49" s="128">
        <v>2287.1149999999998</v>
      </c>
      <c r="K49" s="127">
        <v>1638.63</v>
      </c>
      <c r="L49" s="127">
        <v>1624.69</v>
      </c>
      <c r="M49" s="128">
        <v>1631.66</v>
      </c>
      <c r="N49" s="132">
        <v>80.593400000000003</v>
      </c>
    </row>
    <row r="50" spans="1:30" x14ac:dyDescent="0.3">
      <c r="A50" s="41">
        <v>2044</v>
      </c>
      <c r="B50" s="123">
        <v>672.52099999999996</v>
      </c>
      <c r="C50" s="127">
        <v>692.67600000000004</v>
      </c>
      <c r="D50" s="127">
        <v>682.59850000000006</v>
      </c>
      <c r="E50" s="123">
        <v>524.81299999999999</v>
      </c>
      <c r="F50" s="127">
        <v>536.39</v>
      </c>
      <c r="G50" s="128">
        <v>530.60149999999999</v>
      </c>
      <c r="H50" s="123">
        <v>2273.17</v>
      </c>
      <c r="I50" s="127">
        <v>2287.11</v>
      </c>
      <c r="J50" s="128">
        <v>2280.1400000000003</v>
      </c>
      <c r="K50" s="127">
        <v>1638.63</v>
      </c>
      <c r="L50" s="127">
        <v>1617.72</v>
      </c>
      <c r="M50" s="128">
        <v>1628.1750000000002</v>
      </c>
      <c r="N50" s="132">
        <v>79.812799999999996</v>
      </c>
    </row>
    <row r="51" spans="1:30" x14ac:dyDescent="0.3">
      <c r="A51" s="41">
        <v>2045</v>
      </c>
      <c r="B51" s="123">
        <v>660.99199999999996</v>
      </c>
      <c r="C51" s="127">
        <v>683.029</v>
      </c>
      <c r="D51" s="127">
        <v>672.01049999999998</v>
      </c>
      <c r="E51" s="123">
        <v>515.16600000000005</v>
      </c>
      <c r="F51" s="127">
        <v>524.81299999999999</v>
      </c>
      <c r="G51" s="128">
        <v>519.98950000000002</v>
      </c>
      <c r="H51" s="123">
        <v>2238.3000000000002</v>
      </c>
      <c r="I51" s="127">
        <v>2280.14</v>
      </c>
      <c r="J51" s="128">
        <v>2259.2200000000003</v>
      </c>
      <c r="K51" s="127">
        <v>1635.15</v>
      </c>
      <c r="L51" s="127">
        <v>1610.74</v>
      </c>
      <c r="M51" s="128">
        <v>1622.9450000000002</v>
      </c>
      <c r="N51" s="132">
        <v>79.422499999999999</v>
      </c>
    </row>
    <row r="52" spans="1:30" x14ac:dyDescent="0.3">
      <c r="A52" s="41">
        <v>2046</v>
      </c>
      <c r="B52" s="123">
        <v>649.46299999999997</v>
      </c>
      <c r="C52" s="127">
        <v>669.52300000000002</v>
      </c>
      <c r="D52" s="127">
        <v>659.49299999999994</v>
      </c>
      <c r="E52" s="123">
        <v>509.37799999999999</v>
      </c>
      <c r="F52" s="127">
        <v>519.02499999999998</v>
      </c>
      <c r="G52" s="128">
        <v>514.20150000000001</v>
      </c>
      <c r="H52" s="123">
        <v>2196.4699999999998</v>
      </c>
      <c r="I52" s="127">
        <v>2231.33</v>
      </c>
      <c r="J52" s="128">
        <v>2213.8999999999996</v>
      </c>
      <c r="K52" s="127">
        <v>1631.66</v>
      </c>
      <c r="L52" s="127">
        <v>1600.28</v>
      </c>
      <c r="M52" s="128">
        <v>1615.97</v>
      </c>
      <c r="N52" s="132">
        <v>79.227400000000003</v>
      </c>
    </row>
    <row r="53" spans="1:30" x14ac:dyDescent="0.3">
      <c r="A53" s="41">
        <v>2047</v>
      </c>
      <c r="B53" s="123">
        <v>641.77700000000004</v>
      </c>
      <c r="C53" s="127">
        <v>661.80499999999995</v>
      </c>
      <c r="D53" s="127">
        <v>651.79099999999994</v>
      </c>
      <c r="E53" s="123">
        <v>503.589</v>
      </c>
      <c r="F53" s="127">
        <v>515.16600000000005</v>
      </c>
      <c r="G53" s="128">
        <v>509.37750000000005</v>
      </c>
      <c r="H53" s="123">
        <v>2168.58</v>
      </c>
      <c r="I53" s="127">
        <v>2203.44</v>
      </c>
      <c r="J53" s="128">
        <v>2186.0100000000002</v>
      </c>
      <c r="K53" s="127">
        <v>1628.17</v>
      </c>
      <c r="L53" s="127">
        <v>1596.8</v>
      </c>
      <c r="M53" s="128">
        <v>1612.4850000000001</v>
      </c>
      <c r="N53" s="132">
        <v>78.641999999999996</v>
      </c>
    </row>
    <row r="54" spans="1:30" x14ac:dyDescent="0.3">
      <c r="A54" s="41">
        <v>2048</v>
      </c>
      <c r="B54" s="123">
        <v>634.09100000000001</v>
      </c>
      <c r="C54" s="127">
        <v>654.08699999999999</v>
      </c>
      <c r="D54" s="127">
        <v>644.08899999999994</v>
      </c>
      <c r="E54" s="123">
        <v>493.94200000000001</v>
      </c>
      <c r="F54" s="127">
        <v>511.30700000000002</v>
      </c>
      <c r="G54" s="128">
        <v>502.62450000000001</v>
      </c>
      <c r="H54" s="123">
        <v>2140.6799999999998</v>
      </c>
      <c r="I54" s="127">
        <v>2182.52</v>
      </c>
      <c r="J54" s="128">
        <v>2161.6</v>
      </c>
      <c r="K54" s="127">
        <v>1624.69</v>
      </c>
      <c r="L54" s="127">
        <v>1593.31</v>
      </c>
      <c r="M54" s="128">
        <v>1609</v>
      </c>
      <c r="N54" s="132">
        <v>78.2517</v>
      </c>
    </row>
    <row r="55" spans="1:30" x14ac:dyDescent="0.3">
      <c r="A55" s="41">
        <v>2049</v>
      </c>
      <c r="B55" s="123">
        <v>626.40499999999997</v>
      </c>
      <c r="C55" s="127">
        <v>646.36900000000003</v>
      </c>
      <c r="D55" s="127">
        <v>636.38699999999994</v>
      </c>
      <c r="E55" s="123">
        <v>492.012</v>
      </c>
      <c r="F55" s="127">
        <v>505.51900000000001</v>
      </c>
      <c r="G55" s="128">
        <v>498.76549999999997</v>
      </c>
      <c r="H55" s="123">
        <v>2126.7399999999998</v>
      </c>
      <c r="I55" s="127">
        <v>2147.66</v>
      </c>
      <c r="J55" s="128">
        <v>2137.1999999999998</v>
      </c>
      <c r="K55" s="127">
        <v>1617.72</v>
      </c>
      <c r="L55" s="127">
        <v>1586.34</v>
      </c>
      <c r="M55" s="128">
        <v>1602.03</v>
      </c>
      <c r="N55" s="132">
        <v>77.861400000000003</v>
      </c>
    </row>
    <row r="56" spans="1:30" ht="15" thickBot="1" x14ac:dyDescent="0.35">
      <c r="A56" s="42">
        <v>2050</v>
      </c>
      <c r="B56" s="124">
        <v>624.48299999999995</v>
      </c>
      <c r="C56" s="129">
        <v>642.51</v>
      </c>
      <c r="D56" s="129">
        <v>633.49649999999997</v>
      </c>
      <c r="E56" s="124">
        <v>488.154</v>
      </c>
      <c r="F56" s="129">
        <v>499.73</v>
      </c>
      <c r="G56" s="130">
        <v>493.94200000000001</v>
      </c>
      <c r="H56" s="124">
        <v>2105.8200000000002</v>
      </c>
      <c r="I56" s="129">
        <v>2112.79</v>
      </c>
      <c r="J56" s="130">
        <v>2109.3050000000003</v>
      </c>
      <c r="K56" s="129">
        <v>1614.23</v>
      </c>
      <c r="L56" s="129">
        <v>1586.34</v>
      </c>
      <c r="M56" s="130">
        <v>1600.2849999999999</v>
      </c>
      <c r="N56" s="133">
        <v>77.275999999999996</v>
      </c>
    </row>
    <row r="57" spans="1:30" ht="16.2" x14ac:dyDescent="0.3">
      <c r="A57" s="93" t="s">
        <v>254</v>
      </c>
    </row>
    <row r="58" spans="1:30" ht="16.2" x14ac:dyDescent="0.3">
      <c r="A58" s="93" t="s">
        <v>255</v>
      </c>
    </row>
    <row r="59" spans="1:30" ht="16.2" x14ac:dyDescent="0.3">
      <c r="A59" s="93" t="s">
        <v>262</v>
      </c>
    </row>
    <row r="60" spans="1:30" ht="15" thickBot="1" x14ac:dyDescent="0.35"/>
    <row r="61" spans="1:30" ht="18.600000000000001" thickBot="1" x14ac:dyDescent="0.4">
      <c r="A61" s="289" t="s">
        <v>0</v>
      </c>
      <c r="B61" s="380" t="s">
        <v>386</v>
      </c>
      <c r="C61" s="381"/>
      <c r="D61" s="381"/>
      <c r="E61" s="381"/>
      <c r="F61" s="381"/>
      <c r="G61" s="381"/>
      <c r="H61" s="381"/>
      <c r="I61" s="381"/>
      <c r="J61" s="381"/>
      <c r="K61" s="381"/>
      <c r="L61" s="381"/>
      <c r="M61" s="381"/>
      <c r="N61" s="381"/>
      <c r="O61" s="381"/>
      <c r="P61" s="382"/>
      <c r="R61" s="380" t="s">
        <v>387</v>
      </c>
      <c r="S61" s="381"/>
      <c r="T61" s="381"/>
      <c r="U61" s="381"/>
      <c r="V61" s="381"/>
      <c r="W61" s="381"/>
      <c r="X61" s="381"/>
      <c r="Y61" s="381"/>
      <c r="Z61" s="381"/>
      <c r="AA61" s="381"/>
      <c r="AB61" s="381"/>
      <c r="AC61" s="381"/>
      <c r="AD61" s="382"/>
    </row>
    <row r="62" spans="1:30" ht="20.399999999999999" thickBot="1" x14ac:dyDescent="0.35">
      <c r="A62" s="344"/>
      <c r="B62" s="368" t="s">
        <v>58</v>
      </c>
      <c r="C62" s="369"/>
      <c r="D62" s="370"/>
      <c r="E62" s="404" t="s">
        <v>155</v>
      </c>
      <c r="F62" s="405"/>
      <c r="G62" s="406"/>
      <c r="H62" s="446" t="s">
        <v>120</v>
      </c>
      <c r="I62" s="447"/>
      <c r="J62" s="448"/>
      <c r="K62" s="410" t="s">
        <v>228</v>
      </c>
      <c r="L62" s="411"/>
      <c r="M62" s="412"/>
      <c r="N62" s="341" t="s">
        <v>235</v>
      </c>
      <c r="O62" s="342"/>
      <c r="P62" s="343"/>
      <c r="R62" s="289" t="s">
        <v>0</v>
      </c>
      <c r="S62" s="368" t="s">
        <v>58</v>
      </c>
      <c r="T62" s="369"/>
      <c r="U62" s="369"/>
      <c r="V62" s="369"/>
      <c r="W62" s="369"/>
      <c r="X62" s="369"/>
      <c r="Y62" s="369"/>
      <c r="Z62" s="369"/>
      <c r="AA62" s="370"/>
      <c r="AB62" s="413" t="s">
        <v>266</v>
      </c>
      <c r="AC62" s="414"/>
      <c r="AD62" s="415"/>
    </row>
    <row r="63" spans="1:30" ht="16.8" thickBot="1" x14ac:dyDescent="0.35">
      <c r="A63" s="290"/>
      <c r="B63" s="78" t="s">
        <v>252</v>
      </c>
      <c r="C63" s="79" t="s">
        <v>253</v>
      </c>
      <c r="D63" s="80" t="s">
        <v>28</v>
      </c>
      <c r="E63" s="78" t="s">
        <v>252</v>
      </c>
      <c r="F63" s="79" t="s">
        <v>253</v>
      </c>
      <c r="G63" s="80" t="s">
        <v>28</v>
      </c>
      <c r="H63" s="78" t="s">
        <v>252</v>
      </c>
      <c r="I63" s="79" t="s">
        <v>253</v>
      </c>
      <c r="J63" s="80" t="s">
        <v>28</v>
      </c>
      <c r="K63" s="78" t="s">
        <v>252</v>
      </c>
      <c r="L63" s="79" t="s">
        <v>253</v>
      </c>
      <c r="M63" s="80" t="s">
        <v>28</v>
      </c>
      <c r="N63" s="78" t="s">
        <v>18</v>
      </c>
      <c r="O63" s="79" t="s">
        <v>19</v>
      </c>
      <c r="P63" s="80" t="s">
        <v>20</v>
      </c>
      <c r="R63" s="344"/>
      <c r="S63" s="419" t="s">
        <v>263</v>
      </c>
      <c r="T63" s="420"/>
      <c r="U63" s="421"/>
      <c r="V63" s="419" t="s">
        <v>264</v>
      </c>
      <c r="W63" s="420"/>
      <c r="X63" s="421"/>
      <c r="Y63" s="419" t="s">
        <v>265</v>
      </c>
      <c r="Z63" s="420"/>
      <c r="AA63" s="421"/>
      <c r="AB63" s="416"/>
      <c r="AC63" s="417"/>
      <c r="AD63" s="418"/>
    </row>
    <row r="64" spans="1:30" ht="15" thickBot="1" x14ac:dyDescent="0.35">
      <c r="A64" s="41">
        <v>2018</v>
      </c>
      <c r="B64" s="122">
        <v>1466.39</v>
      </c>
      <c r="C64" s="125">
        <v>1462.53</v>
      </c>
      <c r="D64" s="125">
        <v>1464.46</v>
      </c>
      <c r="E64" s="122">
        <v>1672.84</v>
      </c>
      <c r="F64" s="125">
        <v>1668.98</v>
      </c>
      <c r="G64" s="126">
        <v>1670.9099999999999</v>
      </c>
      <c r="H64" s="122">
        <v>6540.59</v>
      </c>
      <c r="I64" s="125">
        <v>6540.59</v>
      </c>
      <c r="J64" s="126">
        <v>6540.59</v>
      </c>
      <c r="K64" s="125">
        <v>1889.66</v>
      </c>
      <c r="L64" s="125">
        <v>1882.69</v>
      </c>
      <c r="M64" s="126">
        <v>1886.1750000000002</v>
      </c>
      <c r="N64" s="125">
        <v>267.92899999999997</v>
      </c>
      <c r="O64" s="125">
        <v>267.92899999999997</v>
      </c>
      <c r="P64" s="126">
        <v>267.92899999999997</v>
      </c>
      <c r="R64" s="290"/>
      <c r="S64" s="78" t="s">
        <v>18</v>
      </c>
      <c r="T64" s="79" t="s">
        <v>19</v>
      </c>
      <c r="U64" s="80" t="s">
        <v>22</v>
      </c>
      <c r="V64" s="78" t="s">
        <v>18</v>
      </c>
      <c r="W64" s="79" t="s">
        <v>19</v>
      </c>
      <c r="X64" s="80" t="s">
        <v>22</v>
      </c>
      <c r="Y64" s="78" t="s">
        <v>18</v>
      </c>
      <c r="Z64" s="79" t="s">
        <v>19</v>
      </c>
      <c r="AA64" s="80" t="s">
        <v>22</v>
      </c>
      <c r="AB64" s="78" t="s">
        <v>18</v>
      </c>
      <c r="AC64" s="79" t="s">
        <v>19</v>
      </c>
      <c r="AD64" s="80" t="s">
        <v>22</v>
      </c>
    </row>
    <row r="65" spans="1:30" x14ac:dyDescent="0.3">
      <c r="A65" s="41">
        <v>2019</v>
      </c>
      <c r="B65" s="123">
        <v>1348.69</v>
      </c>
      <c r="C65" s="127">
        <v>1346.76</v>
      </c>
      <c r="D65" s="127">
        <v>1347.7249999999999</v>
      </c>
      <c r="E65" s="123">
        <v>1531.99</v>
      </c>
      <c r="F65" s="127">
        <v>1551.29</v>
      </c>
      <c r="G65" s="128">
        <v>1541.6399999999999</v>
      </c>
      <c r="H65" s="123">
        <v>5599.25</v>
      </c>
      <c r="I65" s="127">
        <v>5431.9</v>
      </c>
      <c r="J65" s="128">
        <v>5515.5749999999998</v>
      </c>
      <c r="K65" s="127">
        <v>1886.17</v>
      </c>
      <c r="L65" s="127">
        <v>1872.23</v>
      </c>
      <c r="M65" s="128">
        <v>1879.2</v>
      </c>
      <c r="N65" s="127">
        <v>221.68100000000001</v>
      </c>
      <c r="O65" s="127">
        <v>219.14400000000001</v>
      </c>
      <c r="P65" s="128">
        <v>220.41250000000002</v>
      </c>
      <c r="R65" s="52">
        <v>2020</v>
      </c>
      <c r="S65" s="125">
        <v>43.723100000000002</v>
      </c>
      <c r="T65" s="125">
        <v>52.0154</v>
      </c>
      <c r="U65" s="126">
        <v>60.307699999999997</v>
      </c>
      <c r="V65" s="122">
        <v>106.544</v>
      </c>
      <c r="W65" s="125">
        <v>130.667</v>
      </c>
      <c r="X65" s="126">
        <v>154.79</v>
      </c>
      <c r="Y65" s="122">
        <v>87.446200000000005</v>
      </c>
      <c r="Z65" s="125">
        <v>106.79510000000001</v>
      </c>
      <c r="AA65" s="126">
        <v>126.14400000000001</v>
      </c>
      <c r="AB65" s="122">
        <v>120.113</v>
      </c>
      <c r="AC65" s="125">
        <v>136.19499999999999</v>
      </c>
      <c r="AD65" s="126">
        <v>152.27699999999999</v>
      </c>
    </row>
    <row r="66" spans="1:30" x14ac:dyDescent="0.3">
      <c r="A66" s="41">
        <v>2020</v>
      </c>
      <c r="B66" s="123">
        <v>1192.4100000000001</v>
      </c>
      <c r="C66" s="127">
        <v>1240.6400000000001</v>
      </c>
      <c r="D66" s="127">
        <v>1216.5250000000001</v>
      </c>
      <c r="E66" s="123">
        <v>1362.2</v>
      </c>
      <c r="F66" s="127">
        <v>1429.73</v>
      </c>
      <c r="G66" s="128">
        <v>1395.9650000000001</v>
      </c>
      <c r="H66" s="123">
        <v>5020.5</v>
      </c>
      <c r="I66" s="127">
        <v>4874.0600000000004</v>
      </c>
      <c r="J66" s="128">
        <v>4947.2800000000007</v>
      </c>
      <c r="K66" s="127">
        <v>1872.23</v>
      </c>
      <c r="L66" s="127">
        <v>1847.82</v>
      </c>
      <c r="M66" s="128">
        <v>1860.0250000000001</v>
      </c>
      <c r="N66" s="127">
        <v>198.84899999999999</v>
      </c>
      <c r="O66" s="127">
        <v>195.922</v>
      </c>
      <c r="P66" s="128">
        <v>197.38549999999998</v>
      </c>
      <c r="R66" s="24">
        <v>2030</v>
      </c>
      <c r="S66" s="127">
        <v>26.683199999999999</v>
      </c>
      <c r="T66" s="127">
        <v>35.658450000000002</v>
      </c>
      <c r="U66" s="128">
        <v>44.633699999999997</v>
      </c>
      <c r="V66" s="123">
        <v>74.227699999999999</v>
      </c>
      <c r="W66" s="127">
        <v>103.33685</v>
      </c>
      <c r="X66" s="128">
        <v>132.446</v>
      </c>
      <c r="Y66" s="123">
        <v>69.376199999999997</v>
      </c>
      <c r="Z66" s="127">
        <v>94.846599999999995</v>
      </c>
      <c r="AA66" s="128">
        <v>120.31699999999999</v>
      </c>
      <c r="AB66" s="123">
        <v>120.31699999999999</v>
      </c>
      <c r="AC66" s="127">
        <v>135.114</v>
      </c>
      <c r="AD66" s="128">
        <v>149.911</v>
      </c>
    </row>
    <row r="67" spans="1:30" x14ac:dyDescent="0.3">
      <c r="A67" s="41">
        <v>2021</v>
      </c>
      <c r="B67" s="123">
        <v>1128.73</v>
      </c>
      <c r="C67" s="127">
        <v>1094</v>
      </c>
      <c r="D67" s="127">
        <v>1111.365</v>
      </c>
      <c r="E67" s="123">
        <v>1298.53</v>
      </c>
      <c r="F67" s="127">
        <v>1256.08</v>
      </c>
      <c r="G67" s="128">
        <v>1277.3049999999998</v>
      </c>
      <c r="H67" s="123">
        <v>5020.5</v>
      </c>
      <c r="I67" s="127">
        <v>4874.0600000000004</v>
      </c>
      <c r="J67" s="128">
        <v>4947.2800000000007</v>
      </c>
      <c r="K67" s="127">
        <v>1865.25</v>
      </c>
      <c r="L67" s="127">
        <v>1833.88</v>
      </c>
      <c r="M67" s="128">
        <v>1849.5650000000001</v>
      </c>
      <c r="N67" s="127">
        <v>193.38499999999999</v>
      </c>
      <c r="O67" s="127">
        <v>189.09200000000001</v>
      </c>
      <c r="P67" s="128">
        <v>191.23849999999999</v>
      </c>
      <c r="R67" s="24">
        <v>2040</v>
      </c>
      <c r="S67" s="127">
        <v>22.359200000000001</v>
      </c>
      <c r="T67" s="127">
        <v>30.208750000000002</v>
      </c>
      <c r="U67" s="128">
        <v>38.058300000000003</v>
      </c>
      <c r="V67" s="123">
        <v>68.504900000000006</v>
      </c>
      <c r="W67" s="127">
        <v>95.85945000000001</v>
      </c>
      <c r="X67" s="128">
        <v>123.214</v>
      </c>
      <c r="Y67" s="123">
        <v>63.747599999999998</v>
      </c>
      <c r="Z67" s="127">
        <v>88.247799999999998</v>
      </c>
      <c r="AA67" s="128">
        <v>112.748</v>
      </c>
      <c r="AB67" s="123">
        <v>92.766999999999996</v>
      </c>
      <c r="AC67" s="127">
        <v>106.80099999999999</v>
      </c>
      <c r="AD67" s="128">
        <v>120.83499999999999</v>
      </c>
    </row>
    <row r="68" spans="1:30" ht="15" thickBot="1" x14ac:dyDescent="0.35">
      <c r="A68" s="41">
        <v>2022</v>
      </c>
      <c r="B68" s="123">
        <v>1088.22</v>
      </c>
      <c r="C68" s="127">
        <v>1039.98</v>
      </c>
      <c r="D68" s="127">
        <v>1064.0999999999999</v>
      </c>
      <c r="E68" s="123">
        <v>1250.29</v>
      </c>
      <c r="F68" s="127">
        <v>1180.83</v>
      </c>
      <c r="G68" s="128">
        <v>1215.56</v>
      </c>
      <c r="H68" s="123">
        <v>5020.5</v>
      </c>
      <c r="I68" s="127">
        <v>4874.0600000000004</v>
      </c>
      <c r="J68" s="128">
        <v>4947.2800000000007</v>
      </c>
      <c r="K68" s="127">
        <v>1861.77</v>
      </c>
      <c r="L68" s="127">
        <v>1826.9</v>
      </c>
      <c r="M68" s="128">
        <v>1844.335</v>
      </c>
      <c r="N68" s="127">
        <v>180.506</v>
      </c>
      <c r="O68" s="127">
        <v>172.31</v>
      </c>
      <c r="P68" s="128">
        <v>176.40800000000002</v>
      </c>
      <c r="R68" s="25">
        <v>2050</v>
      </c>
      <c r="S68" s="129">
        <v>18.463799999999999</v>
      </c>
      <c r="T68" s="127">
        <v>25.328499999999998</v>
      </c>
      <c r="U68" s="130">
        <v>32.193199999999997</v>
      </c>
      <c r="V68" s="124">
        <v>63.912999999999997</v>
      </c>
      <c r="W68" s="127">
        <v>89.951499999999996</v>
      </c>
      <c r="X68" s="130">
        <v>115.99</v>
      </c>
      <c r="Y68" s="124">
        <v>58.231900000000003</v>
      </c>
      <c r="Z68" s="127">
        <v>81.429950000000005</v>
      </c>
      <c r="AA68" s="130">
        <v>104.628</v>
      </c>
      <c r="AB68" s="124">
        <v>83.7971</v>
      </c>
      <c r="AC68" s="129">
        <v>95.396050000000002</v>
      </c>
      <c r="AD68" s="130">
        <v>106.995</v>
      </c>
    </row>
    <row r="69" spans="1:30" ht="18.600000000000001" thickBot="1" x14ac:dyDescent="0.35">
      <c r="A69" s="41">
        <v>2023</v>
      </c>
      <c r="B69" s="123">
        <v>1043.8399999999999</v>
      </c>
      <c r="C69" s="127">
        <v>995.60199999999998</v>
      </c>
      <c r="D69" s="127">
        <v>1019.721</v>
      </c>
      <c r="E69" s="123">
        <v>1202.05</v>
      </c>
      <c r="F69" s="127">
        <v>1148.03</v>
      </c>
      <c r="G69" s="128">
        <v>1175.04</v>
      </c>
      <c r="H69" s="123">
        <v>5020.5</v>
      </c>
      <c r="I69" s="127">
        <v>4874.0600000000004</v>
      </c>
      <c r="J69" s="128">
        <v>4947.2800000000007</v>
      </c>
      <c r="K69" s="127">
        <v>1854.79</v>
      </c>
      <c r="L69" s="127">
        <v>1823.42</v>
      </c>
      <c r="M69" s="128">
        <v>1839.105</v>
      </c>
      <c r="N69" s="127">
        <v>166.65100000000001</v>
      </c>
      <c r="O69" s="127">
        <v>157.28399999999999</v>
      </c>
      <c r="P69" s="128">
        <v>161.9675</v>
      </c>
      <c r="R69" s="289" t="s">
        <v>0</v>
      </c>
      <c r="S69" s="410" t="s">
        <v>228</v>
      </c>
      <c r="T69" s="411"/>
      <c r="U69" s="411"/>
      <c r="V69" s="411"/>
      <c r="W69" s="411"/>
      <c r="X69" s="411"/>
      <c r="Y69" s="411"/>
      <c r="Z69" s="411"/>
      <c r="AA69" s="412"/>
    </row>
    <row r="70" spans="1:30" ht="15" thickBot="1" x14ac:dyDescent="0.35">
      <c r="A70" s="41">
        <v>2024</v>
      </c>
      <c r="B70" s="123">
        <v>1009.11</v>
      </c>
      <c r="C70" s="127">
        <v>955.08299999999997</v>
      </c>
      <c r="D70" s="127">
        <v>982.09649999999999</v>
      </c>
      <c r="E70" s="123">
        <v>1157.68</v>
      </c>
      <c r="F70" s="127">
        <v>1088.22</v>
      </c>
      <c r="G70" s="128">
        <v>1122.95</v>
      </c>
      <c r="H70" s="123">
        <v>5020.5</v>
      </c>
      <c r="I70" s="127">
        <v>4874.0600000000004</v>
      </c>
      <c r="J70" s="128">
        <v>4947.2800000000007</v>
      </c>
      <c r="K70" s="127">
        <v>1826.9</v>
      </c>
      <c r="L70" s="127">
        <v>1816.44</v>
      </c>
      <c r="M70" s="128">
        <v>1821.67</v>
      </c>
      <c r="N70" s="127">
        <v>152.79599999999999</v>
      </c>
      <c r="O70" s="127">
        <v>141.08699999999999</v>
      </c>
      <c r="P70" s="128">
        <v>146.94149999999999</v>
      </c>
      <c r="R70" s="344"/>
      <c r="S70" s="419" t="s">
        <v>263</v>
      </c>
      <c r="T70" s="420"/>
      <c r="U70" s="421"/>
      <c r="V70" s="419" t="s">
        <v>264</v>
      </c>
      <c r="W70" s="420"/>
      <c r="X70" s="421"/>
      <c r="Y70" s="419" t="s">
        <v>265</v>
      </c>
      <c r="Z70" s="420"/>
      <c r="AA70" s="421"/>
    </row>
    <row r="71" spans="1:30" ht="15" thickBot="1" x14ac:dyDescent="0.35">
      <c r="A71" s="41">
        <v>2025</v>
      </c>
      <c r="B71" s="123">
        <v>920.35299999999995</v>
      </c>
      <c r="C71" s="127">
        <v>922.28200000000004</v>
      </c>
      <c r="D71" s="127">
        <v>921.3175</v>
      </c>
      <c r="E71" s="123">
        <v>1049.6300000000001</v>
      </c>
      <c r="F71" s="127">
        <v>1049.6300000000001</v>
      </c>
      <c r="G71" s="128">
        <v>1049.6300000000001</v>
      </c>
      <c r="H71" s="123">
        <v>5020.5</v>
      </c>
      <c r="I71" s="127">
        <v>4874.0600000000004</v>
      </c>
      <c r="J71" s="128">
        <v>4947.2800000000007</v>
      </c>
      <c r="K71" s="127">
        <v>1805.98</v>
      </c>
      <c r="L71" s="127">
        <v>1805.98</v>
      </c>
      <c r="M71" s="128">
        <v>1805.98</v>
      </c>
      <c r="N71" s="127">
        <v>139.136</v>
      </c>
      <c r="O71" s="127">
        <v>125.67100000000001</v>
      </c>
      <c r="P71" s="128">
        <v>132.40350000000001</v>
      </c>
      <c r="R71" s="290"/>
      <c r="S71" s="78" t="s">
        <v>18</v>
      </c>
      <c r="T71" s="79" t="s">
        <v>19</v>
      </c>
      <c r="U71" s="80" t="s">
        <v>22</v>
      </c>
      <c r="V71" s="78" t="s">
        <v>18</v>
      </c>
      <c r="W71" s="79" t="s">
        <v>19</v>
      </c>
      <c r="X71" s="80" t="s">
        <v>22</v>
      </c>
      <c r="Y71" s="78" t="s">
        <v>18</v>
      </c>
      <c r="Z71" s="79" t="s">
        <v>19</v>
      </c>
      <c r="AA71" s="80" t="s">
        <v>22</v>
      </c>
      <c r="AD71" s="127"/>
    </row>
    <row r="72" spans="1:30" x14ac:dyDescent="0.3">
      <c r="A72" s="41">
        <v>2026</v>
      </c>
      <c r="B72" s="123">
        <v>843.17399999999998</v>
      </c>
      <c r="C72" s="127">
        <v>889.48099999999999</v>
      </c>
      <c r="D72" s="127">
        <v>866.32749999999999</v>
      </c>
      <c r="E72" s="123">
        <v>974.37800000000004</v>
      </c>
      <c r="F72" s="127">
        <v>1014.9</v>
      </c>
      <c r="G72" s="128">
        <v>994.63900000000001</v>
      </c>
      <c r="H72" s="123">
        <v>5020.5</v>
      </c>
      <c r="I72" s="127">
        <v>4874.0600000000004</v>
      </c>
      <c r="J72" s="128">
        <v>4947.2800000000007</v>
      </c>
      <c r="K72" s="127">
        <v>1792.04</v>
      </c>
      <c r="L72" s="127">
        <v>1805.98</v>
      </c>
      <c r="M72" s="128">
        <v>1799.01</v>
      </c>
      <c r="N72" s="127">
        <v>109.669</v>
      </c>
      <c r="O72" s="127">
        <v>100.303</v>
      </c>
      <c r="P72" s="128">
        <v>104.98599999999999</v>
      </c>
      <c r="R72" s="52">
        <v>2020</v>
      </c>
      <c r="S72" s="122">
        <v>50.256399999999999</v>
      </c>
      <c r="T72" s="125">
        <v>56.789749999999998</v>
      </c>
      <c r="U72" s="126">
        <v>63.323099999999997</v>
      </c>
      <c r="V72" s="122">
        <v>95.989699999999999</v>
      </c>
      <c r="W72" s="125">
        <v>108.80535</v>
      </c>
      <c r="X72" s="126">
        <v>121.621</v>
      </c>
      <c r="Y72" s="122">
        <v>81.415400000000005</v>
      </c>
      <c r="Z72" s="125">
        <v>92.471699999999998</v>
      </c>
      <c r="AA72" s="126">
        <v>103.52800000000001</v>
      </c>
      <c r="AD72" s="127"/>
    </row>
    <row r="73" spans="1:30" x14ac:dyDescent="0.3">
      <c r="A73" s="41">
        <v>2027</v>
      </c>
      <c r="B73" s="123">
        <v>818.09100000000001</v>
      </c>
      <c r="C73" s="127">
        <v>864.39800000000002</v>
      </c>
      <c r="D73" s="127">
        <v>841.24450000000002</v>
      </c>
      <c r="E73" s="123">
        <v>943.50599999999997</v>
      </c>
      <c r="F73" s="127">
        <v>985.95399999999995</v>
      </c>
      <c r="G73" s="128">
        <v>964.73</v>
      </c>
      <c r="H73" s="123">
        <v>5020.5</v>
      </c>
      <c r="I73" s="127">
        <v>4874.0600000000004</v>
      </c>
      <c r="J73" s="128">
        <v>4947.2800000000007</v>
      </c>
      <c r="K73" s="127">
        <v>1781.58</v>
      </c>
      <c r="L73" s="127">
        <v>1802.5</v>
      </c>
      <c r="M73" s="128">
        <v>1792.04</v>
      </c>
      <c r="N73" s="127">
        <v>87.033100000000005</v>
      </c>
      <c r="O73" s="127">
        <v>82.154499999999999</v>
      </c>
      <c r="P73" s="128">
        <v>84.593800000000002</v>
      </c>
      <c r="R73" s="24">
        <v>2030</v>
      </c>
      <c r="S73" s="123">
        <v>47.059399999999997</v>
      </c>
      <c r="T73" s="127">
        <v>53.366349999999997</v>
      </c>
      <c r="U73" s="128">
        <v>59.673299999999998</v>
      </c>
      <c r="V73" s="123">
        <v>80.534700000000001</v>
      </c>
      <c r="W73" s="127">
        <v>93.876350000000002</v>
      </c>
      <c r="X73" s="128">
        <v>107.218</v>
      </c>
      <c r="Y73" s="123">
        <v>76.653499999999994</v>
      </c>
      <c r="Z73" s="127">
        <v>88.054450000000003</v>
      </c>
      <c r="AA73" s="128">
        <v>99.455399999999997</v>
      </c>
      <c r="AD73" s="127"/>
    </row>
    <row r="74" spans="1:30" x14ac:dyDescent="0.3">
      <c r="A74" s="41">
        <v>2028</v>
      </c>
      <c r="B74" s="123">
        <v>794.93799999999999</v>
      </c>
      <c r="C74" s="127">
        <v>835.45600000000002</v>
      </c>
      <c r="D74" s="127">
        <v>815.197</v>
      </c>
      <c r="E74" s="123">
        <v>918.423</v>
      </c>
      <c r="F74" s="127">
        <v>949.29499999999996</v>
      </c>
      <c r="G74" s="128">
        <v>933.85899999999992</v>
      </c>
      <c r="H74" s="123">
        <v>4992.6000000000004</v>
      </c>
      <c r="I74" s="127">
        <v>4874.0600000000004</v>
      </c>
      <c r="J74" s="128">
        <v>4933.33</v>
      </c>
      <c r="K74" s="127">
        <v>1767.63</v>
      </c>
      <c r="L74" s="127">
        <v>1795.52</v>
      </c>
      <c r="M74" s="128">
        <v>1781.575</v>
      </c>
      <c r="N74" s="127">
        <v>73.373199999999997</v>
      </c>
      <c r="O74" s="127">
        <v>70.250900000000001</v>
      </c>
      <c r="P74" s="128">
        <v>71.812049999999999</v>
      </c>
      <c r="R74" s="24">
        <v>2040</v>
      </c>
      <c r="S74" s="123">
        <v>43.2913</v>
      </c>
      <c r="T74" s="127">
        <v>49.951499999999996</v>
      </c>
      <c r="U74" s="128">
        <v>56.611699999999999</v>
      </c>
      <c r="V74" s="123">
        <v>74.2136</v>
      </c>
      <c r="W74" s="127">
        <v>88.961299999999994</v>
      </c>
      <c r="X74" s="128">
        <v>103.709</v>
      </c>
      <c r="Y74" s="123">
        <v>70.883499999999998</v>
      </c>
      <c r="Z74" s="127">
        <v>83.728149999999999</v>
      </c>
      <c r="AA74" s="128">
        <v>96.572800000000001</v>
      </c>
      <c r="AD74" s="127"/>
    </row>
    <row r="75" spans="1:30" ht="15" thickBot="1" x14ac:dyDescent="0.35">
      <c r="A75" s="41">
        <v>2029</v>
      </c>
      <c r="B75" s="123">
        <v>773.71400000000006</v>
      </c>
      <c r="C75" s="127">
        <v>800.726</v>
      </c>
      <c r="D75" s="127">
        <v>787.22</v>
      </c>
      <c r="E75" s="123">
        <v>889.48099999999999</v>
      </c>
      <c r="F75" s="127">
        <v>918.423</v>
      </c>
      <c r="G75" s="128">
        <v>903.952</v>
      </c>
      <c r="H75" s="123">
        <v>4957.74</v>
      </c>
      <c r="I75" s="127">
        <v>4874.0600000000004</v>
      </c>
      <c r="J75" s="128">
        <v>4915.8999999999996</v>
      </c>
      <c r="K75" s="127">
        <v>1760.66</v>
      </c>
      <c r="L75" s="127">
        <v>1795.52</v>
      </c>
      <c r="M75" s="128">
        <v>1778.0900000000001</v>
      </c>
      <c r="N75" s="127">
        <v>66.152900000000002</v>
      </c>
      <c r="O75" s="127">
        <v>63.2258</v>
      </c>
      <c r="P75" s="128">
        <v>64.689350000000005</v>
      </c>
      <c r="R75" s="25">
        <v>2050</v>
      </c>
      <c r="S75" s="124">
        <v>41.188400000000001</v>
      </c>
      <c r="T75" s="129">
        <v>48.52655</v>
      </c>
      <c r="U75" s="130">
        <v>55.864699999999999</v>
      </c>
      <c r="V75" s="124">
        <v>70.5411</v>
      </c>
      <c r="W75" s="129">
        <v>86.164050000000003</v>
      </c>
      <c r="X75" s="130">
        <v>101.78700000000001</v>
      </c>
      <c r="Y75" s="124">
        <v>67.700500000000005</v>
      </c>
      <c r="Z75" s="129">
        <v>81.193250000000006</v>
      </c>
      <c r="AA75" s="130">
        <v>94.686000000000007</v>
      </c>
      <c r="AD75" s="127"/>
    </row>
    <row r="76" spans="1:30" x14ac:dyDescent="0.3">
      <c r="A76" s="41">
        <v>2030</v>
      </c>
      <c r="B76" s="123">
        <v>760.20699999999999</v>
      </c>
      <c r="C76" s="127">
        <v>775.64300000000003</v>
      </c>
      <c r="D76" s="127">
        <v>767.92499999999995</v>
      </c>
      <c r="E76" s="123">
        <v>877.90499999999997</v>
      </c>
      <c r="F76" s="127">
        <v>879.83399999999995</v>
      </c>
      <c r="G76" s="128">
        <v>878.86950000000002</v>
      </c>
      <c r="H76" s="123">
        <v>4936.82</v>
      </c>
      <c r="I76" s="127">
        <v>4874.0600000000004</v>
      </c>
      <c r="J76" s="128">
        <v>4905.4400000000005</v>
      </c>
      <c r="K76" s="127">
        <v>1750.2</v>
      </c>
      <c r="L76" s="127">
        <v>1792.04</v>
      </c>
      <c r="M76" s="128">
        <v>1771.12</v>
      </c>
      <c r="N76" s="127">
        <v>47.224200000000003</v>
      </c>
      <c r="O76" s="127">
        <v>45.858199999999997</v>
      </c>
      <c r="P76" s="128">
        <v>46.541200000000003</v>
      </c>
    </row>
    <row r="77" spans="1:30" x14ac:dyDescent="0.3">
      <c r="A77" s="41">
        <v>2031</v>
      </c>
      <c r="B77" s="123">
        <v>735.12400000000002</v>
      </c>
      <c r="C77" s="127">
        <v>750.56</v>
      </c>
      <c r="D77" s="127">
        <v>742.84199999999998</v>
      </c>
      <c r="E77" s="123">
        <v>852.822</v>
      </c>
      <c r="F77" s="127">
        <v>854.75099999999998</v>
      </c>
      <c r="G77" s="128">
        <v>853.78649999999993</v>
      </c>
      <c r="H77" s="123">
        <v>4936.82</v>
      </c>
      <c r="I77" s="127">
        <v>4874.0600000000004</v>
      </c>
      <c r="J77" s="128">
        <v>4905.4400000000005</v>
      </c>
      <c r="K77" s="127">
        <v>1732.77</v>
      </c>
      <c r="L77" s="127">
        <v>1788.55</v>
      </c>
      <c r="M77" s="128">
        <v>1760.6599999999999</v>
      </c>
      <c r="N77" s="127">
        <v>47.419400000000003</v>
      </c>
      <c r="O77" s="127">
        <v>45.4679</v>
      </c>
      <c r="P77" s="128">
        <v>46.443650000000005</v>
      </c>
    </row>
    <row r="78" spans="1:30" x14ac:dyDescent="0.3">
      <c r="A78" s="41">
        <v>2032</v>
      </c>
      <c r="B78" s="123">
        <v>725.47699999999998</v>
      </c>
      <c r="C78" s="127">
        <v>737.05399999999997</v>
      </c>
      <c r="D78" s="127">
        <v>731.26549999999997</v>
      </c>
      <c r="E78" s="123">
        <v>835.45600000000002</v>
      </c>
      <c r="F78" s="127">
        <v>839.31500000000005</v>
      </c>
      <c r="G78" s="128">
        <v>837.38550000000009</v>
      </c>
      <c r="H78" s="123">
        <v>4936.82</v>
      </c>
      <c r="I78" s="127">
        <v>4804.34</v>
      </c>
      <c r="J78" s="128">
        <v>4870.58</v>
      </c>
      <c r="K78" s="127">
        <v>1732.77</v>
      </c>
      <c r="L78" s="127">
        <v>1785.07</v>
      </c>
      <c r="M78" s="128">
        <v>1758.92</v>
      </c>
      <c r="N78" s="127">
        <v>46.8339</v>
      </c>
      <c r="O78" s="127">
        <v>45.272799999999997</v>
      </c>
      <c r="P78" s="128">
        <v>46.053349999999995</v>
      </c>
    </row>
    <row r="79" spans="1:30" x14ac:dyDescent="0.3">
      <c r="A79" s="41">
        <v>2033</v>
      </c>
      <c r="B79" s="123">
        <v>713.9</v>
      </c>
      <c r="C79" s="127">
        <v>723.548</v>
      </c>
      <c r="D79" s="127">
        <v>718.72399999999993</v>
      </c>
      <c r="E79" s="123">
        <v>821.95</v>
      </c>
      <c r="F79" s="127">
        <v>821.95</v>
      </c>
      <c r="G79" s="128">
        <v>821.95</v>
      </c>
      <c r="H79" s="123">
        <v>4936.82</v>
      </c>
      <c r="I79" s="127">
        <v>4762.5</v>
      </c>
      <c r="J79" s="128">
        <v>4849.66</v>
      </c>
      <c r="K79" s="127">
        <v>1725.8</v>
      </c>
      <c r="L79" s="127">
        <v>1767.63</v>
      </c>
      <c r="M79" s="128">
        <v>1746.7150000000001</v>
      </c>
      <c r="N79" s="127">
        <v>46.638800000000003</v>
      </c>
      <c r="O79" s="127">
        <v>44.8825</v>
      </c>
      <c r="P79" s="128">
        <v>45.760649999999998</v>
      </c>
    </row>
    <row r="80" spans="1:30" x14ac:dyDescent="0.3">
      <c r="A80" s="41">
        <v>2034</v>
      </c>
      <c r="B80" s="123">
        <v>700.39400000000001</v>
      </c>
      <c r="C80" s="127">
        <v>706.18299999999999</v>
      </c>
      <c r="D80" s="127">
        <v>703.2885</v>
      </c>
      <c r="E80" s="123">
        <v>806.51499999999999</v>
      </c>
      <c r="F80" s="127">
        <v>804.58500000000004</v>
      </c>
      <c r="G80" s="128">
        <v>805.55</v>
      </c>
      <c r="H80" s="123">
        <v>4936.82</v>
      </c>
      <c r="I80" s="127">
        <v>4351.1000000000004</v>
      </c>
      <c r="J80" s="128">
        <v>4643.96</v>
      </c>
      <c r="K80" s="127">
        <v>1718.82</v>
      </c>
      <c r="L80" s="127">
        <v>1743.23</v>
      </c>
      <c r="M80" s="128">
        <v>1731.0250000000001</v>
      </c>
      <c r="N80" s="127">
        <v>46.053400000000003</v>
      </c>
      <c r="O80" s="127">
        <v>44.2971</v>
      </c>
      <c r="P80" s="128">
        <v>45.175250000000005</v>
      </c>
    </row>
    <row r="81" spans="1:16" x14ac:dyDescent="0.3">
      <c r="A81" s="41">
        <v>2035</v>
      </c>
      <c r="B81" s="123">
        <v>696.53499999999997</v>
      </c>
      <c r="C81" s="127">
        <v>698.46500000000003</v>
      </c>
      <c r="D81" s="127">
        <v>697.5</v>
      </c>
      <c r="E81" s="123">
        <v>798.79700000000003</v>
      </c>
      <c r="F81" s="127">
        <v>793.00800000000004</v>
      </c>
      <c r="G81" s="128">
        <v>795.90250000000003</v>
      </c>
      <c r="H81" s="123">
        <v>4769.47</v>
      </c>
      <c r="I81" s="127">
        <v>4176.7700000000004</v>
      </c>
      <c r="J81" s="128">
        <v>4473.1200000000008</v>
      </c>
      <c r="K81" s="127">
        <v>1708.36</v>
      </c>
      <c r="L81" s="127">
        <v>1739.74</v>
      </c>
      <c r="M81" s="128">
        <v>1724.05</v>
      </c>
      <c r="N81" s="127">
        <v>46.053400000000003</v>
      </c>
      <c r="O81" s="127">
        <v>44.101999999999997</v>
      </c>
      <c r="P81" s="128">
        <v>45.0777</v>
      </c>
    </row>
    <row r="82" spans="1:16" x14ac:dyDescent="0.3">
      <c r="A82" s="41">
        <v>2036</v>
      </c>
      <c r="B82" s="123">
        <v>683.029</v>
      </c>
      <c r="C82" s="127">
        <v>673.38199999999995</v>
      </c>
      <c r="D82" s="127">
        <v>678.20550000000003</v>
      </c>
      <c r="E82" s="123">
        <v>777.57299999999998</v>
      </c>
      <c r="F82" s="127">
        <v>769.85500000000002</v>
      </c>
      <c r="G82" s="128">
        <v>773.71399999999994</v>
      </c>
      <c r="H82" s="123">
        <v>4567.26</v>
      </c>
      <c r="I82" s="127">
        <v>4114.0200000000004</v>
      </c>
      <c r="J82" s="128">
        <v>4340.6400000000003</v>
      </c>
      <c r="K82" s="127">
        <v>1704.88</v>
      </c>
      <c r="L82" s="127">
        <v>1743.23</v>
      </c>
      <c r="M82" s="128">
        <v>1724.0550000000001</v>
      </c>
      <c r="N82" s="127">
        <v>45.6631</v>
      </c>
      <c r="O82" s="127">
        <v>43.906799999999997</v>
      </c>
      <c r="P82" s="128">
        <v>44.784949999999995</v>
      </c>
    </row>
    <row r="83" spans="1:16" x14ac:dyDescent="0.3">
      <c r="A83" s="41">
        <v>2037</v>
      </c>
      <c r="B83" s="123">
        <v>671.452</v>
      </c>
      <c r="C83" s="127">
        <v>661.80499999999995</v>
      </c>
      <c r="D83" s="127">
        <v>666.62850000000003</v>
      </c>
      <c r="E83" s="123">
        <v>777.57299999999998</v>
      </c>
      <c r="F83" s="127">
        <v>754.41899999999998</v>
      </c>
      <c r="G83" s="128">
        <v>765.99599999999998</v>
      </c>
      <c r="H83" s="123">
        <v>4344.12</v>
      </c>
      <c r="I83" s="127">
        <v>3946.67</v>
      </c>
      <c r="J83" s="128">
        <v>4145.3950000000004</v>
      </c>
      <c r="K83" s="127">
        <v>1697.9</v>
      </c>
      <c r="L83" s="127">
        <v>1743.23</v>
      </c>
      <c r="M83" s="128">
        <v>1720.5650000000001</v>
      </c>
      <c r="N83" s="127">
        <v>45.0777</v>
      </c>
      <c r="O83" s="127">
        <v>43.7117</v>
      </c>
      <c r="P83" s="128">
        <v>44.3947</v>
      </c>
    </row>
    <row r="84" spans="1:16" x14ac:dyDescent="0.3">
      <c r="A84" s="41">
        <v>2038</v>
      </c>
      <c r="B84" s="123">
        <v>665.66399999999999</v>
      </c>
      <c r="C84" s="127">
        <v>656.01700000000005</v>
      </c>
      <c r="D84" s="127">
        <v>660.84050000000002</v>
      </c>
      <c r="E84" s="123">
        <v>765.99599999999998</v>
      </c>
      <c r="F84" s="127">
        <v>746.70100000000002</v>
      </c>
      <c r="G84" s="128">
        <v>756.34850000000006</v>
      </c>
      <c r="H84" s="123">
        <v>4239.53</v>
      </c>
      <c r="I84" s="127">
        <v>3821.15</v>
      </c>
      <c r="J84" s="128">
        <v>4030.34</v>
      </c>
      <c r="K84" s="127">
        <v>1697.9</v>
      </c>
      <c r="L84" s="127">
        <v>1739.74</v>
      </c>
      <c r="M84" s="128">
        <v>1718.8200000000002</v>
      </c>
      <c r="N84" s="127">
        <v>44.687399999999997</v>
      </c>
      <c r="O84" s="127">
        <v>43.321399999999997</v>
      </c>
      <c r="P84" s="128">
        <v>44.004399999999997</v>
      </c>
    </row>
    <row r="85" spans="1:16" x14ac:dyDescent="0.3">
      <c r="A85" s="41">
        <v>2039</v>
      </c>
      <c r="B85" s="123">
        <v>659.87599999999998</v>
      </c>
      <c r="C85" s="127">
        <v>646.36900000000003</v>
      </c>
      <c r="D85" s="127">
        <v>653.12249999999995</v>
      </c>
      <c r="E85" s="123">
        <v>760.20699999999999</v>
      </c>
      <c r="F85" s="127">
        <v>740.91300000000001</v>
      </c>
      <c r="G85" s="128">
        <v>750.56</v>
      </c>
      <c r="H85" s="123">
        <v>4058.23</v>
      </c>
      <c r="I85" s="127">
        <v>3744.45</v>
      </c>
      <c r="J85" s="128">
        <v>3901.34</v>
      </c>
      <c r="K85" s="127">
        <v>1694.42</v>
      </c>
      <c r="L85" s="127">
        <v>1736.25</v>
      </c>
      <c r="M85" s="128">
        <v>1715.335</v>
      </c>
      <c r="N85" s="127">
        <v>44.687399999999997</v>
      </c>
      <c r="O85" s="127">
        <v>42.931100000000001</v>
      </c>
      <c r="P85" s="128">
        <v>43.809249999999999</v>
      </c>
    </row>
    <row r="86" spans="1:16" x14ac:dyDescent="0.3">
      <c r="A86" s="41">
        <v>2040</v>
      </c>
      <c r="B86" s="123">
        <v>652.15800000000002</v>
      </c>
      <c r="C86" s="127">
        <v>642.51</v>
      </c>
      <c r="D86" s="127">
        <v>647.33400000000006</v>
      </c>
      <c r="E86" s="123">
        <v>746.70100000000002</v>
      </c>
      <c r="F86" s="127">
        <v>731.26599999999996</v>
      </c>
      <c r="G86" s="128">
        <v>738.98350000000005</v>
      </c>
      <c r="H86" s="123">
        <v>3925.75</v>
      </c>
      <c r="I86" s="127">
        <v>3681.7</v>
      </c>
      <c r="J86" s="128">
        <v>3803.7249999999999</v>
      </c>
      <c r="K86" s="127">
        <v>1687.44</v>
      </c>
      <c r="L86" s="127">
        <v>1732.77</v>
      </c>
      <c r="M86" s="128">
        <v>1710.105</v>
      </c>
      <c r="N86" s="127">
        <v>44.687399999999997</v>
      </c>
      <c r="O86" s="127">
        <v>42.931100000000001</v>
      </c>
      <c r="P86" s="128">
        <v>43.809249999999999</v>
      </c>
    </row>
    <row r="87" spans="1:16" x14ac:dyDescent="0.3">
      <c r="A87" s="41">
        <v>2041</v>
      </c>
      <c r="B87" s="123">
        <v>638.65099999999995</v>
      </c>
      <c r="C87" s="127">
        <v>623.21600000000001</v>
      </c>
      <c r="D87" s="127">
        <v>630.93349999999998</v>
      </c>
      <c r="E87" s="123">
        <v>735.12400000000002</v>
      </c>
      <c r="F87" s="127">
        <v>711.971</v>
      </c>
      <c r="G87" s="128">
        <v>723.54750000000001</v>
      </c>
      <c r="H87" s="123">
        <v>3835.1</v>
      </c>
      <c r="I87" s="127">
        <v>3625.91</v>
      </c>
      <c r="J87" s="128">
        <v>3730.5050000000001</v>
      </c>
      <c r="K87" s="127">
        <v>1680.47</v>
      </c>
      <c r="L87" s="127">
        <v>1725.8</v>
      </c>
      <c r="M87" s="128">
        <v>1703.135</v>
      </c>
      <c r="N87" s="127">
        <v>44.2971</v>
      </c>
      <c r="O87" s="127">
        <v>42.735999999999997</v>
      </c>
      <c r="P87" s="128">
        <v>43.516549999999995</v>
      </c>
    </row>
    <row r="88" spans="1:16" x14ac:dyDescent="0.3">
      <c r="A88" s="41">
        <v>2042</v>
      </c>
      <c r="B88" s="123">
        <v>632.86300000000006</v>
      </c>
      <c r="C88" s="127">
        <v>605.851</v>
      </c>
      <c r="D88" s="127">
        <v>619.35699999999997</v>
      </c>
      <c r="E88" s="123">
        <v>729.33600000000001</v>
      </c>
      <c r="F88" s="127">
        <v>692.67600000000004</v>
      </c>
      <c r="G88" s="128">
        <v>711.00600000000009</v>
      </c>
      <c r="H88" s="123">
        <v>3772.34</v>
      </c>
      <c r="I88" s="127">
        <v>3604.99</v>
      </c>
      <c r="J88" s="128">
        <v>3688.665</v>
      </c>
      <c r="K88" s="127">
        <v>1676.98</v>
      </c>
      <c r="L88" s="127">
        <v>1722.31</v>
      </c>
      <c r="M88" s="128">
        <v>1699.645</v>
      </c>
      <c r="N88" s="127">
        <v>44.2971</v>
      </c>
      <c r="O88" s="127">
        <v>42.540799999999997</v>
      </c>
      <c r="P88" s="128">
        <v>43.418949999999995</v>
      </c>
    </row>
    <row r="89" spans="1:16" x14ac:dyDescent="0.3">
      <c r="A89" s="41">
        <v>2043</v>
      </c>
      <c r="B89" s="123">
        <v>617.42700000000002</v>
      </c>
      <c r="C89" s="127">
        <v>586.55600000000004</v>
      </c>
      <c r="D89" s="127">
        <v>601.99150000000009</v>
      </c>
      <c r="E89" s="123">
        <v>711.971</v>
      </c>
      <c r="F89" s="127">
        <v>673.38199999999995</v>
      </c>
      <c r="G89" s="128">
        <v>692.67650000000003</v>
      </c>
      <c r="H89" s="123">
        <v>3723.53</v>
      </c>
      <c r="I89" s="127">
        <v>3577.1</v>
      </c>
      <c r="J89" s="128">
        <v>3650.3150000000001</v>
      </c>
      <c r="K89" s="127">
        <v>1676.98</v>
      </c>
      <c r="L89" s="127">
        <v>1718.82</v>
      </c>
      <c r="M89" s="128">
        <v>1697.9</v>
      </c>
      <c r="N89" s="127">
        <v>44.101999999999997</v>
      </c>
      <c r="O89" s="127">
        <v>42.540799999999997</v>
      </c>
      <c r="P89" s="128">
        <v>43.321399999999997</v>
      </c>
    </row>
    <row r="90" spans="1:16" x14ac:dyDescent="0.3">
      <c r="A90" s="41">
        <v>2044</v>
      </c>
      <c r="B90" s="123">
        <v>603.92100000000005</v>
      </c>
      <c r="C90" s="127">
        <v>569.19100000000003</v>
      </c>
      <c r="D90" s="127">
        <v>586.55600000000004</v>
      </c>
      <c r="E90" s="123">
        <v>688.81700000000001</v>
      </c>
      <c r="F90" s="127">
        <v>654.08699999999999</v>
      </c>
      <c r="G90" s="128">
        <v>671.452</v>
      </c>
      <c r="H90" s="123">
        <v>3695.64</v>
      </c>
      <c r="I90" s="127">
        <v>3542.24</v>
      </c>
      <c r="J90" s="128">
        <v>3618.9399999999996</v>
      </c>
      <c r="K90" s="127">
        <v>1670.01</v>
      </c>
      <c r="L90" s="127">
        <v>1715.34</v>
      </c>
      <c r="M90" s="128">
        <v>1692.675</v>
      </c>
      <c r="N90" s="127">
        <v>43.906799999999997</v>
      </c>
      <c r="O90" s="127">
        <v>42.540799999999997</v>
      </c>
      <c r="P90" s="128">
        <v>43.223799999999997</v>
      </c>
    </row>
    <row r="91" spans="1:16" x14ac:dyDescent="0.3">
      <c r="A91" s="41">
        <v>2045</v>
      </c>
      <c r="B91" s="123">
        <v>586.55600000000004</v>
      </c>
      <c r="C91" s="127">
        <v>553.755</v>
      </c>
      <c r="D91" s="127">
        <v>570.15550000000007</v>
      </c>
      <c r="E91" s="123">
        <v>675.31100000000004</v>
      </c>
      <c r="F91" s="127">
        <v>634.79300000000001</v>
      </c>
      <c r="G91" s="128">
        <v>655.05200000000002</v>
      </c>
      <c r="H91" s="123">
        <v>3660.78</v>
      </c>
      <c r="I91" s="127">
        <v>3521.32</v>
      </c>
      <c r="J91" s="128">
        <v>3591.05</v>
      </c>
      <c r="K91" s="127">
        <v>1666.53</v>
      </c>
      <c r="L91" s="127">
        <v>1711.85</v>
      </c>
      <c r="M91" s="128">
        <v>1689.19</v>
      </c>
      <c r="N91" s="127">
        <v>43.906799999999997</v>
      </c>
      <c r="O91" s="127">
        <v>41.955399999999997</v>
      </c>
      <c r="P91" s="128">
        <v>42.931100000000001</v>
      </c>
    </row>
    <row r="92" spans="1:16" x14ac:dyDescent="0.3">
      <c r="A92" s="41">
        <v>2046</v>
      </c>
      <c r="B92" s="123">
        <v>567.26099999999997</v>
      </c>
      <c r="C92" s="127">
        <v>538.32000000000005</v>
      </c>
      <c r="D92" s="127">
        <v>552.79050000000007</v>
      </c>
      <c r="E92" s="123">
        <v>652.15800000000002</v>
      </c>
      <c r="F92" s="127">
        <v>617.42700000000002</v>
      </c>
      <c r="G92" s="128">
        <v>634.79250000000002</v>
      </c>
      <c r="H92" s="123">
        <v>3625.91</v>
      </c>
      <c r="I92" s="127">
        <v>3507.37</v>
      </c>
      <c r="J92" s="128">
        <v>3566.64</v>
      </c>
      <c r="K92" s="127">
        <v>1663.04</v>
      </c>
      <c r="L92" s="127">
        <v>1711.85</v>
      </c>
      <c r="M92" s="128">
        <v>1687.4449999999999</v>
      </c>
      <c r="N92" s="127">
        <v>43.7117</v>
      </c>
      <c r="O92" s="127">
        <v>41.37</v>
      </c>
      <c r="P92" s="128">
        <v>42.540849999999999</v>
      </c>
    </row>
    <row r="93" spans="1:16" x14ac:dyDescent="0.3">
      <c r="A93" s="41">
        <v>2047</v>
      </c>
      <c r="B93" s="123">
        <v>559.54399999999998</v>
      </c>
      <c r="C93" s="127">
        <v>532.53099999999995</v>
      </c>
      <c r="D93" s="127">
        <v>546.03749999999991</v>
      </c>
      <c r="E93" s="123">
        <v>648.29899999999998</v>
      </c>
      <c r="F93" s="127">
        <v>603.92100000000005</v>
      </c>
      <c r="G93" s="128">
        <v>626.11</v>
      </c>
      <c r="H93" s="123">
        <v>3611.97</v>
      </c>
      <c r="I93" s="127">
        <v>3444.62</v>
      </c>
      <c r="J93" s="128">
        <v>3528.2950000000001</v>
      </c>
      <c r="K93" s="127">
        <v>1652.58</v>
      </c>
      <c r="L93" s="127">
        <v>1711.85</v>
      </c>
      <c r="M93" s="128">
        <v>1682.2149999999999</v>
      </c>
      <c r="N93" s="127">
        <v>43.7117</v>
      </c>
      <c r="O93" s="127">
        <v>41.37</v>
      </c>
      <c r="P93" s="128">
        <v>42.540849999999999</v>
      </c>
    </row>
    <row r="94" spans="1:16" x14ac:dyDescent="0.3">
      <c r="A94" s="41">
        <v>2048</v>
      </c>
      <c r="B94" s="123">
        <v>555.68499999999995</v>
      </c>
      <c r="C94" s="127">
        <v>526.74300000000005</v>
      </c>
      <c r="D94" s="127">
        <v>541.21399999999994</v>
      </c>
      <c r="E94" s="123">
        <v>634.79300000000001</v>
      </c>
      <c r="F94" s="127">
        <v>592.34400000000005</v>
      </c>
      <c r="G94" s="128">
        <v>613.56850000000009</v>
      </c>
      <c r="H94" s="123">
        <v>3570.13</v>
      </c>
      <c r="I94" s="127">
        <v>3402.78</v>
      </c>
      <c r="J94" s="128">
        <v>3486.4549999999999</v>
      </c>
      <c r="K94" s="127">
        <v>1649.09</v>
      </c>
      <c r="L94" s="127">
        <v>1701.39</v>
      </c>
      <c r="M94" s="128">
        <v>1675.24</v>
      </c>
      <c r="N94" s="127">
        <v>43.516500000000001</v>
      </c>
      <c r="O94" s="127">
        <v>41.174799999999998</v>
      </c>
      <c r="P94" s="128">
        <v>42.345649999999999</v>
      </c>
    </row>
    <row r="95" spans="1:16" x14ac:dyDescent="0.3">
      <c r="A95" s="41">
        <v>2049</v>
      </c>
      <c r="B95" s="123">
        <v>544.10799999999995</v>
      </c>
      <c r="C95" s="127">
        <v>513.23699999999997</v>
      </c>
      <c r="D95" s="127">
        <v>528.6724999999999</v>
      </c>
      <c r="E95" s="123">
        <v>627.07500000000005</v>
      </c>
      <c r="F95" s="127">
        <v>584.62699999999995</v>
      </c>
      <c r="G95" s="128">
        <v>605.851</v>
      </c>
      <c r="H95" s="123">
        <v>3514.35</v>
      </c>
      <c r="I95" s="127">
        <v>3347</v>
      </c>
      <c r="J95" s="128">
        <v>3430.6750000000002</v>
      </c>
      <c r="K95" s="127">
        <v>1652.58</v>
      </c>
      <c r="L95" s="127">
        <v>1701.39</v>
      </c>
      <c r="M95" s="128">
        <v>1676.9850000000001</v>
      </c>
      <c r="N95" s="127">
        <v>43.516500000000001</v>
      </c>
      <c r="O95" s="127">
        <v>41.174799999999998</v>
      </c>
      <c r="P95" s="128">
        <v>42.345649999999999</v>
      </c>
    </row>
    <row r="96" spans="1:16" ht="15" thickBot="1" x14ac:dyDescent="0.35">
      <c r="A96" s="42">
        <v>2050</v>
      </c>
      <c r="B96" s="124">
        <v>536.39</v>
      </c>
      <c r="C96" s="129">
        <v>505.51900000000001</v>
      </c>
      <c r="D96" s="129">
        <v>520.95450000000005</v>
      </c>
      <c r="E96" s="124">
        <v>619.35699999999997</v>
      </c>
      <c r="F96" s="129">
        <v>574.97900000000004</v>
      </c>
      <c r="G96" s="130">
        <v>597.16800000000001</v>
      </c>
      <c r="H96" s="124">
        <v>3451.59</v>
      </c>
      <c r="I96" s="129">
        <v>3291.21</v>
      </c>
      <c r="J96" s="130">
        <v>3371.4</v>
      </c>
      <c r="K96" s="129">
        <v>1642.12</v>
      </c>
      <c r="L96" s="129">
        <v>1694.42</v>
      </c>
      <c r="M96" s="130">
        <v>1668.27</v>
      </c>
      <c r="N96" s="129">
        <v>43.321399999999997</v>
      </c>
      <c r="O96" s="129">
        <v>41.174799999999998</v>
      </c>
      <c r="P96" s="130">
        <v>42.248099999999994</v>
      </c>
    </row>
    <row r="97" spans="1:33" ht="16.2" x14ac:dyDescent="0.3">
      <c r="A97" s="93" t="s">
        <v>251</v>
      </c>
    </row>
    <row r="98" spans="1:33" ht="16.2" x14ac:dyDescent="0.3">
      <c r="A98" s="93" t="s">
        <v>250</v>
      </c>
    </row>
    <row r="99" spans="1:33" ht="16.2" x14ac:dyDescent="0.3">
      <c r="A99" s="93" t="s">
        <v>262</v>
      </c>
    </row>
    <row r="100" spans="1:33" ht="15" thickBot="1" x14ac:dyDescent="0.35"/>
    <row r="101" spans="1:33" ht="18.600000000000001" thickBot="1" x14ac:dyDescent="0.4">
      <c r="A101" s="289" t="s">
        <v>0</v>
      </c>
      <c r="B101" s="380" t="s">
        <v>388</v>
      </c>
      <c r="C101" s="381"/>
      <c r="D101" s="381"/>
      <c r="E101" s="381"/>
      <c r="F101" s="381"/>
      <c r="G101" s="381"/>
      <c r="H101" s="381"/>
      <c r="I101" s="381"/>
      <c r="J101" s="381"/>
      <c r="K101" s="381"/>
      <c r="L101" s="381"/>
      <c r="M101" s="381"/>
      <c r="N101" s="381"/>
      <c r="O101" s="381"/>
      <c r="P101" s="381"/>
      <c r="Q101" s="381"/>
      <c r="R101" s="381"/>
      <c r="S101" s="382"/>
      <c r="U101" s="380" t="s">
        <v>389</v>
      </c>
      <c r="V101" s="381"/>
      <c r="W101" s="381"/>
      <c r="X101" s="381"/>
      <c r="Y101" s="381"/>
      <c r="Z101" s="381"/>
      <c r="AA101" s="381"/>
      <c r="AB101" s="381"/>
      <c r="AC101" s="381"/>
      <c r="AD101" s="381"/>
      <c r="AE101" s="381"/>
      <c r="AF101" s="381"/>
      <c r="AG101" s="382"/>
    </row>
    <row r="102" spans="1:33" ht="18.600000000000001" customHeight="1" thickBot="1" x14ac:dyDescent="0.35">
      <c r="A102" s="344"/>
      <c r="B102" s="422" t="s">
        <v>58</v>
      </c>
      <c r="C102" s="423"/>
      <c r="D102" s="424"/>
      <c r="E102" s="425" t="s">
        <v>155</v>
      </c>
      <c r="F102" s="426"/>
      <c r="G102" s="427"/>
      <c r="H102" s="416" t="s">
        <v>277</v>
      </c>
      <c r="I102" s="417"/>
      <c r="J102" s="418"/>
      <c r="K102" s="428" t="s">
        <v>228</v>
      </c>
      <c r="L102" s="429"/>
      <c r="M102" s="430"/>
      <c r="N102" s="431" t="s">
        <v>59</v>
      </c>
      <c r="O102" s="432"/>
      <c r="P102" s="433"/>
      <c r="Q102" s="341" t="s">
        <v>270</v>
      </c>
      <c r="R102" s="342"/>
      <c r="S102" s="343"/>
      <c r="U102" s="289" t="s">
        <v>0</v>
      </c>
      <c r="V102" s="368" t="s">
        <v>58</v>
      </c>
      <c r="W102" s="369"/>
      <c r="X102" s="369"/>
      <c r="Y102" s="369"/>
      <c r="Z102" s="369"/>
      <c r="AA102" s="369"/>
      <c r="AB102" s="369"/>
      <c r="AC102" s="369"/>
      <c r="AD102" s="370"/>
      <c r="AE102" s="413" t="s">
        <v>266</v>
      </c>
      <c r="AF102" s="414"/>
      <c r="AG102" s="415"/>
    </row>
    <row r="103" spans="1:33" ht="16.8" customHeight="1" thickBot="1" x14ac:dyDescent="0.35">
      <c r="A103" s="290"/>
      <c r="B103" s="29" t="s">
        <v>268</v>
      </c>
      <c r="C103" s="30" t="s">
        <v>267</v>
      </c>
      <c r="D103" s="31" t="s">
        <v>269</v>
      </c>
      <c r="E103" s="29" t="s">
        <v>268</v>
      </c>
      <c r="F103" s="30" t="s">
        <v>267</v>
      </c>
      <c r="G103" s="31" t="s">
        <v>269</v>
      </c>
      <c r="H103" s="29" t="s">
        <v>268</v>
      </c>
      <c r="I103" s="30" t="s">
        <v>267</v>
      </c>
      <c r="J103" s="31" t="s">
        <v>269</v>
      </c>
      <c r="K103" s="29" t="s">
        <v>268</v>
      </c>
      <c r="L103" s="30" t="s">
        <v>267</v>
      </c>
      <c r="M103" s="31" t="s">
        <v>269</v>
      </c>
      <c r="N103" s="29" t="s">
        <v>268</v>
      </c>
      <c r="O103" s="30" t="s">
        <v>267</v>
      </c>
      <c r="P103" s="31" t="s">
        <v>269</v>
      </c>
      <c r="Q103" s="29" t="s">
        <v>268</v>
      </c>
      <c r="R103" s="30" t="s">
        <v>267</v>
      </c>
      <c r="S103" s="31" t="s">
        <v>269</v>
      </c>
      <c r="U103" s="344"/>
      <c r="V103" s="419" t="s">
        <v>263</v>
      </c>
      <c r="W103" s="420"/>
      <c r="X103" s="421"/>
      <c r="Y103" s="419" t="s">
        <v>264</v>
      </c>
      <c r="Z103" s="420"/>
      <c r="AA103" s="421"/>
      <c r="AB103" s="419" t="s">
        <v>265</v>
      </c>
      <c r="AC103" s="420"/>
      <c r="AD103" s="421"/>
      <c r="AE103" s="416"/>
      <c r="AF103" s="417"/>
      <c r="AG103" s="418"/>
    </row>
    <row r="104" spans="1:33" ht="15" thickBot="1" x14ac:dyDescent="0.35">
      <c r="A104" s="41">
        <v>2019</v>
      </c>
      <c r="B104" s="123">
        <v>1258.18</v>
      </c>
      <c r="C104" s="127">
        <v>1258.18</v>
      </c>
      <c r="D104" s="127">
        <v>1258.18</v>
      </c>
      <c r="E104" s="123">
        <v>1162.72</v>
      </c>
      <c r="F104" s="127">
        <v>1162.72</v>
      </c>
      <c r="G104" s="128">
        <v>1162.72</v>
      </c>
      <c r="H104" s="123">
        <v>5736.2</v>
      </c>
      <c r="I104" s="127">
        <v>5736.2</v>
      </c>
      <c r="J104" s="128">
        <v>5736.2</v>
      </c>
      <c r="K104" s="127">
        <v>1640.8799999999999</v>
      </c>
      <c r="L104" s="127">
        <v>1640.8799999999999</v>
      </c>
      <c r="M104" s="128">
        <v>1640.8799999999999</v>
      </c>
      <c r="N104" s="127">
        <v>5220.2</v>
      </c>
      <c r="O104" s="127">
        <v>5220.2</v>
      </c>
      <c r="P104" s="128">
        <v>5220.2</v>
      </c>
      <c r="Q104" s="81">
        <v>422.26</v>
      </c>
      <c r="R104" s="82">
        <v>422.26</v>
      </c>
      <c r="S104" s="88">
        <v>422.26</v>
      </c>
      <c r="U104" s="290"/>
      <c r="V104" s="78" t="s">
        <v>18</v>
      </c>
      <c r="W104" s="79" t="s">
        <v>19</v>
      </c>
      <c r="X104" s="80" t="s">
        <v>22</v>
      </c>
      <c r="Y104" s="78" t="s">
        <v>18</v>
      </c>
      <c r="Z104" s="79" t="s">
        <v>19</v>
      </c>
      <c r="AA104" s="80" t="s">
        <v>22</v>
      </c>
      <c r="AB104" s="78" t="s">
        <v>18</v>
      </c>
      <c r="AC104" s="79" t="s">
        <v>19</v>
      </c>
      <c r="AD104" s="80" t="s">
        <v>22</v>
      </c>
      <c r="AE104" s="78" t="s">
        <v>18</v>
      </c>
      <c r="AF104" s="79" t="s">
        <v>19</v>
      </c>
      <c r="AG104" s="80" t="s">
        <v>22</v>
      </c>
    </row>
    <row r="105" spans="1:33" x14ac:dyDescent="0.3">
      <c r="A105" s="41">
        <v>2020</v>
      </c>
      <c r="B105" s="123">
        <v>1108.54</v>
      </c>
      <c r="C105" s="127">
        <v>1105.0999999999999</v>
      </c>
      <c r="D105" s="127">
        <v>1182.5</v>
      </c>
      <c r="E105" s="123">
        <v>1030.28</v>
      </c>
      <c r="F105" s="127">
        <v>1025.98</v>
      </c>
      <c r="G105" s="128">
        <v>1093.92</v>
      </c>
      <c r="H105" s="123">
        <v>5342.32</v>
      </c>
      <c r="I105" s="127">
        <v>5694.0599999999995</v>
      </c>
      <c r="J105" s="128">
        <v>5497.98</v>
      </c>
      <c r="K105" s="127">
        <v>1626.26</v>
      </c>
      <c r="L105" s="127">
        <v>1620.24</v>
      </c>
      <c r="M105" s="128">
        <v>1628.84</v>
      </c>
      <c r="N105" s="127">
        <v>5214.18</v>
      </c>
      <c r="O105" s="127">
        <v>5214.18</v>
      </c>
      <c r="P105" s="128">
        <v>5183.22</v>
      </c>
      <c r="Q105" s="83">
        <v>368.08</v>
      </c>
      <c r="R105" s="1">
        <v>387.86</v>
      </c>
      <c r="S105" s="89">
        <v>386.14</v>
      </c>
      <c r="U105" s="52">
        <v>2020</v>
      </c>
      <c r="V105" s="125">
        <v>35.26</v>
      </c>
      <c r="W105" s="125">
        <v>43.43</v>
      </c>
      <c r="X105" s="126">
        <v>51.6</v>
      </c>
      <c r="Y105" s="122">
        <v>75.679999999999993</v>
      </c>
      <c r="Z105" s="125">
        <v>95.03</v>
      </c>
      <c r="AA105" s="126">
        <v>114.38</v>
      </c>
      <c r="AB105" s="122">
        <v>86.86</v>
      </c>
      <c r="AC105" s="125">
        <v>108.36</v>
      </c>
      <c r="AD105" s="126">
        <v>129.85999999999999</v>
      </c>
      <c r="AE105" s="122">
        <v>118.67999999999999</v>
      </c>
      <c r="AF105" s="125">
        <v>136.74</v>
      </c>
      <c r="AG105" s="126">
        <v>154.80000000000001</v>
      </c>
    </row>
    <row r="106" spans="1:33" x14ac:dyDescent="0.3">
      <c r="A106" s="41">
        <v>2021</v>
      </c>
      <c r="B106" s="123">
        <v>1011.36</v>
      </c>
      <c r="C106" s="127">
        <v>989</v>
      </c>
      <c r="D106" s="127">
        <v>1126.5999999999999</v>
      </c>
      <c r="E106" s="123">
        <v>943.42</v>
      </c>
      <c r="F106" s="127">
        <v>921.92</v>
      </c>
      <c r="G106" s="128">
        <v>1043.18</v>
      </c>
      <c r="H106" s="123">
        <v>5146.24</v>
      </c>
      <c r="I106" s="127">
        <v>5673.42</v>
      </c>
      <c r="J106" s="128">
        <v>5378.44</v>
      </c>
      <c r="K106" s="127">
        <v>1614.22</v>
      </c>
      <c r="L106" s="127">
        <v>1606.48</v>
      </c>
      <c r="M106" s="128">
        <v>1617.66</v>
      </c>
      <c r="N106" s="127">
        <v>5193.54</v>
      </c>
      <c r="O106" s="127">
        <v>5193.54</v>
      </c>
      <c r="P106" s="128">
        <v>5137.6400000000003</v>
      </c>
      <c r="Q106" s="83">
        <v>338.84</v>
      </c>
      <c r="R106" s="1">
        <v>377.54</v>
      </c>
      <c r="S106" s="89">
        <v>378.4</v>
      </c>
      <c r="U106" s="24">
        <v>2030</v>
      </c>
      <c r="V106" s="127">
        <v>21.5</v>
      </c>
      <c r="W106" s="127">
        <v>30.099999999999998</v>
      </c>
      <c r="X106" s="128">
        <v>38.700000000000003</v>
      </c>
      <c r="Y106" s="123">
        <v>44.72</v>
      </c>
      <c r="Z106" s="127">
        <v>66.650000000000006</v>
      </c>
      <c r="AA106" s="128">
        <v>88.58</v>
      </c>
      <c r="AB106" s="123">
        <v>72.239999999999995</v>
      </c>
      <c r="AC106" s="127">
        <v>101.05</v>
      </c>
      <c r="AD106" s="128">
        <v>129.85999999999999</v>
      </c>
      <c r="AE106" s="123">
        <v>111.8</v>
      </c>
      <c r="AF106" s="127">
        <v>132.87</v>
      </c>
      <c r="AG106" s="128">
        <v>153.94</v>
      </c>
    </row>
    <row r="107" spans="1:33" x14ac:dyDescent="0.3">
      <c r="A107" s="41">
        <v>2022</v>
      </c>
      <c r="B107" s="123">
        <v>946</v>
      </c>
      <c r="C107" s="127">
        <v>911.6</v>
      </c>
      <c r="D107" s="127">
        <v>1093.92</v>
      </c>
      <c r="E107" s="123">
        <v>884.08</v>
      </c>
      <c r="F107" s="127">
        <v>852.26</v>
      </c>
      <c r="G107" s="128">
        <v>1012.22</v>
      </c>
      <c r="H107" s="123">
        <v>5146.24</v>
      </c>
      <c r="I107" s="127">
        <v>5673.42</v>
      </c>
      <c r="J107" s="128">
        <v>5378.44</v>
      </c>
      <c r="K107" s="127">
        <v>1605.62</v>
      </c>
      <c r="L107" s="127">
        <v>1600.46</v>
      </c>
      <c r="M107" s="128">
        <v>1608.2</v>
      </c>
      <c r="N107" s="127">
        <v>5172.8999999999996</v>
      </c>
      <c r="O107" s="127">
        <v>5172.8999999999996</v>
      </c>
      <c r="P107" s="128">
        <v>5092.0599999999995</v>
      </c>
      <c r="Q107" s="83">
        <v>324.21999999999997</v>
      </c>
      <c r="R107" s="1">
        <v>373.24</v>
      </c>
      <c r="S107" s="89">
        <v>375.82</v>
      </c>
      <c r="U107" s="24">
        <v>2040</v>
      </c>
      <c r="V107" s="127">
        <v>16.34</v>
      </c>
      <c r="W107" s="127">
        <v>23.65</v>
      </c>
      <c r="X107" s="128">
        <v>30.96</v>
      </c>
      <c r="Y107" s="123">
        <v>38.700000000000003</v>
      </c>
      <c r="Z107" s="127">
        <v>55.04</v>
      </c>
      <c r="AA107" s="128">
        <v>71.38</v>
      </c>
      <c r="AB107" s="123">
        <v>67.08</v>
      </c>
      <c r="AC107" s="127">
        <v>94.6</v>
      </c>
      <c r="AD107" s="128">
        <v>122.12</v>
      </c>
      <c r="AE107" s="123">
        <v>87.72</v>
      </c>
      <c r="AF107" s="127">
        <v>107.07</v>
      </c>
      <c r="AG107" s="128">
        <v>126.42</v>
      </c>
    </row>
    <row r="108" spans="1:33" ht="15" thickBot="1" x14ac:dyDescent="0.35">
      <c r="A108" s="41">
        <v>2023</v>
      </c>
      <c r="B108" s="123">
        <v>875.48</v>
      </c>
      <c r="C108" s="127">
        <v>876.34</v>
      </c>
      <c r="D108" s="127">
        <v>1063.82</v>
      </c>
      <c r="E108" s="123">
        <v>822.16</v>
      </c>
      <c r="F108" s="127">
        <v>820.43999999999994</v>
      </c>
      <c r="G108" s="128">
        <v>984.69999999999993</v>
      </c>
      <c r="H108" s="123">
        <v>5146.24</v>
      </c>
      <c r="I108" s="127">
        <v>5673.42</v>
      </c>
      <c r="J108" s="128">
        <v>5378.44</v>
      </c>
      <c r="K108" s="127">
        <v>1598.74</v>
      </c>
      <c r="L108" s="127">
        <v>1594.44</v>
      </c>
      <c r="M108" s="128">
        <v>1599.6</v>
      </c>
      <c r="N108" s="127">
        <v>5159.1400000000003</v>
      </c>
      <c r="O108" s="127">
        <v>5159.1400000000003</v>
      </c>
      <c r="P108" s="128">
        <v>5083.46</v>
      </c>
      <c r="Q108" s="83">
        <v>280.36</v>
      </c>
      <c r="R108" s="1">
        <v>367.21999999999997</v>
      </c>
      <c r="S108" s="89">
        <v>371.52</v>
      </c>
      <c r="U108" s="25">
        <v>2050</v>
      </c>
      <c r="V108" s="129">
        <v>14.62</v>
      </c>
      <c r="W108" s="127">
        <v>20.64</v>
      </c>
      <c r="X108" s="130">
        <v>26.66</v>
      </c>
      <c r="Y108" s="124">
        <v>36.119999999999997</v>
      </c>
      <c r="Z108" s="127">
        <v>50.31</v>
      </c>
      <c r="AA108" s="130">
        <v>64.5</v>
      </c>
      <c r="AB108" s="124">
        <v>65.36</v>
      </c>
      <c r="AC108" s="127">
        <v>91.16</v>
      </c>
      <c r="AD108" s="130">
        <v>116.96</v>
      </c>
      <c r="AE108" s="124">
        <v>79.98</v>
      </c>
      <c r="AF108" s="129">
        <v>95.03</v>
      </c>
      <c r="AG108" s="130">
        <v>110.08</v>
      </c>
    </row>
    <row r="109" spans="1:33" ht="18.600000000000001" thickBot="1" x14ac:dyDescent="0.35">
      <c r="A109" s="41">
        <v>2024</v>
      </c>
      <c r="B109" s="123">
        <v>810.12</v>
      </c>
      <c r="C109" s="127">
        <v>846.24</v>
      </c>
      <c r="D109" s="127">
        <v>1038.8799999999999</v>
      </c>
      <c r="E109" s="123">
        <v>764.54</v>
      </c>
      <c r="F109" s="127">
        <v>792.92</v>
      </c>
      <c r="G109" s="128">
        <v>962.34</v>
      </c>
      <c r="H109" s="123">
        <v>5146.24</v>
      </c>
      <c r="I109" s="127">
        <v>5673.42</v>
      </c>
      <c r="J109" s="128">
        <v>5378.44</v>
      </c>
      <c r="K109" s="127">
        <v>1591.86</v>
      </c>
      <c r="L109" s="127">
        <v>1589.28</v>
      </c>
      <c r="M109" s="128">
        <v>1593.58</v>
      </c>
      <c r="N109" s="127">
        <v>5149.68</v>
      </c>
      <c r="O109" s="127">
        <v>5159.1400000000003</v>
      </c>
      <c r="P109" s="128">
        <v>5083.46</v>
      </c>
      <c r="Q109" s="83">
        <v>241.66</v>
      </c>
      <c r="R109" s="1">
        <v>337.12</v>
      </c>
      <c r="S109" s="89">
        <v>369.8</v>
      </c>
      <c r="U109" s="289" t="s">
        <v>0</v>
      </c>
      <c r="V109" s="410" t="s">
        <v>228</v>
      </c>
      <c r="W109" s="411"/>
      <c r="X109" s="411"/>
      <c r="Y109" s="411"/>
      <c r="Z109" s="411"/>
      <c r="AA109" s="411"/>
      <c r="AB109" s="411"/>
      <c r="AC109" s="411"/>
      <c r="AD109" s="412"/>
    </row>
    <row r="110" spans="1:33" ht="15" thickBot="1" x14ac:dyDescent="0.35">
      <c r="A110" s="41">
        <v>2025</v>
      </c>
      <c r="B110" s="123">
        <v>772.28</v>
      </c>
      <c r="C110" s="127">
        <v>820.43999999999994</v>
      </c>
      <c r="D110" s="127">
        <v>1018.24</v>
      </c>
      <c r="E110" s="123">
        <v>730.14</v>
      </c>
      <c r="F110" s="127">
        <v>769.69999999999993</v>
      </c>
      <c r="G110" s="128">
        <v>942.56</v>
      </c>
      <c r="H110" s="123">
        <v>5146.24</v>
      </c>
      <c r="I110" s="127">
        <v>5673.42</v>
      </c>
      <c r="J110" s="128">
        <v>5378.44</v>
      </c>
      <c r="K110" s="127">
        <v>1586.7</v>
      </c>
      <c r="L110" s="127">
        <v>1583.26</v>
      </c>
      <c r="M110" s="128">
        <v>1590.1399999999999</v>
      </c>
      <c r="N110" s="127">
        <v>5127.32</v>
      </c>
      <c r="O110" s="127">
        <v>5159.1400000000003</v>
      </c>
      <c r="P110" s="128">
        <v>5068.84</v>
      </c>
      <c r="Q110" s="83">
        <v>216.72</v>
      </c>
      <c r="R110" s="1">
        <v>286.38</v>
      </c>
      <c r="S110" s="89">
        <v>368.08</v>
      </c>
      <c r="U110" s="344"/>
      <c r="V110" s="419" t="s">
        <v>263</v>
      </c>
      <c r="W110" s="420"/>
      <c r="X110" s="421"/>
      <c r="Y110" s="419" t="s">
        <v>264</v>
      </c>
      <c r="Z110" s="420"/>
      <c r="AA110" s="421"/>
      <c r="AB110" s="419" t="s">
        <v>265</v>
      </c>
      <c r="AC110" s="420"/>
      <c r="AD110" s="421"/>
    </row>
    <row r="111" spans="1:33" ht="15" thickBot="1" x14ac:dyDescent="0.35">
      <c r="A111" s="41">
        <v>2026</v>
      </c>
      <c r="B111" s="123">
        <v>747.34</v>
      </c>
      <c r="C111" s="127">
        <v>796.36</v>
      </c>
      <c r="D111" s="127">
        <v>1001.9</v>
      </c>
      <c r="E111" s="123">
        <v>706.92</v>
      </c>
      <c r="F111" s="127">
        <v>747.34</v>
      </c>
      <c r="G111" s="128">
        <v>927.93999999999994</v>
      </c>
      <c r="H111" s="123">
        <v>5146.24</v>
      </c>
      <c r="I111" s="127">
        <v>5673.42</v>
      </c>
      <c r="J111" s="128">
        <v>5378.44</v>
      </c>
      <c r="K111" s="127">
        <v>1581.54</v>
      </c>
      <c r="L111" s="127">
        <v>1578.96</v>
      </c>
      <c r="M111" s="128">
        <v>1587.56</v>
      </c>
      <c r="N111" s="127">
        <v>5090.34</v>
      </c>
      <c r="O111" s="127">
        <v>5159.1400000000003</v>
      </c>
      <c r="P111" s="128">
        <v>5045.62</v>
      </c>
      <c r="Q111" s="83">
        <v>198.66</v>
      </c>
      <c r="R111" s="1">
        <v>241.66</v>
      </c>
      <c r="S111" s="89">
        <v>366.36</v>
      </c>
      <c r="U111" s="290"/>
      <c r="V111" s="78" t="s">
        <v>18</v>
      </c>
      <c r="W111" s="79" t="s">
        <v>19</v>
      </c>
      <c r="X111" s="80" t="s">
        <v>22</v>
      </c>
      <c r="Y111" s="78" t="s">
        <v>18</v>
      </c>
      <c r="Z111" s="79" t="s">
        <v>19</v>
      </c>
      <c r="AA111" s="80" t="s">
        <v>22</v>
      </c>
      <c r="AB111" s="78" t="s">
        <v>18</v>
      </c>
      <c r="AC111" s="79" t="s">
        <v>19</v>
      </c>
      <c r="AD111" s="80" t="s">
        <v>22</v>
      </c>
      <c r="AG111" s="127"/>
    </row>
    <row r="112" spans="1:33" x14ac:dyDescent="0.3">
      <c r="A112" s="41">
        <v>2027</v>
      </c>
      <c r="B112" s="123">
        <v>724.98</v>
      </c>
      <c r="C112" s="127">
        <v>774.86</v>
      </c>
      <c r="D112" s="127">
        <v>986.42</v>
      </c>
      <c r="E112" s="123">
        <v>686.28</v>
      </c>
      <c r="F112" s="127">
        <v>726.7</v>
      </c>
      <c r="G112" s="128">
        <v>913.31999999999994</v>
      </c>
      <c r="H112" s="123">
        <v>5143.66</v>
      </c>
      <c r="I112" s="127">
        <v>5673.42</v>
      </c>
      <c r="J112" s="128">
        <v>5370.7</v>
      </c>
      <c r="K112" s="127">
        <v>1577.24</v>
      </c>
      <c r="L112" s="127">
        <v>1572.94</v>
      </c>
      <c r="M112" s="128">
        <v>1585.84</v>
      </c>
      <c r="N112" s="127">
        <v>5048.2</v>
      </c>
      <c r="O112" s="127">
        <v>5148.82</v>
      </c>
      <c r="P112" s="128">
        <v>4988</v>
      </c>
      <c r="Q112" s="83">
        <v>185.76</v>
      </c>
      <c r="R112" s="1">
        <v>209.84</v>
      </c>
      <c r="S112" s="89">
        <v>351.74</v>
      </c>
      <c r="U112" s="52">
        <v>2020</v>
      </c>
      <c r="V112" s="122">
        <v>41.28</v>
      </c>
      <c r="W112" s="125">
        <v>46.44</v>
      </c>
      <c r="X112" s="126">
        <v>51.6</v>
      </c>
      <c r="Y112" s="122">
        <v>72.239999999999995</v>
      </c>
      <c r="Z112" s="125">
        <v>82.13</v>
      </c>
      <c r="AA112" s="126">
        <v>92.02</v>
      </c>
      <c r="AB112" s="122">
        <v>79.12</v>
      </c>
      <c r="AC112" s="125">
        <v>89.87</v>
      </c>
      <c r="AD112" s="126">
        <v>100.62</v>
      </c>
      <c r="AG112" s="127"/>
    </row>
    <row r="113" spans="1:33" x14ac:dyDescent="0.3">
      <c r="A113" s="41">
        <v>2028</v>
      </c>
      <c r="B113" s="123">
        <v>704.34</v>
      </c>
      <c r="C113" s="127">
        <v>755.08</v>
      </c>
      <c r="D113" s="127">
        <v>972.66</v>
      </c>
      <c r="E113" s="123">
        <v>666.5</v>
      </c>
      <c r="F113" s="127">
        <v>707.78</v>
      </c>
      <c r="G113" s="128">
        <v>898.69999999999993</v>
      </c>
      <c r="H113" s="123">
        <v>5133.34</v>
      </c>
      <c r="I113" s="127">
        <v>5673.42</v>
      </c>
      <c r="J113" s="128">
        <v>5352.64</v>
      </c>
      <c r="K113" s="127">
        <v>1571.22</v>
      </c>
      <c r="L113" s="127">
        <v>1566.92</v>
      </c>
      <c r="M113" s="128">
        <v>1583.26</v>
      </c>
      <c r="N113" s="127">
        <v>4987.1400000000003</v>
      </c>
      <c r="O113" s="127">
        <v>5110.9799999999996</v>
      </c>
      <c r="P113" s="128">
        <v>4929.5199999999995</v>
      </c>
      <c r="Q113" s="83">
        <v>174.57999999999998</v>
      </c>
      <c r="R113" s="1">
        <v>190.06</v>
      </c>
      <c r="S113" s="89">
        <v>331.1</v>
      </c>
      <c r="U113" s="24">
        <v>2030</v>
      </c>
      <c r="V113" s="123">
        <v>37.839999999999996</v>
      </c>
      <c r="W113" s="127">
        <v>43.43</v>
      </c>
      <c r="X113" s="128">
        <v>49.019999999999996</v>
      </c>
      <c r="Y113" s="123">
        <v>55.04</v>
      </c>
      <c r="Z113" s="127">
        <v>66.22</v>
      </c>
      <c r="AA113" s="128">
        <v>77.400000000000006</v>
      </c>
      <c r="AB113" s="123">
        <v>73.959999999999994</v>
      </c>
      <c r="AC113" s="127">
        <v>86</v>
      </c>
      <c r="AD113" s="128">
        <v>98.039999999999992</v>
      </c>
      <c r="AG113" s="127"/>
    </row>
    <row r="114" spans="1:33" x14ac:dyDescent="0.3">
      <c r="A114" s="41">
        <v>2029</v>
      </c>
      <c r="B114" s="123">
        <v>687.14</v>
      </c>
      <c r="C114" s="127">
        <v>734.43999999999994</v>
      </c>
      <c r="D114" s="127">
        <v>958.9</v>
      </c>
      <c r="E114" s="123">
        <v>649.29999999999995</v>
      </c>
      <c r="F114" s="127">
        <v>688.86</v>
      </c>
      <c r="G114" s="128">
        <v>885.8</v>
      </c>
      <c r="H114" s="123">
        <v>5107.54</v>
      </c>
      <c r="I114" s="127">
        <v>5673.42</v>
      </c>
      <c r="J114" s="128">
        <v>5286.42</v>
      </c>
      <c r="K114" s="127">
        <v>1565.2</v>
      </c>
      <c r="L114" s="127">
        <v>1560.8999999999999</v>
      </c>
      <c r="M114" s="128">
        <v>1581.54</v>
      </c>
      <c r="N114" s="127">
        <v>4914.8999999999996</v>
      </c>
      <c r="O114" s="127">
        <v>5040.46</v>
      </c>
      <c r="P114" s="128">
        <v>4856.42</v>
      </c>
      <c r="Q114" s="83">
        <v>168.56</v>
      </c>
      <c r="R114" s="1">
        <v>178.02</v>
      </c>
      <c r="S114" s="89">
        <v>313.04000000000002</v>
      </c>
      <c r="U114" s="24">
        <v>2040</v>
      </c>
      <c r="V114" s="123">
        <v>35.26</v>
      </c>
      <c r="W114" s="127">
        <v>41.71</v>
      </c>
      <c r="X114" s="128">
        <v>48.16</v>
      </c>
      <c r="Y114" s="123">
        <v>50.74</v>
      </c>
      <c r="Z114" s="127">
        <v>60.63</v>
      </c>
      <c r="AA114" s="128">
        <v>70.52</v>
      </c>
      <c r="AB114" s="123">
        <v>69.66</v>
      </c>
      <c r="AC114" s="127">
        <v>82.99</v>
      </c>
      <c r="AD114" s="128">
        <v>96.32</v>
      </c>
      <c r="AG114" s="127"/>
    </row>
    <row r="115" spans="1:33" ht="15" thickBot="1" x14ac:dyDescent="0.35">
      <c r="A115" s="41">
        <v>2030</v>
      </c>
      <c r="B115" s="123">
        <v>669.93999999999994</v>
      </c>
      <c r="C115" s="127">
        <v>712.93999999999994</v>
      </c>
      <c r="D115" s="127">
        <v>946</v>
      </c>
      <c r="E115" s="123">
        <v>632.96</v>
      </c>
      <c r="F115" s="127">
        <v>669.08</v>
      </c>
      <c r="G115" s="128">
        <v>873.76</v>
      </c>
      <c r="H115" s="123">
        <v>5045.62</v>
      </c>
      <c r="I115" s="127">
        <v>5673.42</v>
      </c>
      <c r="J115" s="128">
        <v>5199.5599999999995</v>
      </c>
      <c r="K115" s="127">
        <v>1558.32</v>
      </c>
      <c r="L115" s="127">
        <v>1555.74</v>
      </c>
      <c r="M115" s="128">
        <v>1579.82</v>
      </c>
      <c r="N115" s="127">
        <v>4838.3599999999997</v>
      </c>
      <c r="O115" s="127">
        <v>4951.0199999999995</v>
      </c>
      <c r="P115" s="128">
        <v>4810.84</v>
      </c>
      <c r="Q115" s="83">
        <v>148.78</v>
      </c>
      <c r="R115" s="1">
        <v>149.63999999999999</v>
      </c>
      <c r="S115" s="89">
        <v>230.48</v>
      </c>
      <c r="U115" s="25">
        <v>2050</v>
      </c>
      <c r="V115" s="124">
        <v>32.68</v>
      </c>
      <c r="W115" s="129">
        <v>39.99</v>
      </c>
      <c r="X115" s="130">
        <v>47.3</v>
      </c>
      <c r="Y115" s="124">
        <v>47.3</v>
      </c>
      <c r="Z115" s="129">
        <v>58.05</v>
      </c>
      <c r="AA115" s="130">
        <v>68.8</v>
      </c>
      <c r="AB115" s="124">
        <v>65.36</v>
      </c>
      <c r="AC115" s="129">
        <v>80.41</v>
      </c>
      <c r="AD115" s="130">
        <v>95.46</v>
      </c>
      <c r="AG115" s="127"/>
    </row>
    <row r="116" spans="1:33" x14ac:dyDescent="0.3">
      <c r="A116" s="41">
        <v>2031</v>
      </c>
      <c r="B116" s="123">
        <v>657.9</v>
      </c>
      <c r="C116" s="127">
        <v>694.88</v>
      </c>
      <c r="D116" s="127">
        <v>936.54</v>
      </c>
      <c r="E116" s="123">
        <v>621.78</v>
      </c>
      <c r="F116" s="127">
        <v>651.02</v>
      </c>
      <c r="G116" s="128">
        <v>864.3</v>
      </c>
      <c r="H116" s="123">
        <v>4938.9799999999996</v>
      </c>
      <c r="I116" s="127">
        <v>5669.98</v>
      </c>
      <c r="J116" s="128">
        <v>5097.22</v>
      </c>
      <c r="K116" s="127">
        <v>1551.44</v>
      </c>
      <c r="L116" s="127">
        <v>1552.3</v>
      </c>
      <c r="M116" s="128">
        <v>1577.24</v>
      </c>
      <c r="N116" s="127">
        <v>4766.9799999999996</v>
      </c>
      <c r="O116" s="127">
        <v>4889.1000000000004</v>
      </c>
      <c r="P116" s="128">
        <v>4781.6000000000004</v>
      </c>
      <c r="Q116" s="83">
        <v>147.91999999999999</v>
      </c>
      <c r="R116" s="1">
        <v>148.78</v>
      </c>
      <c r="S116" s="89">
        <v>221.88</v>
      </c>
    </row>
    <row r="117" spans="1:33" x14ac:dyDescent="0.3">
      <c r="A117" s="41">
        <v>2032</v>
      </c>
      <c r="B117" s="123">
        <v>649.29999999999995</v>
      </c>
      <c r="C117" s="127">
        <v>677.68</v>
      </c>
      <c r="D117" s="127">
        <v>929.66</v>
      </c>
      <c r="E117" s="123">
        <v>612.31999999999994</v>
      </c>
      <c r="F117" s="127">
        <v>634.67999999999995</v>
      </c>
      <c r="G117" s="128">
        <v>856.56</v>
      </c>
      <c r="H117" s="123">
        <v>4828.04</v>
      </c>
      <c r="I117" s="127">
        <v>5657.94</v>
      </c>
      <c r="J117" s="128">
        <v>4969.08</v>
      </c>
      <c r="K117" s="127">
        <v>1544.56</v>
      </c>
      <c r="L117" s="127">
        <v>1549.72</v>
      </c>
      <c r="M117" s="128">
        <v>1574.66</v>
      </c>
      <c r="N117" s="127">
        <v>4700.76</v>
      </c>
      <c r="O117" s="127">
        <v>4860.72</v>
      </c>
      <c r="P117" s="128">
        <v>4773.8599999999997</v>
      </c>
      <c r="Q117" s="83">
        <v>147.06</v>
      </c>
      <c r="R117" s="1">
        <v>147.91999999999999</v>
      </c>
      <c r="S117" s="89">
        <v>215</v>
      </c>
    </row>
    <row r="118" spans="1:33" x14ac:dyDescent="0.3">
      <c r="A118" s="41">
        <v>2033</v>
      </c>
      <c r="B118" s="123">
        <v>640.70000000000005</v>
      </c>
      <c r="C118" s="127">
        <v>663.06</v>
      </c>
      <c r="D118" s="127">
        <v>924.5</v>
      </c>
      <c r="E118" s="123">
        <v>602.86</v>
      </c>
      <c r="F118" s="127">
        <v>620.91999999999996</v>
      </c>
      <c r="G118" s="128">
        <v>850.54</v>
      </c>
      <c r="H118" s="123">
        <v>4677.54</v>
      </c>
      <c r="I118" s="127">
        <v>5631.28</v>
      </c>
      <c r="J118" s="128">
        <v>4816</v>
      </c>
      <c r="K118" s="127">
        <v>1536.82</v>
      </c>
      <c r="L118" s="127">
        <v>1543.7</v>
      </c>
      <c r="M118" s="128">
        <v>1569.5</v>
      </c>
      <c r="N118" s="127">
        <v>4639.7</v>
      </c>
      <c r="O118" s="127">
        <v>4860.72</v>
      </c>
      <c r="P118" s="128">
        <v>4772.1400000000003</v>
      </c>
      <c r="Q118" s="83">
        <v>147.06</v>
      </c>
      <c r="R118" s="1">
        <v>147.91999999999999</v>
      </c>
      <c r="S118" s="89">
        <v>203.82</v>
      </c>
      <c r="X118" s="127"/>
      <c r="AA118" s="127"/>
      <c r="AD118" s="127"/>
    </row>
    <row r="119" spans="1:33" x14ac:dyDescent="0.3">
      <c r="A119" s="41">
        <v>2034</v>
      </c>
      <c r="B119" s="123">
        <v>620.05999999999995</v>
      </c>
      <c r="C119" s="127">
        <v>648.43999999999994</v>
      </c>
      <c r="D119" s="127">
        <v>917.62</v>
      </c>
      <c r="E119" s="123">
        <v>583.93999999999994</v>
      </c>
      <c r="F119" s="127">
        <v>607.16</v>
      </c>
      <c r="G119" s="128">
        <v>843.66</v>
      </c>
      <c r="H119" s="123">
        <v>4541.66</v>
      </c>
      <c r="I119" s="127">
        <v>5565.92</v>
      </c>
      <c r="J119" s="128">
        <v>4659.4799999999996</v>
      </c>
      <c r="K119" s="127">
        <v>1529.94</v>
      </c>
      <c r="L119" s="127">
        <v>1537.68</v>
      </c>
      <c r="M119" s="128">
        <v>1563.48</v>
      </c>
      <c r="N119" s="127">
        <v>4595.84</v>
      </c>
      <c r="O119" s="127">
        <v>4860.72</v>
      </c>
      <c r="P119" s="128">
        <v>4770.42</v>
      </c>
      <c r="Q119" s="83">
        <v>146.19999999999999</v>
      </c>
      <c r="R119" s="1">
        <v>147.06</v>
      </c>
      <c r="S119" s="89">
        <v>194.35999999999999</v>
      </c>
    </row>
    <row r="120" spans="1:33" x14ac:dyDescent="0.3">
      <c r="A120" s="41">
        <v>2035</v>
      </c>
      <c r="B120" s="123">
        <v>600.28</v>
      </c>
      <c r="C120" s="127">
        <v>628.66</v>
      </c>
      <c r="D120" s="127">
        <v>910.74</v>
      </c>
      <c r="E120" s="123">
        <v>565.02</v>
      </c>
      <c r="F120" s="127">
        <v>588.24</v>
      </c>
      <c r="G120" s="128">
        <v>835.92</v>
      </c>
      <c r="H120" s="123">
        <v>4379.9799999999996</v>
      </c>
      <c r="I120" s="127">
        <v>5452.4</v>
      </c>
      <c r="J120" s="128">
        <v>4518.4399999999996</v>
      </c>
      <c r="K120" s="127">
        <v>1522.2</v>
      </c>
      <c r="L120" s="127">
        <v>1529.08</v>
      </c>
      <c r="M120" s="128">
        <v>1559.18</v>
      </c>
      <c r="N120" s="127">
        <v>4564.88</v>
      </c>
      <c r="O120" s="127">
        <v>4860.72</v>
      </c>
      <c r="P120" s="128">
        <v>4767.84</v>
      </c>
      <c r="Q120" s="83">
        <v>145.34</v>
      </c>
      <c r="R120" s="1">
        <v>146.19999999999999</v>
      </c>
      <c r="S120" s="89">
        <v>183.18</v>
      </c>
    </row>
    <row r="121" spans="1:33" x14ac:dyDescent="0.3">
      <c r="A121" s="41">
        <v>2036</v>
      </c>
      <c r="B121" s="123">
        <v>571.9</v>
      </c>
      <c r="C121" s="127">
        <v>612.31999999999994</v>
      </c>
      <c r="D121" s="127">
        <v>904.72</v>
      </c>
      <c r="E121" s="123">
        <v>540.08000000000004</v>
      </c>
      <c r="F121" s="127">
        <v>573.62</v>
      </c>
      <c r="G121" s="128">
        <v>830.76</v>
      </c>
      <c r="H121" s="123">
        <v>4250.12</v>
      </c>
      <c r="I121" s="127">
        <v>5289.86</v>
      </c>
      <c r="J121" s="128">
        <v>4388.58</v>
      </c>
      <c r="K121" s="127">
        <v>1516.18</v>
      </c>
      <c r="L121" s="127">
        <v>1523.92</v>
      </c>
      <c r="M121" s="128">
        <v>1555.74</v>
      </c>
      <c r="N121" s="127">
        <v>4542.5199999999995</v>
      </c>
      <c r="O121" s="127">
        <v>4860.72</v>
      </c>
      <c r="P121" s="128">
        <v>4766.9799999999996</v>
      </c>
      <c r="Q121" s="83">
        <v>145.34</v>
      </c>
      <c r="R121" s="1">
        <v>146.19999999999999</v>
      </c>
      <c r="S121" s="89">
        <v>175.44</v>
      </c>
    </row>
    <row r="122" spans="1:33" x14ac:dyDescent="0.3">
      <c r="A122" s="41">
        <v>2037</v>
      </c>
      <c r="B122" s="123">
        <v>556.41999999999996</v>
      </c>
      <c r="C122" s="127">
        <v>595.98</v>
      </c>
      <c r="D122" s="127">
        <v>893.54</v>
      </c>
      <c r="E122" s="123">
        <v>525.46</v>
      </c>
      <c r="F122" s="127">
        <v>558.14</v>
      </c>
      <c r="G122" s="128">
        <v>819.58</v>
      </c>
      <c r="H122" s="123">
        <v>4125.42</v>
      </c>
      <c r="I122" s="127">
        <v>5106.68</v>
      </c>
      <c r="J122" s="128">
        <v>4258.72</v>
      </c>
      <c r="K122" s="127">
        <v>1510.16</v>
      </c>
      <c r="L122" s="127">
        <v>1518.76</v>
      </c>
      <c r="M122" s="128">
        <v>1553.16</v>
      </c>
      <c r="N122" s="127">
        <v>4521.0199999999995</v>
      </c>
      <c r="O122" s="127">
        <v>4846.1000000000004</v>
      </c>
      <c r="P122" s="128">
        <v>4766.12</v>
      </c>
      <c r="Q122" s="83">
        <v>144.47999999999999</v>
      </c>
      <c r="R122" s="1">
        <v>145.34</v>
      </c>
      <c r="S122" s="89">
        <v>166.84</v>
      </c>
    </row>
    <row r="123" spans="1:33" x14ac:dyDescent="0.3">
      <c r="A123" s="41">
        <v>2038</v>
      </c>
      <c r="B123" s="123">
        <v>533.20000000000005</v>
      </c>
      <c r="C123" s="127">
        <v>588.24</v>
      </c>
      <c r="D123" s="127">
        <v>881.5</v>
      </c>
      <c r="E123" s="123">
        <v>504.82</v>
      </c>
      <c r="F123" s="127">
        <v>550.4</v>
      </c>
      <c r="G123" s="128">
        <v>808.4</v>
      </c>
      <c r="H123" s="123">
        <v>4020.5</v>
      </c>
      <c r="I123" s="127">
        <v>4939.84</v>
      </c>
      <c r="J123" s="128">
        <v>4165.84</v>
      </c>
      <c r="K123" s="127">
        <v>1505</v>
      </c>
      <c r="L123" s="127">
        <v>1516.18</v>
      </c>
      <c r="M123" s="128">
        <v>1549.72</v>
      </c>
      <c r="N123" s="127">
        <v>4494.3599999999997</v>
      </c>
      <c r="O123" s="127">
        <v>4832.34</v>
      </c>
      <c r="P123" s="128">
        <v>4766.12</v>
      </c>
      <c r="Q123" s="83">
        <v>144.47999999999999</v>
      </c>
      <c r="R123" s="1">
        <v>145.34</v>
      </c>
      <c r="S123" s="89">
        <v>161.68</v>
      </c>
    </row>
    <row r="124" spans="1:33" x14ac:dyDescent="0.3">
      <c r="A124" s="41">
        <v>2039</v>
      </c>
      <c r="B124" s="123">
        <v>521.16</v>
      </c>
      <c r="C124" s="127">
        <v>578.78</v>
      </c>
      <c r="D124" s="127">
        <v>866.02</v>
      </c>
      <c r="E124" s="123">
        <v>493.64</v>
      </c>
      <c r="F124" s="127">
        <v>542.66</v>
      </c>
      <c r="G124" s="128">
        <v>793.78</v>
      </c>
      <c r="H124" s="123">
        <v>3943.96</v>
      </c>
      <c r="I124" s="127">
        <v>4765.26</v>
      </c>
      <c r="J124" s="128">
        <v>4095.32</v>
      </c>
      <c r="K124" s="127">
        <v>1499.84</v>
      </c>
      <c r="L124" s="127">
        <v>1513.6</v>
      </c>
      <c r="M124" s="128">
        <v>1547.1399999999999</v>
      </c>
      <c r="N124" s="127">
        <v>4463.3999999999996</v>
      </c>
      <c r="O124" s="127">
        <v>4800.5199999999995</v>
      </c>
      <c r="P124" s="128">
        <v>4766.12</v>
      </c>
      <c r="Q124" s="83">
        <v>144.47999999999999</v>
      </c>
      <c r="R124" s="1">
        <v>144.47999999999999</v>
      </c>
      <c r="S124" s="89">
        <v>157.38</v>
      </c>
    </row>
    <row r="125" spans="1:33" x14ac:dyDescent="0.3">
      <c r="A125" s="41">
        <v>2040</v>
      </c>
      <c r="B125" s="123">
        <v>507.4</v>
      </c>
      <c r="C125" s="127">
        <v>571.9</v>
      </c>
      <c r="D125" s="127">
        <v>853.98</v>
      </c>
      <c r="E125" s="123">
        <v>480.74</v>
      </c>
      <c r="F125" s="127">
        <v>535.78</v>
      </c>
      <c r="G125" s="128">
        <v>783.46</v>
      </c>
      <c r="H125" s="123">
        <v>3884.62</v>
      </c>
      <c r="I125" s="127">
        <v>4605.3</v>
      </c>
      <c r="J125" s="128">
        <v>4040.2799999999997</v>
      </c>
      <c r="K125" s="127">
        <v>1488.66</v>
      </c>
      <c r="L125" s="127">
        <v>1508.44</v>
      </c>
      <c r="M125" s="128">
        <v>1541.98</v>
      </c>
      <c r="N125" s="127">
        <v>4431.58</v>
      </c>
      <c r="O125" s="127">
        <v>4783.32</v>
      </c>
      <c r="P125" s="128">
        <v>4766.12</v>
      </c>
      <c r="Q125" s="83">
        <v>143.62</v>
      </c>
      <c r="R125" s="1">
        <v>144.47999999999999</v>
      </c>
      <c r="S125" s="89">
        <v>153.94</v>
      </c>
    </row>
    <row r="126" spans="1:33" x14ac:dyDescent="0.3">
      <c r="A126" s="41">
        <v>2041</v>
      </c>
      <c r="B126" s="123">
        <v>500.52</v>
      </c>
      <c r="C126" s="127">
        <v>565.88</v>
      </c>
      <c r="D126" s="127">
        <v>842.8</v>
      </c>
      <c r="E126" s="123">
        <v>473.86</v>
      </c>
      <c r="F126" s="127">
        <v>528.9</v>
      </c>
      <c r="G126" s="128">
        <v>772.28</v>
      </c>
      <c r="H126" s="123">
        <v>3838.18</v>
      </c>
      <c r="I126" s="127">
        <v>4453.9399999999996</v>
      </c>
      <c r="J126" s="128">
        <v>3996.42</v>
      </c>
      <c r="K126" s="127">
        <v>1476.62</v>
      </c>
      <c r="L126" s="127">
        <v>1503.28</v>
      </c>
      <c r="M126" s="128">
        <v>1533.3799999999999</v>
      </c>
      <c r="N126" s="127">
        <v>4404.92</v>
      </c>
      <c r="O126" s="127">
        <v>4766.12</v>
      </c>
      <c r="P126" s="128">
        <v>4766.12</v>
      </c>
      <c r="Q126" s="83">
        <v>143.62</v>
      </c>
      <c r="R126" s="1">
        <v>144.47999999999999</v>
      </c>
      <c r="S126" s="89">
        <v>152.22</v>
      </c>
    </row>
    <row r="127" spans="1:33" x14ac:dyDescent="0.3">
      <c r="A127" s="41">
        <v>2042</v>
      </c>
      <c r="B127" s="123">
        <v>493.64</v>
      </c>
      <c r="C127" s="127">
        <v>556.41999999999996</v>
      </c>
      <c r="D127" s="127">
        <v>831.62</v>
      </c>
      <c r="E127" s="123">
        <v>466.98</v>
      </c>
      <c r="F127" s="127">
        <v>521.16</v>
      </c>
      <c r="G127" s="128">
        <v>762.81999999999994</v>
      </c>
      <c r="H127" s="123">
        <v>3800.34</v>
      </c>
      <c r="I127" s="127">
        <v>4350.74</v>
      </c>
      <c r="J127" s="128">
        <v>3960.2999999999997</v>
      </c>
      <c r="K127" s="127">
        <v>1463.72</v>
      </c>
      <c r="L127" s="127">
        <v>1498.12</v>
      </c>
      <c r="M127" s="128">
        <v>1524.78</v>
      </c>
      <c r="N127" s="127">
        <v>4382.5599999999995</v>
      </c>
      <c r="O127" s="127">
        <v>4766.12</v>
      </c>
      <c r="P127" s="128">
        <v>4766.12</v>
      </c>
      <c r="Q127" s="83">
        <v>143.62</v>
      </c>
      <c r="R127" s="1">
        <v>144.47999999999999</v>
      </c>
      <c r="S127" s="89">
        <v>151.35999999999999</v>
      </c>
    </row>
    <row r="128" spans="1:33" x14ac:dyDescent="0.3">
      <c r="A128" s="41">
        <v>2043</v>
      </c>
      <c r="B128" s="123">
        <v>485.04</v>
      </c>
      <c r="C128" s="127">
        <v>545.24</v>
      </c>
      <c r="D128" s="127">
        <v>821.3</v>
      </c>
      <c r="E128" s="123">
        <v>460.09999999999997</v>
      </c>
      <c r="F128" s="127">
        <v>509.98</v>
      </c>
      <c r="G128" s="128">
        <v>753.36</v>
      </c>
      <c r="H128" s="123">
        <v>3769.38</v>
      </c>
      <c r="I128" s="127">
        <v>4275.92</v>
      </c>
      <c r="J128" s="128">
        <v>3930.2</v>
      </c>
      <c r="K128" s="127">
        <v>1456.84</v>
      </c>
      <c r="L128" s="127">
        <v>1496.3999999999999</v>
      </c>
      <c r="M128" s="128">
        <v>1518.76</v>
      </c>
      <c r="N128" s="127">
        <v>4362.78</v>
      </c>
      <c r="O128" s="127">
        <v>4759.24</v>
      </c>
      <c r="P128" s="128">
        <v>4766.12</v>
      </c>
      <c r="Q128" s="83">
        <v>143.62</v>
      </c>
      <c r="R128" s="1">
        <v>143.62</v>
      </c>
      <c r="S128" s="89">
        <v>147.91999999999999</v>
      </c>
    </row>
    <row r="129" spans="1:40" x14ac:dyDescent="0.3">
      <c r="A129" s="41">
        <v>2044</v>
      </c>
      <c r="B129" s="123">
        <v>479.02</v>
      </c>
      <c r="C129" s="127">
        <v>530.62</v>
      </c>
      <c r="D129" s="127">
        <v>811.84</v>
      </c>
      <c r="E129" s="123">
        <v>454.08</v>
      </c>
      <c r="F129" s="127">
        <v>497.08</v>
      </c>
      <c r="G129" s="128">
        <v>744.76</v>
      </c>
      <c r="H129" s="123">
        <v>3742.72</v>
      </c>
      <c r="I129" s="127">
        <v>4220.0199999999995</v>
      </c>
      <c r="J129" s="128">
        <v>3904.4</v>
      </c>
      <c r="K129" s="127">
        <v>1450.82</v>
      </c>
      <c r="L129" s="127">
        <v>1493.82</v>
      </c>
      <c r="M129" s="128">
        <v>1516.18</v>
      </c>
      <c r="N129" s="127">
        <v>4345.58</v>
      </c>
      <c r="O129" s="127">
        <v>4748.0599999999995</v>
      </c>
      <c r="P129" s="128">
        <v>4766.12</v>
      </c>
      <c r="Q129" s="83">
        <v>143.62</v>
      </c>
      <c r="R129" s="1">
        <v>143.62</v>
      </c>
      <c r="S129" s="89">
        <v>146.19999999999999</v>
      </c>
    </row>
    <row r="130" spans="1:40" x14ac:dyDescent="0.3">
      <c r="A130" s="41">
        <v>2045</v>
      </c>
      <c r="B130" s="123">
        <v>471.28</v>
      </c>
      <c r="C130" s="127">
        <v>516.86</v>
      </c>
      <c r="D130" s="127">
        <v>803.24</v>
      </c>
      <c r="E130" s="123">
        <v>446.34</v>
      </c>
      <c r="F130" s="127">
        <v>484.18</v>
      </c>
      <c r="G130" s="128">
        <v>736.16</v>
      </c>
      <c r="H130" s="123">
        <v>3720.36</v>
      </c>
      <c r="I130" s="127">
        <v>4175.3</v>
      </c>
      <c r="J130" s="128">
        <v>3878.6</v>
      </c>
      <c r="K130" s="127">
        <v>1444.8</v>
      </c>
      <c r="L130" s="127">
        <v>1491.24</v>
      </c>
      <c r="M130" s="128">
        <v>1513.6</v>
      </c>
      <c r="N130" s="127">
        <v>4330.96</v>
      </c>
      <c r="O130" s="127">
        <v>4716.24</v>
      </c>
      <c r="P130" s="128">
        <v>4758.38</v>
      </c>
      <c r="Q130" s="83">
        <v>142.76</v>
      </c>
      <c r="R130" s="1">
        <v>143.62</v>
      </c>
      <c r="S130" s="89">
        <v>145.34</v>
      </c>
    </row>
    <row r="131" spans="1:40" x14ac:dyDescent="0.3">
      <c r="A131" s="41">
        <v>2046</v>
      </c>
      <c r="B131" s="123">
        <v>465.26</v>
      </c>
      <c r="C131" s="127">
        <v>505.68</v>
      </c>
      <c r="D131" s="127">
        <v>796.36</v>
      </c>
      <c r="E131" s="123">
        <v>440.32</v>
      </c>
      <c r="F131" s="127">
        <v>474.71999999999997</v>
      </c>
      <c r="G131" s="128">
        <v>730.14</v>
      </c>
      <c r="H131" s="123">
        <v>3685.1</v>
      </c>
      <c r="I131" s="127">
        <v>4139.18</v>
      </c>
      <c r="J131" s="128">
        <v>3838.18</v>
      </c>
      <c r="K131" s="127">
        <v>1439.6399999999999</v>
      </c>
      <c r="L131" s="127">
        <v>1488.66</v>
      </c>
      <c r="M131" s="128">
        <v>1510.16</v>
      </c>
      <c r="N131" s="127">
        <v>4318.0599999999995</v>
      </c>
      <c r="O131" s="127">
        <v>4678.3999999999996</v>
      </c>
      <c r="P131" s="128">
        <v>4744.62</v>
      </c>
      <c r="Q131" s="83">
        <v>142.76</v>
      </c>
      <c r="R131" s="1">
        <v>143.62</v>
      </c>
      <c r="S131" s="89">
        <v>144.47999999999999</v>
      </c>
    </row>
    <row r="132" spans="1:40" x14ac:dyDescent="0.3">
      <c r="A132" s="41">
        <v>2047</v>
      </c>
      <c r="B132" s="123">
        <v>458.38</v>
      </c>
      <c r="C132" s="127">
        <v>497.08</v>
      </c>
      <c r="D132" s="127">
        <v>791.19999999999993</v>
      </c>
      <c r="E132" s="123">
        <v>434.3</v>
      </c>
      <c r="F132" s="127">
        <v>466.98</v>
      </c>
      <c r="G132" s="128">
        <v>724.98</v>
      </c>
      <c r="H132" s="123">
        <v>3637.7999999999997</v>
      </c>
      <c r="I132" s="127">
        <v>4109.9399999999996</v>
      </c>
      <c r="J132" s="128">
        <v>3785.72</v>
      </c>
      <c r="K132" s="127">
        <v>1435.34</v>
      </c>
      <c r="L132" s="127">
        <v>1486.94</v>
      </c>
      <c r="M132" s="128">
        <v>1505.86</v>
      </c>
      <c r="N132" s="127">
        <v>4306.0199999999995</v>
      </c>
      <c r="O132" s="127">
        <v>4634.54</v>
      </c>
      <c r="P132" s="128">
        <v>4724.84</v>
      </c>
      <c r="Q132" s="83">
        <v>142.76</v>
      </c>
      <c r="R132" s="1">
        <v>142.76</v>
      </c>
      <c r="S132" s="89">
        <v>144.47999999999999</v>
      </c>
    </row>
    <row r="133" spans="1:40" x14ac:dyDescent="0.3">
      <c r="A133" s="41">
        <v>2048</v>
      </c>
      <c r="B133" s="123">
        <v>453.21999999999997</v>
      </c>
      <c r="C133" s="127">
        <v>490.2</v>
      </c>
      <c r="D133" s="127">
        <v>783.46</v>
      </c>
      <c r="E133" s="123">
        <v>429.14</v>
      </c>
      <c r="F133" s="127">
        <v>460.09999999999997</v>
      </c>
      <c r="G133" s="128">
        <v>718.1</v>
      </c>
      <c r="H133" s="123">
        <v>3578.46</v>
      </c>
      <c r="I133" s="127">
        <v>4068.66</v>
      </c>
      <c r="J133" s="128">
        <v>3725.52</v>
      </c>
      <c r="K133" s="127">
        <v>1431.04</v>
      </c>
      <c r="L133" s="127">
        <v>1484.36</v>
      </c>
      <c r="M133" s="128">
        <v>1501.56</v>
      </c>
      <c r="N133" s="127">
        <v>4295.7</v>
      </c>
      <c r="O133" s="127">
        <v>4602.72</v>
      </c>
      <c r="P133" s="128">
        <v>4700.76</v>
      </c>
      <c r="Q133" s="83">
        <v>142.76</v>
      </c>
      <c r="R133" s="1">
        <v>142.76</v>
      </c>
      <c r="S133" s="89">
        <v>143.62</v>
      </c>
    </row>
    <row r="134" spans="1:40" x14ac:dyDescent="0.3">
      <c r="A134" s="41">
        <v>2049</v>
      </c>
      <c r="B134" s="123">
        <v>445.48</v>
      </c>
      <c r="C134" s="127">
        <v>484.18</v>
      </c>
      <c r="D134" s="127">
        <v>775.72</v>
      </c>
      <c r="E134" s="123">
        <v>422.26</v>
      </c>
      <c r="F134" s="127">
        <v>454.94</v>
      </c>
      <c r="G134" s="128">
        <v>711.22</v>
      </c>
      <c r="H134" s="123">
        <v>3526</v>
      </c>
      <c r="I134" s="127">
        <v>4013.62</v>
      </c>
      <c r="J134" s="128">
        <v>3673.06</v>
      </c>
      <c r="K134" s="127">
        <v>1425.8799999999999</v>
      </c>
      <c r="L134" s="127">
        <v>1481.78</v>
      </c>
      <c r="M134" s="128">
        <v>1498.12</v>
      </c>
      <c r="N134" s="127">
        <v>4286.24</v>
      </c>
      <c r="O134" s="127">
        <v>4573.4799999999996</v>
      </c>
      <c r="P134" s="128">
        <v>4674.1000000000004</v>
      </c>
      <c r="Q134" s="83">
        <v>142.76</v>
      </c>
      <c r="R134" s="1">
        <v>142.76</v>
      </c>
      <c r="S134" s="89">
        <v>143.62</v>
      </c>
    </row>
    <row r="135" spans="1:40" ht="15" thickBot="1" x14ac:dyDescent="0.35">
      <c r="A135" s="42">
        <v>2050</v>
      </c>
      <c r="B135" s="124">
        <v>441.18</v>
      </c>
      <c r="C135" s="129">
        <v>480.74</v>
      </c>
      <c r="D135" s="129">
        <v>770.56</v>
      </c>
      <c r="E135" s="124">
        <v>418.82</v>
      </c>
      <c r="F135" s="129">
        <v>451.5</v>
      </c>
      <c r="G135" s="130">
        <v>706.06</v>
      </c>
      <c r="H135" s="124">
        <v>3501.06</v>
      </c>
      <c r="I135" s="129">
        <v>3978.36</v>
      </c>
      <c r="J135" s="130">
        <v>3647.2599999999998</v>
      </c>
      <c r="K135" s="129">
        <v>1424.16</v>
      </c>
      <c r="L135" s="129">
        <v>1480.06</v>
      </c>
      <c r="M135" s="130">
        <v>1497.26</v>
      </c>
      <c r="N135" s="129">
        <v>4281.9399999999996</v>
      </c>
      <c r="O135" s="129">
        <v>4559.72</v>
      </c>
      <c r="P135" s="130">
        <v>4658.62</v>
      </c>
      <c r="Q135" s="90">
        <v>142.76</v>
      </c>
      <c r="R135" s="91">
        <v>142.76</v>
      </c>
      <c r="S135" s="92">
        <v>143.62</v>
      </c>
    </row>
    <row r="137" spans="1:40" ht="16.2" x14ac:dyDescent="0.3">
      <c r="A137" s="93" t="s">
        <v>271</v>
      </c>
    </row>
    <row r="138" spans="1:40" ht="15" thickBot="1" x14ac:dyDescent="0.35"/>
    <row r="139" spans="1:40" ht="18.600000000000001" thickBot="1" x14ac:dyDescent="0.4">
      <c r="A139" s="289" t="s">
        <v>0</v>
      </c>
      <c r="B139" s="380" t="s">
        <v>390</v>
      </c>
      <c r="C139" s="381"/>
      <c r="D139" s="381"/>
      <c r="E139" s="381"/>
      <c r="F139" s="381"/>
      <c r="G139" s="381"/>
      <c r="H139" s="381"/>
      <c r="I139" s="381"/>
      <c r="J139" s="381"/>
      <c r="K139" s="381"/>
      <c r="L139" s="381"/>
      <c r="M139" s="381"/>
      <c r="N139" s="381"/>
      <c r="O139" s="381"/>
      <c r="P139" s="381"/>
      <c r="Q139" s="381"/>
      <c r="R139" s="381"/>
      <c r="S139" s="382"/>
      <c r="U139" s="380" t="s">
        <v>391</v>
      </c>
      <c r="V139" s="381"/>
      <c r="W139" s="381"/>
      <c r="X139" s="381"/>
      <c r="Y139" s="381"/>
      <c r="Z139" s="382"/>
      <c r="AB139" s="380" t="s">
        <v>392</v>
      </c>
      <c r="AC139" s="381"/>
      <c r="AD139" s="381"/>
      <c r="AE139" s="381"/>
      <c r="AF139" s="381"/>
      <c r="AG139" s="381"/>
      <c r="AH139" s="381"/>
      <c r="AI139" s="381"/>
      <c r="AJ139" s="381"/>
      <c r="AK139" s="382"/>
    </row>
    <row r="140" spans="1:40" ht="20.399999999999999" thickBot="1" x14ac:dyDescent="0.35">
      <c r="A140" s="344"/>
      <c r="B140" s="422" t="s">
        <v>58</v>
      </c>
      <c r="C140" s="423"/>
      <c r="D140" s="424"/>
      <c r="E140" s="425" t="s">
        <v>155</v>
      </c>
      <c r="F140" s="426"/>
      <c r="G140" s="427"/>
      <c r="H140" s="416" t="s">
        <v>277</v>
      </c>
      <c r="I140" s="417"/>
      <c r="J140" s="418"/>
      <c r="K140" s="428" t="s">
        <v>228</v>
      </c>
      <c r="L140" s="429"/>
      <c r="M140" s="430"/>
      <c r="N140" s="431" t="s">
        <v>59</v>
      </c>
      <c r="O140" s="432"/>
      <c r="P140" s="433"/>
      <c r="Q140" s="443" t="s">
        <v>270</v>
      </c>
      <c r="R140" s="444"/>
      <c r="S140" s="445"/>
      <c r="U140" s="437" t="s">
        <v>272</v>
      </c>
      <c r="V140" s="438"/>
      <c r="W140" s="439"/>
      <c r="X140" s="440" t="s">
        <v>273</v>
      </c>
      <c r="Y140" s="441"/>
      <c r="Z140" s="442"/>
      <c r="AB140" s="289" t="s">
        <v>0</v>
      </c>
      <c r="AC140" s="368" t="s">
        <v>58</v>
      </c>
      <c r="AD140" s="369"/>
      <c r="AE140" s="370"/>
      <c r="AF140" s="410" t="s">
        <v>228</v>
      </c>
      <c r="AG140" s="411"/>
      <c r="AH140" s="412"/>
      <c r="AI140" s="413" t="s">
        <v>266</v>
      </c>
      <c r="AJ140" s="414"/>
      <c r="AK140" s="415"/>
    </row>
    <row r="141" spans="1:40" ht="15" thickBot="1" x14ac:dyDescent="0.35">
      <c r="A141" s="290"/>
      <c r="B141" s="29" t="s">
        <v>268</v>
      </c>
      <c r="C141" s="30" t="s">
        <v>267</v>
      </c>
      <c r="D141" s="31" t="s">
        <v>269</v>
      </c>
      <c r="E141" s="29" t="s">
        <v>268</v>
      </c>
      <c r="F141" s="30" t="s">
        <v>267</v>
      </c>
      <c r="G141" s="31" t="s">
        <v>269</v>
      </c>
      <c r="H141" s="29" t="s">
        <v>268</v>
      </c>
      <c r="I141" s="30" t="s">
        <v>267</v>
      </c>
      <c r="J141" s="31" t="s">
        <v>269</v>
      </c>
      <c r="K141" s="29" t="s">
        <v>268</v>
      </c>
      <c r="L141" s="30" t="s">
        <v>267</v>
      </c>
      <c r="M141" s="31" t="s">
        <v>269</v>
      </c>
      <c r="N141" s="29" t="s">
        <v>268</v>
      </c>
      <c r="O141" s="30" t="s">
        <v>267</v>
      </c>
      <c r="P141" s="31" t="s">
        <v>269</v>
      </c>
      <c r="Q141" s="29" t="s">
        <v>268</v>
      </c>
      <c r="R141" s="30" t="s">
        <v>267</v>
      </c>
      <c r="S141" s="31" t="s">
        <v>269</v>
      </c>
      <c r="U141" s="29" t="s">
        <v>268</v>
      </c>
      <c r="V141" s="30" t="s">
        <v>269</v>
      </c>
      <c r="W141" s="31" t="s">
        <v>267</v>
      </c>
      <c r="X141" s="29" t="s">
        <v>268</v>
      </c>
      <c r="Y141" s="30" t="s">
        <v>269</v>
      </c>
      <c r="Z141" s="31" t="s">
        <v>267</v>
      </c>
      <c r="AB141" s="344"/>
      <c r="AC141" s="419" t="s">
        <v>263</v>
      </c>
      <c r="AD141" s="420"/>
      <c r="AE141" s="421"/>
      <c r="AF141" s="419" t="s">
        <v>263</v>
      </c>
      <c r="AG141" s="420"/>
      <c r="AH141" s="421"/>
      <c r="AI141" s="416"/>
      <c r="AJ141" s="417"/>
      <c r="AK141" s="418"/>
      <c r="AN141" s="127"/>
    </row>
    <row r="142" spans="1:40" ht="15" thickBot="1" x14ac:dyDescent="0.35">
      <c r="A142" s="41">
        <v>2020</v>
      </c>
      <c r="B142" s="123">
        <v>1264.2</v>
      </c>
      <c r="C142" s="127">
        <v>1264.2</v>
      </c>
      <c r="D142" s="127">
        <v>1264.2</v>
      </c>
      <c r="E142" s="123">
        <v>1208.76</v>
      </c>
      <c r="F142" s="127">
        <v>1208.76</v>
      </c>
      <c r="G142" s="128">
        <v>1208.76</v>
      </c>
      <c r="H142" s="123">
        <v>6225.24</v>
      </c>
      <c r="I142" s="127">
        <v>6225.24</v>
      </c>
      <c r="J142" s="128">
        <v>6225.24</v>
      </c>
      <c r="K142" s="127">
        <v>1638.84</v>
      </c>
      <c r="L142" s="127">
        <v>1638.84</v>
      </c>
      <c r="M142" s="128">
        <v>1638.84</v>
      </c>
      <c r="N142" s="127">
        <v>4847.6399999999994</v>
      </c>
      <c r="O142" s="127">
        <v>4847.6399999999994</v>
      </c>
      <c r="P142" s="128">
        <v>4847.6399999999994</v>
      </c>
      <c r="Q142" s="83">
        <v>353.64</v>
      </c>
      <c r="R142" s="1">
        <v>353.64</v>
      </c>
      <c r="S142" s="89">
        <v>353.64</v>
      </c>
      <c r="U142" s="122">
        <v>2113.44</v>
      </c>
      <c r="V142" s="125">
        <v>2113.44</v>
      </c>
      <c r="W142" s="126">
        <v>2113.44</v>
      </c>
      <c r="X142" s="125">
        <v>2948.4</v>
      </c>
      <c r="Y142" s="125">
        <v>2948.4</v>
      </c>
      <c r="Z142" s="126">
        <v>2948.4</v>
      </c>
      <c r="AB142" s="290"/>
      <c r="AC142" s="78" t="s">
        <v>18</v>
      </c>
      <c r="AD142" s="79" t="s">
        <v>19</v>
      </c>
      <c r="AE142" s="80" t="s">
        <v>22</v>
      </c>
      <c r="AF142" s="78" t="s">
        <v>18</v>
      </c>
      <c r="AG142" s="79" t="s">
        <v>19</v>
      </c>
      <c r="AH142" s="80" t="s">
        <v>22</v>
      </c>
      <c r="AI142" s="78" t="s">
        <v>18</v>
      </c>
      <c r="AJ142" s="79" t="s">
        <v>19</v>
      </c>
      <c r="AK142" s="80" t="s">
        <v>22</v>
      </c>
      <c r="AN142" s="127"/>
    </row>
    <row r="143" spans="1:40" x14ac:dyDescent="0.3">
      <c r="A143" s="41">
        <v>2021</v>
      </c>
      <c r="B143" s="123">
        <v>1016.4</v>
      </c>
      <c r="C143" s="127">
        <v>1140.72</v>
      </c>
      <c r="D143" s="127">
        <v>1217.1599999999999</v>
      </c>
      <c r="E143" s="123">
        <v>982.8</v>
      </c>
      <c r="F143" s="127">
        <v>1095.3599999999999</v>
      </c>
      <c r="G143" s="128">
        <v>1164.24</v>
      </c>
      <c r="H143" s="123">
        <v>6204.24</v>
      </c>
      <c r="I143" s="127">
        <v>6116.04</v>
      </c>
      <c r="J143" s="128">
        <v>6210.96</v>
      </c>
      <c r="K143" s="127">
        <v>1631.28</v>
      </c>
      <c r="L143" s="127">
        <v>1631.28</v>
      </c>
      <c r="M143" s="128">
        <v>1627.08</v>
      </c>
      <c r="N143" s="127">
        <v>4793.04</v>
      </c>
      <c r="O143" s="127">
        <v>4730.88</v>
      </c>
      <c r="P143" s="128">
        <v>4811.5199999999995</v>
      </c>
      <c r="Q143" s="83">
        <v>307.44</v>
      </c>
      <c r="R143" s="1">
        <v>338.52</v>
      </c>
      <c r="S143" s="89">
        <v>347.76</v>
      </c>
      <c r="U143" s="123">
        <v>1551.48</v>
      </c>
      <c r="V143" s="127">
        <v>1732.08</v>
      </c>
      <c r="W143" s="128">
        <v>1735.4399999999998</v>
      </c>
      <c r="X143" s="127">
        <v>2281.44</v>
      </c>
      <c r="Y143" s="127">
        <v>2304.12</v>
      </c>
      <c r="Z143" s="128">
        <v>2318.4</v>
      </c>
      <c r="AB143" s="52">
        <v>2020</v>
      </c>
      <c r="AC143" s="122">
        <v>41.367318731117024</v>
      </c>
      <c r="AD143" s="125">
        <v>50.768982079098173</v>
      </c>
      <c r="AE143" s="126">
        <v>60.170645427079322</v>
      </c>
      <c r="AF143" s="122">
        <v>40.66124187686161</v>
      </c>
      <c r="AG143" s="125">
        <v>45.889115832458103</v>
      </c>
      <c r="AH143" s="126">
        <v>51.116989788054596</v>
      </c>
      <c r="AI143" s="122">
        <v>144.52799339334175</v>
      </c>
      <c r="AJ143" s="125">
        <v>161.73370689254909</v>
      </c>
      <c r="AK143" s="126">
        <v>178.93942039175644</v>
      </c>
      <c r="AN143" s="127"/>
    </row>
    <row r="144" spans="1:40" x14ac:dyDescent="0.3">
      <c r="A144" s="41">
        <v>2022</v>
      </c>
      <c r="B144" s="123">
        <v>856.8</v>
      </c>
      <c r="C144" s="127">
        <v>1056.72</v>
      </c>
      <c r="D144" s="127">
        <v>1177.68</v>
      </c>
      <c r="E144" s="123">
        <v>837.48</v>
      </c>
      <c r="F144" s="127">
        <v>1017.24</v>
      </c>
      <c r="G144" s="128">
        <v>1126.44</v>
      </c>
      <c r="H144" s="123">
        <v>6158.04</v>
      </c>
      <c r="I144" s="127">
        <v>6051.36</v>
      </c>
      <c r="J144" s="128">
        <v>6177.36</v>
      </c>
      <c r="K144" s="127">
        <v>1626.24</v>
      </c>
      <c r="L144" s="127">
        <v>1624.56</v>
      </c>
      <c r="M144" s="128">
        <v>1617.84</v>
      </c>
      <c r="N144" s="127">
        <v>4730.88</v>
      </c>
      <c r="O144" s="127">
        <v>4638.4799999999996</v>
      </c>
      <c r="P144" s="128">
        <v>4761.96</v>
      </c>
      <c r="Q144" s="83">
        <v>278.88</v>
      </c>
      <c r="R144" s="1">
        <v>326.76</v>
      </c>
      <c r="S144" s="89">
        <v>343.56</v>
      </c>
      <c r="U144" s="123">
        <v>1370.04</v>
      </c>
      <c r="V144" s="127">
        <v>1487.6399999999999</v>
      </c>
      <c r="W144" s="128">
        <v>1489.32</v>
      </c>
      <c r="X144" s="127">
        <v>1817.76</v>
      </c>
      <c r="Y144" s="127">
        <v>1858.08</v>
      </c>
      <c r="Z144" s="128">
        <v>1880.76</v>
      </c>
      <c r="AB144" s="24">
        <v>2030</v>
      </c>
      <c r="AC144" s="123">
        <v>23.603647932804932</v>
      </c>
      <c r="AD144" s="127">
        <v>35.041727856388356</v>
      </c>
      <c r="AE144" s="128">
        <v>46.479807779971786</v>
      </c>
      <c r="AF144" s="123">
        <v>37.372814109092275</v>
      </c>
      <c r="AG144" s="127">
        <v>43.783595781980019</v>
      </c>
      <c r="AH144" s="128">
        <v>50.194377454867762</v>
      </c>
      <c r="AI144" s="123">
        <v>121.49921827298071</v>
      </c>
      <c r="AJ144" s="127">
        <v>141.18188028463481</v>
      </c>
      <c r="AK144" s="128">
        <v>160.86454229628893</v>
      </c>
      <c r="AN144" s="127"/>
    </row>
    <row r="145" spans="1:40" x14ac:dyDescent="0.3">
      <c r="A145" s="41">
        <v>2023</v>
      </c>
      <c r="B145" s="123">
        <v>797.16</v>
      </c>
      <c r="C145" s="127">
        <v>1012.1999999999999</v>
      </c>
      <c r="D145" s="127">
        <v>1145.76</v>
      </c>
      <c r="E145" s="123">
        <v>782.04</v>
      </c>
      <c r="F145" s="127">
        <v>976.07999999999993</v>
      </c>
      <c r="G145" s="128">
        <v>1096.2</v>
      </c>
      <c r="H145" s="123">
        <v>6046.32</v>
      </c>
      <c r="I145" s="127">
        <v>5997.5999999999995</v>
      </c>
      <c r="J145" s="128">
        <v>6087.48</v>
      </c>
      <c r="K145" s="127">
        <v>1622.04</v>
      </c>
      <c r="L145" s="127">
        <v>1620.36</v>
      </c>
      <c r="M145" s="128">
        <v>1611.12</v>
      </c>
      <c r="N145" s="127">
        <v>4663.6799999999994</v>
      </c>
      <c r="O145" s="127">
        <v>4586.3999999999996</v>
      </c>
      <c r="P145" s="128">
        <v>4702.32</v>
      </c>
      <c r="Q145" s="83">
        <v>248.64</v>
      </c>
      <c r="R145" s="1">
        <v>314.15999999999997</v>
      </c>
      <c r="S145" s="89">
        <v>338.52</v>
      </c>
      <c r="U145" s="123">
        <v>1252.44</v>
      </c>
      <c r="V145" s="127">
        <v>1329.72</v>
      </c>
      <c r="W145" s="128">
        <v>1327.2</v>
      </c>
      <c r="X145" s="127">
        <v>1487.6399999999999</v>
      </c>
      <c r="Y145" s="127">
        <v>1542.24</v>
      </c>
      <c r="Z145" s="128">
        <v>1569.12</v>
      </c>
      <c r="AB145" s="24">
        <v>2040</v>
      </c>
      <c r="AC145" s="123">
        <v>18.80951899967058</v>
      </c>
      <c r="AD145" s="127">
        <v>29.497591617584082</v>
      </c>
      <c r="AE145" s="128">
        <v>40.185664235497576</v>
      </c>
      <c r="AF145" s="123">
        <v>35.150089857541126</v>
      </c>
      <c r="AG145" s="127">
        <v>42.143085595729886</v>
      </c>
      <c r="AH145" s="128">
        <v>49.136081333918639</v>
      </c>
      <c r="AI145" s="123">
        <v>109.78479997959859</v>
      </c>
      <c r="AJ145" s="127">
        <v>131.28397049899257</v>
      </c>
      <c r="AK145" s="128">
        <v>152.78314101838657</v>
      </c>
      <c r="AN145" s="127"/>
    </row>
    <row r="146" spans="1:40" ht="15" thickBot="1" x14ac:dyDescent="0.35">
      <c r="A146" s="41">
        <v>2024</v>
      </c>
      <c r="B146" s="123">
        <v>758.52</v>
      </c>
      <c r="C146" s="127">
        <v>972.71999999999991</v>
      </c>
      <c r="D146" s="127">
        <v>1118.8799999999999</v>
      </c>
      <c r="E146" s="123">
        <v>745.92</v>
      </c>
      <c r="F146" s="127">
        <v>938.28</v>
      </c>
      <c r="G146" s="128">
        <v>1070.1599999999999</v>
      </c>
      <c r="H146" s="123">
        <v>5866.5599999999995</v>
      </c>
      <c r="I146" s="127">
        <v>5949.7199999999993</v>
      </c>
      <c r="J146" s="128">
        <v>5941.32</v>
      </c>
      <c r="K146" s="127">
        <v>1613.6399999999999</v>
      </c>
      <c r="L146" s="127">
        <v>1617.84</v>
      </c>
      <c r="M146" s="128">
        <v>1603.56</v>
      </c>
      <c r="N146" s="127">
        <v>4605.72</v>
      </c>
      <c r="O146" s="127">
        <v>4555.32</v>
      </c>
      <c r="P146" s="128">
        <v>4632.5999999999995</v>
      </c>
      <c r="Q146" s="83">
        <v>227.64</v>
      </c>
      <c r="R146" s="1">
        <v>306.59999999999997</v>
      </c>
      <c r="S146" s="89">
        <v>334.32</v>
      </c>
      <c r="U146" s="123">
        <v>1183.56</v>
      </c>
      <c r="V146" s="127">
        <v>1232.28</v>
      </c>
      <c r="W146" s="128">
        <v>1224.72</v>
      </c>
      <c r="X146" s="127">
        <v>1254.1199999999999</v>
      </c>
      <c r="Y146" s="127">
        <v>1319.6399999999999</v>
      </c>
      <c r="Z146" s="128">
        <v>1349.8799999999999</v>
      </c>
      <c r="AB146" s="25">
        <v>2050</v>
      </c>
      <c r="AC146" s="124">
        <v>17.929104209919302</v>
      </c>
      <c r="AD146" s="129">
        <v>25.923901808980059</v>
      </c>
      <c r="AE146" s="130">
        <v>33.918699408040823</v>
      </c>
      <c r="AF146" s="124">
        <v>32.977095232346656</v>
      </c>
      <c r="AG146" s="129">
        <v>40.680304264337472</v>
      </c>
      <c r="AH146" s="130">
        <v>48.383513296328289</v>
      </c>
      <c r="AI146" s="124">
        <v>102.04175130304624</v>
      </c>
      <c r="AJ146" s="129">
        <v>121.91052801653623</v>
      </c>
      <c r="AK146" s="130">
        <v>141.77930473002627</v>
      </c>
    </row>
    <row r="147" spans="1:40" x14ac:dyDescent="0.3">
      <c r="A147" s="41">
        <v>2025</v>
      </c>
      <c r="B147" s="123">
        <v>734.16</v>
      </c>
      <c r="C147" s="127">
        <v>934.92</v>
      </c>
      <c r="D147" s="127">
        <v>1092.8399999999999</v>
      </c>
      <c r="E147" s="123">
        <v>723.24</v>
      </c>
      <c r="F147" s="127">
        <v>903.83999999999992</v>
      </c>
      <c r="G147" s="128">
        <v>1046.6399999999999</v>
      </c>
      <c r="H147" s="123">
        <v>5666.6399999999994</v>
      </c>
      <c r="I147" s="127">
        <v>5865.7199999999993</v>
      </c>
      <c r="J147" s="128">
        <v>5748.12</v>
      </c>
      <c r="K147" s="127">
        <v>1602.72</v>
      </c>
      <c r="L147" s="127">
        <v>1615.32</v>
      </c>
      <c r="M147" s="128">
        <v>1596.84</v>
      </c>
      <c r="N147" s="127">
        <v>4556.16</v>
      </c>
      <c r="O147" s="127">
        <v>4531.8</v>
      </c>
      <c r="P147" s="128">
        <v>4574.6399999999994</v>
      </c>
      <c r="Q147" s="83">
        <v>210</v>
      </c>
      <c r="R147" s="1">
        <v>294.83999999999997</v>
      </c>
      <c r="S147" s="89">
        <v>330.12</v>
      </c>
      <c r="U147" s="123">
        <v>1154.1599999999999</v>
      </c>
      <c r="V147" s="127">
        <v>1181.04</v>
      </c>
      <c r="W147" s="128">
        <v>1167.5999999999999</v>
      </c>
      <c r="X147" s="127">
        <v>1096.2</v>
      </c>
      <c r="Y147" s="127">
        <v>1170.1199999999999</v>
      </c>
      <c r="Z147" s="128">
        <v>1202.8799999999999</v>
      </c>
    </row>
    <row r="148" spans="1:40" x14ac:dyDescent="0.3">
      <c r="A148" s="41">
        <v>2026</v>
      </c>
      <c r="B148" s="123">
        <v>713.16</v>
      </c>
      <c r="C148" s="127">
        <v>898.8</v>
      </c>
      <c r="D148" s="127">
        <v>1069.32</v>
      </c>
      <c r="E148" s="123">
        <v>703.07999999999993</v>
      </c>
      <c r="F148" s="127">
        <v>870.24</v>
      </c>
      <c r="G148" s="128">
        <v>1023.12</v>
      </c>
      <c r="H148" s="123">
        <v>5506.2</v>
      </c>
      <c r="I148" s="127">
        <v>5780.04</v>
      </c>
      <c r="J148" s="128">
        <v>5570.88</v>
      </c>
      <c r="K148" s="127">
        <v>1590.96</v>
      </c>
      <c r="L148" s="127">
        <v>1612.8</v>
      </c>
      <c r="M148" s="128">
        <v>1590.96</v>
      </c>
      <c r="N148" s="127">
        <v>4513.32</v>
      </c>
      <c r="O148" s="127">
        <v>4511.6399999999994</v>
      </c>
      <c r="P148" s="128">
        <v>4524.24</v>
      </c>
      <c r="Q148" s="83">
        <v>196.56</v>
      </c>
      <c r="R148" s="1">
        <v>286.44</v>
      </c>
      <c r="S148" s="89">
        <v>318.36</v>
      </c>
      <c r="U148" s="123">
        <v>1134</v>
      </c>
      <c r="V148" s="127">
        <v>1150.8</v>
      </c>
      <c r="W148" s="128">
        <v>1130.6399999999999</v>
      </c>
      <c r="X148" s="127">
        <v>977.76</v>
      </c>
      <c r="Y148" s="127">
        <v>1058.3999999999999</v>
      </c>
      <c r="Z148" s="128">
        <v>1094.52</v>
      </c>
    </row>
    <row r="149" spans="1:40" x14ac:dyDescent="0.3">
      <c r="A149" s="41">
        <v>2027</v>
      </c>
      <c r="B149" s="123">
        <v>695.52</v>
      </c>
      <c r="C149" s="127">
        <v>865.19999999999993</v>
      </c>
      <c r="D149" s="127">
        <v>1047.48</v>
      </c>
      <c r="E149" s="123">
        <v>684.6</v>
      </c>
      <c r="F149" s="127">
        <v>838.31999999999994</v>
      </c>
      <c r="G149" s="128">
        <v>1002.12</v>
      </c>
      <c r="H149" s="123">
        <v>5398.6799999999994</v>
      </c>
      <c r="I149" s="127">
        <v>5680.08</v>
      </c>
      <c r="J149" s="128">
        <v>5446.5599999999995</v>
      </c>
      <c r="K149" s="127">
        <v>1580.8799999999999</v>
      </c>
      <c r="L149" s="127">
        <v>1611.12</v>
      </c>
      <c r="M149" s="128">
        <v>1585.9199999999998</v>
      </c>
      <c r="N149" s="127">
        <v>4476.3599999999997</v>
      </c>
      <c r="O149" s="127">
        <v>4499.04</v>
      </c>
      <c r="P149" s="128">
        <v>4481.3999999999996</v>
      </c>
      <c r="Q149" s="83">
        <v>184.79999999999998</v>
      </c>
      <c r="R149" s="1">
        <v>278.03999999999996</v>
      </c>
      <c r="S149" s="89">
        <v>304.92</v>
      </c>
      <c r="U149" s="123">
        <v>1104.5999999999999</v>
      </c>
      <c r="V149" s="127">
        <v>1123.08</v>
      </c>
      <c r="W149" s="128">
        <v>1096.2</v>
      </c>
      <c r="X149" s="127">
        <v>874.43999999999994</v>
      </c>
      <c r="Y149" s="127">
        <v>960.12</v>
      </c>
      <c r="Z149" s="128">
        <v>997.92</v>
      </c>
    </row>
    <row r="150" spans="1:40" x14ac:dyDescent="0.3">
      <c r="A150" s="41">
        <v>2028</v>
      </c>
      <c r="B150" s="123">
        <v>677.04</v>
      </c>
      <c r="C150" s="127">
        <v>835.8</v>
      </c>
      <c r="D150" s="127">
        <v>1029</v>
      </c>
      <c r="E150" s="123">
        <v>666.12</v>
      </c>
      <c r="F150" s="127">
        <v>808.92</v>
      </c>
      <c r="G150" s="128">
        <v>983.64</v>
      </c>
      <c r="H150" s="123">
        <v>5291.16</v>
      </c>
      <c r="I150" s="127">
        <v>5591.88</v>
      </c>
      <c r="J150" s="128">
        <v>5372.6399999999994</v>
      </c>
      <c r="K150" s="127">
        <v>1574.1599999999999</v>
      </c>
      <c r="L150" s="127">
        <v>1608.6</v>
      </c>
      <c r="M150" s="128">
        <v>1580.8799999999999</v>
      </c>
      <c r="N150" s="127">
        <v>4442.76</v>
      </c>
      <c r="O150" s="127">
        <v>4499.04</v>
      </c>
      <c r="P150" s="128">
        <v>4443.5999999999995</v>
      </c>
      <c r="Q150" s="83">
        <v>175.56</v>
      </c>
      <c r="R150" s="1">
        <v>264.59999999999997</v>
      </c>
      <c r="S150" s="89">
        <v>294</v>
      </c>
      <c r="U150" s="123">
        <v>1075.2</v>
      </c>
      <c r="V150" s="127">
        <v>1097.8799999999999</v>
      </c>
      <c r="W150" s="128">
        <v>1061.76</v>
      </c>
      <c r="X150" s="127">
        <v>782.88</v>
      </c>
      <c r="Y150" s="127">
        <v>872.76</v>
      </c>
      <c r="Z150" s="128">
        <v>912.24</v>
      </c>
    </row>
    <row r="151" spans="1:40" x14ac:dyDescent="0.3">
      <c r="A151" s="41">
        <v>2029</v>
      </c>
      <c r="B151" s="123">
        <v>660.24</v>
      </c>
      <c r="C151" s="127">
        <v>808.92</v>
      </c>
      <c r="D151" s="127">
        <v>1013.04</v>
      </c>
      <c r="E151" s="123">
        <v>650.16</v>
      </c>
      <c r="F151" s="127">
        <v>783.72</v>
      </c>
      <c r="G151" s="128">
        <v>967.68</v>
      </c>
      <c r="H151" s="123">
        <v>5154.24</v>
      </c>
      <c r="I151" s="127">
        <v>5518.8</v>
      </c>
      <c r="J151" s="128">
        <v>5319.72</v>
      </c>
      <c r="K151" s="127">
        <v>1568.28</v>
      </c>
      <c r="L151" s="127">
        <v>1606.08</v>
      </c>
      <c r="M151" s="128">
        <v>1576.6799999999998</v>
      </c>
      <c r="N151" s="127">
        <v>4413.3599999999997</v>
      </c>
      <c r="O151" s="127">
        <v>4497.3599999999997</v>
      </c>
      <c r="P151" s="128">
        <v>4410.84</v>
      </c>
      <c r="Q151" s="83">
        <v>163.79999999999998</v>
      </c>
      <c r="R151" s="1">
        <v>249.48</v>
      </c>
      <c r="S151" s="89">
        <v>279.71999999999997</v>
      </c>
      <c r="U151" s="123">
        <v>1046.6399999999999</v>
      </c>
      <c r="V151" s="127">
        <v>1075.2</v>
      </c>
      <c r="W151" s="128">
        <v>1029</v>
      </c>
      <c r="X151" s="127">
        <v>705.6</v>
      </c>
      <c r="Y151" s="127">
        <v>798</v>
      </c>
      <c r="Z151" s="128">
        <v>838.31999999999994</v>
      </c>
    </row>
    <row r="152" spans="1:40" x14ac:dyDescent="0.3">
      <c r="A152" s="41">
        <v>2030</v>
      </c>
      <c r="B152" s="123">
        <v>645.12</v>
      </c>
      <c r="C152" s="127">
        <v>783.72</v>
      </c>
      <c r="D152" s="127">
        <v>998.76</v>
      </c>
      <c r="E152" s="123">
        <v>634.19999999999993</v>
      </c>
      <c r="F152" s="127">
        <v>759.36</v>
      </c>
      <c r="G152" s="128">
        <v>953.4</v>
      </c>
      <c r="H152" s="123">
        <v>5013.12</v>
      </c>
      <c r="I152" s="127">
        <v>5456.6399999999994</v>
      </c>
      <c r="J152" s="128">
        <v>5237.3999999999996</v>
      </c>
      <c r="K152" s="127">
        <v>1564.9199999999998</v>
      </c>
      <c r="L152" s="127">
        <v>1604.3999999999999</v>
      </c>
      <c r="M152" s="128">
        <v>1572.48</v>
      </c>
      <c r="N152" s="127">
        <v>4387.32</v>
      </c>
      <c r="O152" s="127">
        <v>4494.84</v>
      </c>
      <c r="P152" s="128">
        <v>4382.28</v>
      </c>
      <c r="Q152" s="83">
        <v>153.72</v>
      </c>
      <c r="R152" s="1">
        <v>235.2</v>
      </c>
      <c r="S152" s="89">
        <v>266.27999999999997</v>
      </c>
      <c r="U152" s="123">
        <v>1014.7199999999999</v>
      </c>
      <c r="V152" s="127">
        <v>1052.52</v>
      </c>
      <c r="W152" s="128">
        <v>995.4</v>
      </c>
      <c r="X152" s="127">
        <v>636.72</v>
      </c>
      <c r="Y152" s="127">
        <v>730.8</v>
      </c>
      <c r="Z152" s="128">
        <v>771.95999999999992</v>
      </c>
    </row>
    <row r="153" spans="1:40" x14ac:dyDescent="0.3">
      <c r="A153" s="41">
        <v>2031</v>
      </c>
      <c r="B153" s="123">
        <v>635.88</v>
      </c>
      <c r="C153" s="127">
        <v>764.4</v>
      </c>
      <c r="D153" s="127">
        <v>988.68</v>
      </c>
      <c r="E153" s="123">
        <v>624.95999999999992</v>
      </c>
      <c r="F153" s="127">
        <v>740.88</v>
      </c>
      <c r="G153" s="128">
        <v>942.48</v>
      </c>
      <c r="H153" s="123">
        <v>4894.6799999999994</v>
      </c>
      <c r="I153" s="127">
        <v>5402.88</v>
      </c>
      <c r="J153" s="128">
        <v>5127.3599999999997</v>
      </c>
      <c r="K153" s="127">
        <v>1560.72</v>
      </c>
      <c r="L153" s="127">
        <v>1602.72</v>
      </c>
      <c r="M153" s="128">
        <v>1568.28</v>
      </c>
      <c r="N153" s="127">
        <v>4363.8</v>
      </c>
      <c r="O153" s="127">
        <v>4492.32</v>
      </c>
      <c r="P153" s="128">
        <v>4357.08</v>
      </c>
      <c r="Q153" s="83">
        <v>146.16</v>
      </c>
      <c r="R153" s="1">
        <v>220.92</v>
      </c>
      <c r="S153" s="89">
        <v>253.67999999999998</v>
      </c>
      <c r="U153" s="123">
        <v>981.95999999999992</v>
      </c>
      <c r="V153" s="127">
        <v>1028.1599999999999</v>
      </c>
      <c r="W153" s="128">
        <v>963.48</v>
      </c>
      <c r="X153" s="127">
        <v>578.76</v>
      </c>
      <c r="Y153" s="127">
        <v>668.64</v>
      </c>
      <c r="Z153" s="128">
        <v>715.68</v>
      </c>
    </row>
    <row r="154" spans="1:40" x14ac:dyDescent="0.3">
      <c r="A154" s="41">
        <v>2032</v>
      </c>
      <c r="B154" s="123">
        <v>623.28</v>
      </c>
      <c r="C154" s="127">
        <v>749.28</v>
      </c>
      <c r="D154" s="127">
        <v>981.12</v>
      </c>
      <c r="E154" s="123">
        <v>611.52</v>
      </c>
      <c r="F154" s="127">
        <v>724.92</v>
      </c>
      <c r="G154" s="128">
        <v>934.92</v>
      </c>
      <c r="H154" s="123">
        <v>4821.5999999999995</v>
      </c>
      <c r="I154" s="127">
        <v>5356.6799999999994</v>
      </c>
      <c r="J154" s="128">
        <v>5002.2</v>
      </c>
      <c r="K154" s="127">
        <v>1557.36</v>
      </c>
      <c r="L154" s="127">
        <v>1600.2</v>
      </c>
      <c r="M154" s="128">
        <v>1564.9199999999998</v>
      </c>
      <c r="N154" s="127">
        <v>4341.96</v>
      </c>
      <c r="O154" s="127">
        <v>4491.4799999999996</v>
      </c>
      <c r="P154" s="128">
        <v>4334.3999999999996</v>
      </c>
      <c r="Q154" s="83">
        <v>142.79999999999998</v>
      </c>
      <c r="R154" s="1">
        <v>205.79999999999998</v>
      </c>
      <c r="S154" s="89">
        <v>246.12</v>
      </c>
      <c r="U154" s="123">
        <v>946.68</v>
      </c>
      <c r="V154" s="127">
        <v>1002.9599999999999</v>
      </c>
      <c r="W154" s="128">
        <v>930.71999999999991</v>
      </c>
      <c r="X154" s="127">
        <v>527.52</v>
      </c>
      <c r="Y154" s="127">
        <v>614.04</v>
      </c>
      <c r="Z154" s="128">
        <v>665.28</v>
      </c>
    </row>
    <row r="155" spans="1:40" x14ac:dyDescent="0.3">
      <c r="A155" s="41">
        <v>2033</v>
      </c>
      <c r="B155" s="123">
        <v>613.19999999999993</v>
      </c>
      <c r="C155" s="127">
        <v>737.52</v>
      </c>
      <c r="D155" s="127">
        <v>976.07999999999993</v>
      </c>
      <c r="E155" s="123">
        <v>601.43999999999994</v>
      </c>
      <c r="F155" s="127">
        <v>713.16</v>
      </c>
      <c r="G155" s="128">
        <v>928.19999999999993</v>
      </c>
      <c r="H155" s="123">
        <v>4752.72</v>
      </c>
      <c r="I155" s="127">
        <v>5315.5199999999995</v>
      </c>
      <c r="J155" s="128">
        <v>4896.3599999999997</v>
      </c>
      <c r="K155" s="127">
        <v>1554</v>
      </c>
      <c r="L155" s="127">
        <v>1596</v>
      </c>
      <c r="M155" s="128">
        <v>1563.24</v>
      </c>
      <c r="N155" s="127">
        <v>4322.6399999999994</v>
      </c>
      <c r="O155" s="127">
        <v>4491.4799999999996</v>
      </c>
      <c r="P155" s="128">
        <v>4313.3999999999996</v>
      </c>
      <c r="Q155" s="83">
        <v>139.44</v>
      </c>
      <c r="R155" s="1">
        <v>199.07999999999998</v>
      </c>
      <c r="S155" s="89">
        <v>239.39999999999998</v>
      </c>
      <c r="U155" s="123">
        <v>907.19999999999993</v>
      </c>
      <c r="V155" s="127">
        <v>975.24</v>
      </c>
      <c r="W155" s="128">
        <v>897.12</v>
      </c>
      <c r="X155" s="127">
        <v>482.15999999999997</v>
      </c>
      <c r="Y155" s="127">
        <v>566.16</v>
      </c>
      <c r="Z155" s="128">
        <v>619.91999999999996</v>
      </c>
    </row>
    <row r="156" spans="1:40" x14ac:dyDescent="0.3">
      <c r="A156" s="41">
        <v>2034</v>
      </c>
      <c r="B156" s="123">
        <v>589.67999999999995</v>
      </c>
      <c r="C156" s="127">
        <v>726.6</v>
      </c>
      <c r="D156" s="127">
        <v>970.19999999999993</v>
      </c>
      <c r="E156" s="123">
        <v>577.91999999999996</v>
      </c>
      <c r="F156" s="127">
        <v>701.4</v>
      </c>
      <c r="G156" s="128">
        <v>922.31999999999994</v>
      </c>
      <c r="H156" s="123">
        <v>4701.4799999999996</v>
      </c>
      <c r="I156" s="127">
        <v>5280.24</v>
      </c>
      <c r="J156" s="128">
        <v>4813.2</v>
      </c>
      <c r="K156" s="127">
        <v>1550.6399999999999</v>
      </c>
      <c r="L156" s="127">
        <v>1590.96</v>
      </c>
      <c r="M156" s="128">
        <v>1561.56</v>
      </c>
      <c r="N156" s="127">
        <v>4305</v>
      </c>
      <c r="O156" s="127">
        <v>4491.4799999999996</v>
      </c>
      <c r="P156" s="128">
        <v>4294.08</v>
      </c>
      <c r="Q156" s="83">
        <v>136.91999999999999</v>
      </c>
      <c r="R156" s="1">
        <v>191.51999999999998</v>
      </c>
      <c r="S156" s="89">
        <v>233.51999999999998</v>
      </c>
      <c r="U156" s="123">
        <v>866.04</v>
      </c>
      <c r="V156" s="127">
        <v>945</v>
      </c>
      <c r="W156" s="128">
        <v>863.52</v>
      </c>
      <c r="X156" s="127">
        <v>442.68</v>
      </c>
      <c r="Y156" s="127">
        <v>522.48</v>
      </c>
      <c r="Z156" s="128">
        <v>580.43999999999994</v>
      </c>
    </row>
    <row r="157" spans="1:40" x14ac:dyDescent="0.3">
      <c r="A157" s="41">
        <v>2035</v>
      </c>
      <c r="B157" s="123">
        <v>571.19999999999993</v>
      </c>
      <c r="C157" s="127">
        <v>708.95999999999992</v>
      </c>
      <c r="D157" s="127">
        <v>964.31999999999994</v>
      </c>
      <c r="E157" s="123">
        <v>560.28</v>
      </c>
      <c r="F157" s="127">
        <v>684.6</v>
      </c>
      <c r="G157" s="128">
        <v>915.6</v>
      </c>
      <c r="H157" s="123">
        <v>4646.04</v>
      </c>
      <c r="I157" s="127">
        <v>5248.32</v>
      </c>
      <c r="J157" s="128">
        <v>4752.72</v>
      </c>
      <c r="K157" s="127">
        <v>1547.28</v>
      </c>
      <c r="L157" s="127">
        <v>1585.08</v>
      </c>
      <c r="M157" s="128">
        <v>1559.8799999999999</v>
      </c>
      <c r="N157" s="127">
        <v>4289.04</v>
      </c>
      <c r="O157" s="127">
        <v>4491.4799999999996</v>
      </c>
      <c r="P157" s="128">
        <v>4279.8</v>
      </c>
      <c r="Q157" s="83">
        <v>133.56</v>
      </c>
      <c r="R157" s="1">
        <v>183.95999999999998</v>
      </c>
      <c r="S157" s="89">
        <v>225.95999999999998</v>
      </c>
      <c r="U157" s="123">
        <v>824.88</v>
      </c>
      <c r="V157" s="127">
        <v>913.92</v>
      </c>
      <c r="W157" s="128">
        <v>830.76</v>
      </c>
      <c r="X157" s="127">
        <v>407.4</v>
      </c>
      <c r="Y157" s="127">
        <v>484.68</v>
      </c>
      <c r="Z157" s="128">
        <v>545.16</v>
      </c>
    </row>
    <row r="158" spans="1:40" x14ac:dyDescent="0.3">
      <c r="A158" s="41">
        <v>2036</v>
      </c>
      <c r="B158" s="123">
        <v>542.64</v>
      </c>
      <c r="C158" s="127">
        <v>693.83999999999992</v>
      </c>
      <c r="D158" s="127">
        <v>958.43999999999994</v>
      </c>
      <c r="E158" s="123">
        <v>533.4</v>
      </c>
      <c r="F158" s="127">
        <v>669.48</v>
      </c>
      <c r="G158" s="128">
        <v>909.71999999999991</v>
      </c>
      <c r="H158" s="123">
        <v>4605.72</v>
      </c>
      <c r="I158" s="127">
        <v>5219.76</v>
      </c>
      <c r="J158" s="128">
        <v>4716.5999999999995</v>
      </c>
      <c r="K158" s="127">
        <v>1543.08</v>
      </c>
      <c r="L158" s="127">
        <v>1580.8799999999999</v>
      </c>
      <c r="M158" s="128">
        <v>1558.2</v>
      </c>
      <c r="N158" s="127">
        <v>4274.76</v>
      </c>
      <c r="O158" s="127">
        <v>4491.4799999999996</v>
      </c>
      <c r="P158" s="128">
        <v>4273.08</v>
      </c>
      <c r="Q158" s="83">
        <v>130.19999999999999</v>
      </c>
      <c r="R158" s="1">
        <v>178.07999999999998</v>
      </c>
      <c r="S158" s="89">
        <v>220.07999999999998</v>
      </c>
      <c r="U158" s="123">
        <v>782.04</v>
      </c>
      <c r="V158" s="127">
        <v>880.31999999999994</v>
      </c>
      <c r="W158" s="128">
        <v>798</v>
      </c>
      <c r="X158" s="127">
        <v>377.15999999999997</v>
      </c>
      <c r="Y158" s="127">
        <v>451.91999999999996</v>
      </c>
      <c r="Z158" s="128">
        <v>514.07999999999993</v>
      </c>
    </row>
    <row r="159" spans="1:40" x14ac:dyDescent="0.3">
      <c r="A159" s="41">
        <v>2037</v>
      </c>
      <c r="B159" s="123">
        <v>517.43999999999994</v>
      </c>
      <c r="C159" s="127">
        <v>678.72</v>
      </c>
      <c r="D159" s="127">
        <v>945.83999999999992</v>
      </c>
      <c r="E159" s="123">
        <v>509.88</v>
      </c>
      <c r="F159" s="127">
        <v>655.19999999999993</v>
      </c>
      <c r="G159" s="128">
        <v>897.12</v>
      </c>
      <c r="H159" s="123">
        <v>4562.88</v>
      </c>
      <c r="I159" s="127">
        <v>5193.72</v>
      </c>
      <c r="J159" s="128">
        <v>4685.5199999999995</v>
      </c>
      <c r="K159" s="127">
        <v>1539.72</v>
      </c>
      <c r="L159" s="127">
        <v>1576.6799999999998</v>
      </c>
      <c r="M159" s="128">
        <v>1557.36</v>
      </c>
      <c r="N159" s="127">
        <v>4260.4799999999996</v>
      </c>
      <c r="O159" s="127">
        <v>4445.28</v>
      </c>
      <c r="P159" s="128">
        <v>4267.2</v>
      </c>
      <c r="Q159" s="83">
        <v>127.67999999999999</v>
      </c>
      <c r="R159" s="1">
        <v>172.2</v>
      </c>
      <c r="S159" s="89">
        <v>215.04</v>
      </c>
      <c r="U159" s="123">
        <v>741.72</v>
      </c>
      <c r="V159" s="127">
        <v>847.56</v>
      </c>
      <c r="W159" s="128">
        <v>767.76</v>
      </c>
      <c r="X159" s="127">
        <v>350.28</v>
      </c>
      <c r="Y159" s="127">
        <v>423.35999999999996</v>
      </c>
      <c r="Z159" s="128">
        <v>488.03999999999996</v>
      </c>
    </row>
    <row r="160" spans="1:40" x14ac:dyDescent="0.3">
      <c r="A160" s="41">
        <v>2038</v>
      </c>
      <c r="B160" s="123">
        <v>493.91999999999996</v>
      </c>
      <c r="C160" s="127">
        <v>672</v>
      </c>
      <c r="D160" s="127">
        <v>930.71999999999991</v>
      </c>
      <c r="E160" s="123">
        <v>487.2</v>
      </c>
      <c r="F160" s="127">
        <v>648.48</v>
      </c>
      <c r="G160" s="128">
        <v>882.83999999999992</v>
      </c>
      <c r="H160" s="123">
        <v>4524.24</v>
      </c>
      <c r="I160" s="127">
        <v>5171.04</v>
      </c>
      <c r="J160" s="128">
        <v>4664.5199999999995</v>
      </c>
      <c r="K160" s="127">
        <v>1537.2</v>
      </c>
      <c r="L160" s="127">
        <v>1573.32</v>
      </c>
      <c r="M160" s="128">
        <v>1555.6799999999998</v>
      </c>
      <c r="N160" s="127">
        <v>4237.8</v>
      </c>
      <c r="O160" s="127">
        <v>4366.32</v>
      </c>
      <c r="P160" s="128">
        <v>4263.84</v>
      </c>
      <c r="Q160" s="83">
        <v>124.32</v>
      </c>
      <c r="R160" s="1">
        <v>167.16</v>
      </c>
      <c r="S160" s="89">
        <v>210</v>
      </c>
      <c r="U160" s="123">
        <v>703.92</v>
      </c>
      <c r="V160" s="127">
        <v>816.48</v>
      </c>
      <c r="W160" s="128">
        <v>740.88</v>
      </c>
      <c r="X160" s="127">
        <v>327.59999999999997</v>
      </c>
      <c r="Y160" s="127">
        <v>399</v>
      </c>
      <c r="Z160" s="128">
        <v>465.35999999999996</v>
      </c>
    </row>
    <row r="161" spans="1:40" x14ac:dyDescent="0.3">
      <c r="A161" s="41">
        <v>2039</v>
      </c>
      <c r="B161" s="123">
        <v>479.64</v>
      </c>
      <c r="C161" s="127">
        <v>664.43999999999994</v>
      </c>
      <c r="D161" s="127">
        <v>912.24</v>
      </c>
      <c r="E161" s="123">
        <v>474.59999999999997</v>
      </c>
      <c r="F161" s="127">
        <v>640.91999999999996</v>
      </c>
      <c r="G161" s="128">
        <v>865.19999999999993</v>
      </c>
      <c r="H161" s="123">
        <v>4461.24</v>
      </c>
      <c r="I161" s="127">
        <v>5150.04</v>
      </c>
      <c r="J161" s="128">
        <v>4638.4799999999996</v>
      </c>
      <c r="K161" s="127">
        <v>1534.6799999999998</v>
      </c>
      <c r="L161" s="127">
        <v>1569.12</v>
      </c>
      <c r="M161" s="128">
        <v>1553.1599999999999</v>
      </c>
      <c r="N161" s="127">
        <v>4205.88</v>
      </c>
      <c r="O161" s="127">
        <v>4264.68</v>
      </c>
      <c r="P161" s="128">
        <v>4257.96</v>
      </c>
      <c r="Q161" s="83">
        <v>121.8</v>
      </c>
      <c r="R161" s="1">
        <v>162.12</v>
      </c>
      <c r="S161" s="89">
        <v>204.95999999999998</v>
      </c>
      <c r="U161" s="123">
        <v>669.48</v>
      </c>
      <c r="V161" s="127">
        <v>787.07999999999993</v>
      </c>
      <c r="W161" s="128">
        <v>716.52</v>
      </c>
      <c r="X161" s="127">
        <v>308.27999999999997</v>
      </c>
      <c r="Y161" s="127">
        <v>378</v>
      </c>
      <c r="Z161" s="128">
        <v>446.03999999999996</v>
      </c>
    </row>
    <row r="162" spans="1:40" x14ac:dyDescent="0.3">
      <c r="A162" s="41">
        <v>2040</v>
      </c>
      <c r="B162" s="123">
        <v>477.96</v>
      </c>
      <c r="C162" s="127">
        <v>653.52</v>
      </c>
      <c r="D162" s="127">
        <v>899.64</v>
      </c>
      <c r="E162" s="123">
        <v>472.08</v>
      </c>
      <c r="F162" s="127">
        <v>630.84</v>
      </c>
      <c r="G162" s="128">
        <v>853.43999999999994</v>
      </c>
      <c r="H162" s="123">
        <v>4396.5599999999995</v>
      </c>
      <c r="I162" s="127">
        <v>5113.08</v>
      </c>
      <c r="J162" s="128">
        <v>4624.2</v>
      </c>
      <c r="K162" s="127">
        <v>1530.48</v>
      </c>
      <c r="L162" s="127">
        <v>1564.9199999999998</v>
      </c>
      <c r="M162" s="128">
        <v>1550.6399999999999</v>
      </c>
      <c r="N162" s="127">
        <v>4165.5599999999995</v>
      </c>
      <c r="O162" s="127">
        <v>4208.3999999999996</v>
      </c>
      <c r="P162" s="128">
        <v>4255.4399999999996</v>
      </c>
      <c r="Q162" s="83">
        <v>118.44</v>
      </c>
      <c r="R162" s="1">
        <v>157.91999999999999</v>
      </c>
      <c r="S162" s="89">
        <v>201.6</v>
      </c>
      <c r="U162" s="123">
        <v>638.4</v>
      </c>
      <c r="V162" s="127">
        <v>760.19999999999993</v>
      </c>
      <c r="W162" s="128">
        <v>695.52</v>
      </c>
      <c r="X162" s="127">
        <v>291.47999999999996</v>
      </c>
      <c r="Y162" s="127">
        <v>360.36</v>
      </c>
      <c r="Z162" s="128">
        <v>430.91999999999996</v>
      </c>
    </row>
    <row r="163" spans="1:40" x14ac:dyDescent="0.3">
      <c r="A163" s="41">
        <v>2041</v>
      </c>
      <c r="B163" s="123">
        <v>475.44</v>
      </c>
      <c r="C163" s="127">
        <v>638.4</v>
      </c>
      <c r="D163" s="127">
        <v>887.88</v>
      </c>
      <c r="E163" s="123">
        <v>468.71999999999997</v>
      </c>
      <c r="F163" s="127">
        <v>615.72</v>
      </c>
      <c r="G163" s="128">
        <v>842.52</v>
      </c>
      <c r="H163" s="123">
        <v>4315.92</v>
      </c>
      <c r="I163" s="127">
        <v>5061.84</v>
      </c>
      <c r="J163" s="128">
        <v>4599</v>
      </c>
      <c r="K163" s="127">
        <v>1526.28</v>
      </c>
      <c r="L163" s="127">
        <v>1560.72</v>
      </c>
      <c r="M163" s="128">
        <v>1542.24</v>
      </c>
      <c r="N163" s="127">
        <v>4128.5999999999995</v>
      </c>
      <c r="O163" s="127">
        <v>4183.2</v>
      </c>
      <c r="P163" s="128">
        <v>4252.92</v>
      </c>
      <c r="Q163" s="83">
        <v>115.92</v>
      </c>
      <c r="R163" s="1">
        <v>155.4</v>
      </c>
      <c r="S163" s="89">
        <v>199.07999999999998</v>
      </c>
      <c r="U163" s="123">
        <v>611.52</v>
      </c>
      <c r="V163" s="127">
        <v>729.12</v>
      </c>
      <c r="W163" s="128">
        <v>678.72</v>
      </c>
      <c r="X163" s="127">
        <v>277.2</v>
      </c>
      <c r="Y163" s="127">
        <v>340.2</v>
      </c>
      <c r="Z163" s="128">
        <v>417.47999999999996</v>
      </c>
    </row>
    <row r="164" spans="1:40" x14ac:dyDescent="0.3">
      <c r="A164" s="41">
        <v>2042</v>
      </c>
      <c r="B164" s="123">
        <v>472.91999999999996</v>
      </c>
      <c r="C164" s="127">
        <v>619.91999999999996</v>
      </c>
      <c r="D164" s="127">
        <v>876.95999999999992</v>
      </c>
      <c r="E164" s="123">
        <v>466.2</v>
      </c>
      <c r="F164" s="127">
        <v>598.91999999999996</v>
      </c>
      <c r="G164" s="128">
        <v>831.6</v>
      </c>
      <c r="H164" s="123">
        <v>4252.92</v>
      </c>
      <c r="I164" s="127">
        <v>4996.32</v>
      </c>
      <c r="J164" s="128">
        <v>4571.28</v>
      </c>
      <c r="K164" s="127">
        <v>1522.08</v>
      </c>
      <c r="L164" s="127">
        <v>1557.36</v>
      </c>
      <c r="M164" s="128">
        <v>1535.52</v>
      </c>
      <c r="N164" s="127">
        <v>4093.3199999999997</v>
      </c>
      <c r="O164" s="127">
        <v>4176.4799999999996</v>
      </c>
      <c r="P164" s="128">
        <v>4247.04</v>
      </c>
      <c r="Q164" s="83">
        <v>113.39999999999999</v>
      </c>
      <c r="R164" s="1">
        <v>152.88</v>
      </c>
      <c r="S164" s="89">
        <v>196.56</v>
      </c>
      <c r="U164" s="123">
        <v>587.16</v>
      </c>
      <c r="V164" s="127">
        <v>700.56</v>
      </c>
      <c r="W164" s="128">
        <v>664.43999999999994</v>
      </c>
      <c r="X164" s="127">
        <v>264.59999999999997</v>
      </c>
      <c r="Y164" s="127">
        <v>323.39999999999998</v>
      </c>
      <c r="Z164" s="128">
        <v>406.56</v>
      </c>
    </row>
    <row r="165" spans="1:40" x14ac:dyDescent="0.3">
      <c r="A165" s="41">
        <v>2043</v>
      </c>
      <c r="B165" s="123">
        <v>470.4</v>
      </c>
      <c r="C165" s="127">
        <v>601.43999999999994</v>
      </c>
      <c r="D165" s="127">
        <v>866.88</v>
      </c>
      <c r="E165" s="123">
        <v>463.68</v>
      </c>
      <c r="F165" s="127">
        <v>582.12</v>
      </c>
      <c r="G165" s="128">
        <v>822.36</v>
      </c>
      <c r="H165" s="123">
        <v>4182.3599999999997</v>
      </c>
      <c r="I165" s="127">
        <v>4936.6799999999994</v>
      </c>
      <c r="J165" s="128">
        <v>4538.5199999999995</v>
      </c>
      <c r="K165" s="127">
        <v>1514.52</v>
      </c>
      <c r="L165" s="127">
        <v>1554</v>
      </c>
      <c r="M165" s="128">
        <v>1527.12</v>
      </c>
      <c r="N165" s="127">
        <v>4061.3999999999996</v>
      </c>
      <c r="O165" s="127">
        <v>4171.4399999999996</v>
      </c>
      <c r="P165" s="128">
        <v>4240.32</v>
      </c>
      <c r="Q165" s="83">
        <v>110.03999999999999</v>
      </c>
      <c r="R165" s="1">
        <v>148.68</v>
      </c>
      <c r="S165" s="89">
        <v>193.2</v>
      </c>
      <c r="U165" s="123">
        <v>566.16</v>
      </c>
      <c r="V165" s="127">
        <v>675.36</v>
      </c>
      <c r="W165" s="128">
        <v>652.67999999999995</v>
      </c>
      <c r="X165" s="127">
        <v>253.67999999999998</v>
      </c>
      <c r="Y165" s="127">
        <v>308.27999999999997</v>
      </c>
      <c r="Z165" s="128">
        <v>398.15999999999997</v>
      </c>
    </row>
    <row r="166" spans="1:40" x14ac:dyDescent="0.3">
      <c r="A166" s="41">
        <v>2044</v>
      </c>
      <c r="B166" s="123">
        <v>468.71999999999997</v>
      </c>
      <c r="C166" s="127">
        <v>584.64</v>
      </c>
      <c r="D166" s="127">
        <v>856.8</v>
      </c>
      <c r="E166" s="123">
        <v>461.15999999999997</v>
      </c>
      <c r="F166" s="127">
        <v>566.16</v>
      </c>
      <c r="G166" s="128">
        <v>812.28</v>
      </c>
      <c r="H166" s="123">
        <v>4135.32</v>
      </c>
      <c r="I166" s="127">
        <v>4881.24</v>
      </c>
      <c r="J166" s="128">
        <v>4510.8</v>
      </c>
      <c r="K166" s="127">
        <v>1506.96</v>
      </c>
      <c r="L166" s="127">
        <v>1551.48</v>
      </c>
      <c r="M166" s="128">
        <v>1524.6</v>
      </c>
      <c r="N166" s="127">
        <v>4032</v>
      </c>
      <c r="O166" s="127">
        <v>4168.08</v>
      </c>
      <c r="P166" s="128">
        <v>4231.92</v>
      </c>
      <c r="Q166" s="83">
        <v>107.52</v>
      </c>
      <c r="R166" s="1">
        <v>146.16</v>
      </c>
      <c r="S166" s="89">
        <v>190.68</v>
      </c>
      <c r="U166" s="123">
        <v>547.67999999999995</v>
      </c>
      <c r="V166" s="127">
        <v>651.84</v>
      </c>
      <c r="W166" s="128">
        <v>643.43999999999994</v>
      </c>
      <c r="X166" s="127">
        <v>244.44</v>
      </c>
      <c r="Y166" s="127">
        <v>295.68</v>
      </c>
      <c r="Z166" s="128">
        <v>391.44</v>
      </c>
    </row>
    <row r="167" spans="1:40" x14ac:dyDescent="0.3">
      <c r="A167" s="41">
        <v>2045</v>
      </c>
      <c r="B167" s="123">
        <v>466.2</v>
      </c>
      <c r="C167" s="127">
        <v>567.84</v>
      </c>
      <c r="D167" s="127">
        <v>847.56</v>
      </c>
      <c r="E167" s="123">
        <v>458.64</v>
      </c>
      <c r="F167" s="127">
        <v>550.19999999999993</v>
      </c>
      <c r="G167" s="128">
        <v>803.88</v>
      </c>
      <c r="H167" s="123">
        <v>4091.64</v>
      </c>
      <c r="I167" s="127">
        <v>4830.84</v>
      </c>
      <c r="J167" s="128">
        <v>4490.6399999999994</v>
      </c>
      <c r="K167" s="127">
        <v>1499.3999999999999</v>
      </c>
      <c r="L167" s="127">
        <v>1548.96</v>
      </c>
      <c r="M167" s="128">
        <v>1522.08</v>
      </c>
      <c r="N167" s="127">
        <v>4003.44</v>
      </c>
      <c r="O167" s="127">
        <v>4160.5199999999995</v>
      </c>
      <c r="P167" s="128">
        <v>4227.72</v>
      </c>
      <c r="Q167" s="83">
        <v>105</v>
      </c>
      <c r="R167" s="1">
        <v>142.79999999999998</v>
      </c>
      <c r="S167" s="89">
        <v>188.16</v>
      </c>
      <c r="U167" s="123">
        <v>530.88</v>
      </c>
      <c r="V167" s="127">
        <v>630</v>
      </c>
      <c r="W167" s="128">
        <v>635.88</v>
      </c>
      <c r="X167" s="127">
        <v>236.88</v>
      </c>
      <c r="Y167" s="127">
        <v>283.92</v>
      </c>
      <c r="Z167" s="128">
        <v>385.56</v>
      </c>
    </row>
    <row r="168" spans="1:40" x14ac:dyDescent="0.3">
      <c r="A168" s="41">
        <v>2046</v>
      </c>
      <c r="B168" s="123">
        <v>464.52</v>
      </c>
      <c r="C168" s="127">
        <v>555.24</v>
      </c>
      <c r="D168" s="127">
        <v>840</v>
      </c>
      <c r="E168" s="123">
        <v>456.96</v>
      </c>
      <c r="F168" s="127">
        <v>538.43999999999994</v>
      </c>
      <c r="G168" s="128">
        <v>796.31999999999994</v>
      </c>
      <c r="H168" s="123">
        <v>4063.92</v>
      </c>
      <c r="I168" s="127">
        <v>4783.8</v>
      </c>
      <c r="J168" s="128">
        <v>4456.2</v>
      </c>
      <c r="K168" s="127">
        <v>1497.72</v>
      </c>
      <c r="L168" s="127">
        <v>1547.28</v>
      </c>
      <c r="M168" s="128">
        <v>1518.72</v>
      </c>
      <c r="N168" s="127">
        <v>3977.3999999999996</v>
      </c>
      <c r="O168" s="127">
        <v>4147.92</v>
      </c>
      <c r="P168" s="128">
        <v>4220.16</v>
      </c>
      <c r="Q168" s="83">
        <v>102.47999999999999</v>
      </c>
      <c r="R168" s="1">
        <v>140.28</v>
      </c>
      <c r="S168" s="89">
        <v>185.64</v>
      </c>
      <c r="U168" s="123">
        <v>515.76</v>
      </c>
      <c r="V168" s="127">
        <v>610.67999999999995</v>
      </c>
      <c r="W168" s="128">
        <v>630</v>
      </c>
      <c r="X168" s="127">
        <v>229.32</v>
      </c>
      <c r="Y168" s="127">
        <v>273.83999999999997</v>
      </c>
      <c r="Z168" s="128">
        <v>381.36</v>
      </c>
    </row>
    <row r="169" spans="1:40" x14ac:dyDescent="0.3">
      <c r="A169" s="41">
        <v>2047</v>
      </c>
      <c r="B169" s="123">
        <v>461.15999999999997</v>
      </c>
      <c r="C169" s="127">
        <v>545.16</v>
      </c>
      <c r="D169" s="127">
        <v>833.28</v>
      </c>
      <c r="E169" s="123">
        <v>452.76</v>
      </c>
      <c r="F169" s="127">
        <v>528.36</v>
      </c>
      <c r="G169" s="128">
        <v>789.6</v>
      </c>
      <c r="H169" s="123">
        <v>4038.72</v>
      </c>
      <c r="I169" s="127">
        <v>4740.96</v>
      </c>
      <c r="J169" s="128">
        <v>4410.84</v>
      </c>
      <c r="K169" s="127">
        <v>1495.2</v>
      </c>
      <c r="L169" s="127">
        <v>1544.76</v>
      </c>
      <c r="M169" s="128">
        <v>1514.52</v>
      </c>
      <c r="N169" s="127">
        <v>3953.04</v>
      </c>
      <c r="O169" s="127">
        <v>4123.5599999999995</v>
      </c>
      <c r="P169" s="128">
        <v>4208.3999999999996</v>
      </c>
      <c r="Q169" s="83">
        <v>99.11999999999999</v>
      </c>
      <c r="R169" s="1">
        <v>137.76</v>
      </c>
      <c r="S169" s="89">
        <v>183.12</v>
      </c>
      <c r="U169" s="123">
        <v>502.32</v>
      </c>
      <c r="V169" s="127">
        <v>592.19999999999993</v>
      </c>
      <c r="W169" s="128">
        <v>624.95999999999992</v>
      </c>
      <c r="X169" s="127">
        <v>222.6</v>
      </c>
      <c r="Y169" s="127">
        <v>264.59999999999997</v>
      </c>
      <c r="Z169" s="128">
        <v>377.15999999999997</v>
      </c>
    </row>
    <row r="170" spans="1:40" x14ac:dyDescent="0.3">
      <c r="A170" s="41">
        <v>2048</v>
      </c>
      <c r="B170" s="123">
        <v>457.8</v>
      </c>
      <c r="C170" s="127">
        <v>535.91999999999996</v>
      </c>
      <c r="D170" s="127">
        <v>829.07999999999993</v>
      </c>
      <c r="E170" s="123">
        <v>449.4</v>
      </c>
      <c r="F170" s="127">
        <v>519.96</v>
      </c>
      <c r="G170" s="128">
        <v>785.4</v>
      </c>
      <c r="H170" s="123">
        <v>4017.72</v>
      </c>
      <c r="I170" s="127">
        <v>4700.6399999999994</v>
      </c>
      <c r="J170" s="128">
        <v>4347</v>
      </c>
      <c r="K170" s="127">
        <v>1493.52</v>
      </c>
      <c r="L170" s="127">
        <v>1542.24</v>
      </c>
      <c r="M170" s="128">
        <v>1510.32</v>
      </c>
      <c r="N170" s="127">
        <v>3930.3599999999997</v>
      </c>
      <c r="O170" s="127">
        <v>4106.76</v>
      </c>
      <c r="P170" s="128">
        <v>4191.5999999999995</v>
      </c>
      <c r="Q170" s="83">
        <v>96.6</v>
      </c>
      <c r="R170" s="1">
        <v>135.24</v>
      </c>
      <c r="S170" s="89">
        <v>181.44</v>
      </c>
      <c r="U170" s="123">
        <v>488.88</v>
      </c>
      <c r="V170" s="127">
        <v>574.55999999999995</v>
      </c>
      <c r="W170" s="128">
        <v>620.76</v>
      </c>
      <c r="X170" s="127">
        <v>216.72</v>
      </c>
      <c r="Y170" s="127">
        <v>256.2</v>
      </c>
      <c r="Z170" s="128">
        <v>374.64</v>
      </c>
    </row>
    <row r="171" spans="1:40" x14ac:dyDescent="0.3">
      <c r="A171" s="41">
        <v>2049</v>
      </c>
      <c r="B171" s="123">
        <v>450.24</v>
      </c>
      <c r="C171" s="127">
        <v>529.19999999999993</v>
      </c>
      <c r="D171" s="127">
        <v>823.19999999999993</v>
      </c>
      <c r="E171" s="123">
        <v>442.68</v>
      </c>
      <c r="F171" s="127">
        <v>513.24</v>
      </c>
      <c r="G171" s="128">
        <v>779.52</v>
      </c>
      <c r="H171" s="123">
        <v>3998.3999999999996</v>
      </c>
      <c r="I171" s="127">
        <v>4663.6799999999994</v>
      </c>
      <c r="J171" s="128">
        <v>4285.68</v>
      </c>
      <c r="K171" s="127">
        <v>1491</v>
      </c>
      <c r="L171" s="127">
        <v>1538.8799999999999</v>
      </c>
      <c r="M171" s="128">
        <v>1506.96</v>
      </c>
      <c r="N171" s="127">
        <v>3908.52</v>
      </c>
      <c r="O171" s="127">
        <v>4083.24</v>
      </c>
      <c r="P171" s="128">
        <v>4173.12</v>
      </c>
      <c r="Q171" s="83">
        <v>94.08</v>
      </c>
      <c r="R171" s="1">
        <v>133.56</v>
      </c>
      <c r="S171" s="89">
        <v>178.92</v>
      </c>
      <c r="U171" s="123">
        <v>477.12</v>
      </c>
      <c r="V171" s="127">
        <v>558.6</v>
      </c>
      <c r="W171" s="128">
        <v>617.4</v>
      </c>
      <c r="X171" s="127">
        <v>210.84</v>
      </c>
      <c r="Y171" s="127">
        <v>247.79999999999998</v>
      </c>
      <c r="Z171" s="128">
        <v>372.12</v>
      </c>
    </row>
    <row r="172" spans="1:40" ht="15" thickBot="1" x14ac:dyDescent="0.35">
      <c r="A172" s="42">
        <v>2050</v>
      </c>
      <c r="B172" s="124">
        <v>446.88</v>
      </c>
      <c r="C172" s="129">
        <v>524.16</v>
      </c>
      <c r="D172" s="129">
        <v>820.68</v>
      </c>
      <c r="E172" s="124">
        <v>439.32</v>
      </c>
      <c r="F172" s="129">
        <v>509.03999999999996</v>
      </c>
      <c r="G172" s="130">
        <v>777</v>
      </c>
      <c r="H172" s="124">
        <v>3988.3199999999997</v>
      </c>
      <c r="I172" s="129">
        <v>4645.2</v>
      </c>
      <c r="J172" s="130">
        <v>4252.92</v>
      </c>
      <c r="K172" s="129">
        <v>1490.1599999999999</v>
      </c>
      <c r="L172" s="129">
        <v>1537.2</v>
      </c>
      <c r="M172" s="130">
        <v>1506.12</v>
      </c>
      <c r="N172" s="129">
        <v>3897.6</v>
      </c>
      <c r="O172" s="129">
        <v>4076.52</v>
      </c>
      <c r="P172" s="130">
        <v>4163.04</v>
      </c>
      <c r="Q172" s="90">
        <v>91.56</v>
      </c>
      <c r="R172" s="91">
        <v>131.04</v>
      </c>
      <c r="S172" s="92">
        <v>177.23999999999998</v>
      </c>
      <c r="U172" s="124">
        <v>466.2</v>
      </c>
      <c r="V172" s="129">
        <v>543.48</v>
      </c>
      <c r="W172" s="130">
        <v>614.88</v>
      </c>
      <c r="X172" s="129">
        <v>205.79999999999998</v>
      </c>
      <c r="Y172" s="129">
        <v>241.07999999999998</v>
      </c>
      <c r="Z172" s="130">
        <v>370.44</v>
      </c>
    </row>
    <row r="174" spans="1:40" ht="16.2" x14ac:dyDescent="0.3">
      <c r="A174" s="93" t="s">
        <v>271</v>
      </c>
    </row>
    <row r="175" spans="1:40" ht="15" thickBot="1" x14ac:dyDescent="0.35"/>
    <row r="176" spans="1:40" ht="18.600000000000001" thickBot="1" x14ac:dyDescent="0.4">
      <c r="A176" s="289" t="s">
        <v>0</v>
      </c>
      <c r="B176" s="380" t="s">
        <v>393</v>
      </c>
      <c r="C176" s="381"/>
      <c r="D176" s="381"/>
      <c r="E176" s="381"/>
      <c r="F176" s="381"/>
      <c r="G176" s="381"/>
      <c r="H176" s="381"/>
      <c r="I176" s="381"/>
      <c r="J176" s="381"/>
      <c r="K176" s="381"/>
      <c r="L176" s="381"/>
      <c r="M176" s="381"/>
      <c r="N176" s="381"/>
      <c r="O176" s="381"/>
      <c r="P176" s="381"/>
      <c r="Q176" s="381"/>
      <c r="R176" s="381"/>
      <c r="S176" s="382"/>
      <c r="U176" s="380" t="s">
        <v>394</v>
      </c>
      <c r="V176" s="381"/>
      <c r="W176" s="381"/>
      <c r="X176" s="381"/>
      <c r="Y176" s="381"/>
      <c r="Z176" s="382"/>
      <c r="AB176" s="407" t="s">
        <v>395</v>
      </c>
      <c r="AC176" s="408"/>
      <c r="AD176" s="408"/>
      <c r="AE176" s="408"/>
      <c r="AF176" s="408"/>
      <c r="AG176" s="408"/>
      <c r="AH176" s="408"/>
      <c r="AI176" s="408"/>
      <c r="AJ176" s="408"/>
      <c r="AK176" s="408"/>
      <c r="AL176" s="408"/>
      <c r="AM176" s="408"/>
      <c r="AN176" s="409"/>
    </row>
    <row r="177" spans="1:40" ht="20.399999999999999" thickBot="1" x14ac:dyDescent="0.35">
      <c r="A177" s="344"/>
      <c r="B177" s="422" t="s">
        <v>58</v>
      </c>
      <c r="C177" s="423"/>
      <c r="D177" s="424"/>
      <c r="E177" s="425" t="s">
        <v>155</v>
      </c>
      <c r="F177" s="426"/>
      <c r="G177" s="427"/>
      <c r="H177" s="416" t="s">
        <v>277</v>
      </c>
      <c r="I177" s="417"/>
      <c r="J177" s="418"/>
      <c r="K177" s="428" t="s">
        <v>228</v>
      </c>
      <c r="L177" s="429"/>
      <c r="M177" s="430"/>
      <c r="N177" s="431" t="s">
        <v>59</v>
      </c>
      <c r="O177" s="432"/>
      <c r="P177" s="433"/>
      <c r="Q177" s="443" t="s">
        <v>270</v>
      </c>
      <c r="R177" s="444"/>
      <c r="S177" s="445"/>
      <c r="U177" s="437" t="s">
        <v>272</v>
      </c>
      <c r="V177" s="438"/>
      <c r="W177" s="439"/>
      <c r="X177" s="440" t="s">
        <v>273</v>
      </c>
      <c r="Y177" s="441"/>
      <c r="Z177" s="442"/>
      <c r="AB177" s="289" t="s">
        <v>0</v>
      </c>
      <c r="AC177" s="368" t="s">
        <v>58</v>
      </c>
      <c r="AD177" s="369"/>
      <c r="AE177" s="370"/>
      <c r="AF177" s="410" t="s">
        <v>228</v>
      </c>
      <c r="AG177" s="411"/>
      <c r="AH177" s="412"/>
      <c r="AI177" s="316" t="s">
        <v>59</v>
      </c>
      <c r="AJ177" s="317"/>
      <c r="AK177" s="318"/>
      <c r="AL177" s="413" t="s">
        <v>266</v>
      </c>
      <c r="AM177" s="414"/>
      <c r="AN177" s="415"/>
    </row>
    <row r="178" spans="1:40" ht="15" thickBot="1" x14ac:dyDescent="0.35">
      <c r="A178" s="290"/>
      <c r="B178" s="29" t="s">
        <v>275</v>
      </c>
      <c r="C178" s="30" t="s">
        <v>276</v>
      </c>
      <c r="D178" s="31" t="s">
        <v>274</v>
      </c>
      <c r="E178" s="29" t="s">
        <v>275</v>
      </c>
      <c r="F178" s="30" t="s">
        <v>276</v>
      </c>
      <c r="G178" s="31" t="s">
        <v>274</v>
      </c>
      <c r="H178" s="29" t="s">
        <v>275</v>
      </c>
      <c r="I178" s="30" t="s">
        <v>276</v>
      </c>
      <c r="J178" s="31" t="s">
        <v>274</v>
      </c>
      <c r="K178" s="29" t="s">
        <v>275</v>
      </c>
      <c r="L178" s="30" t="s">
        <v>276</v>
      </c>
      <c r="M178" s="31" t="s">
        <v>274</v>
      </c>
      <c r="N178" s="29" t="s">
        <v>275</v>
      </c>
      <c r="O178" s="30" t="s">
        <v>276</v>
      </c>
      <c r="P178" s="31" t="s">
        <v>274</v>
      </c>
      <c r="Q178" s="29" t="s">
        <v>275</v>
      </c>
      <c r="R178" s="30" t="s">
        <v>276</v>
      </c>
      <c r="S178" s="31" t="s">
        <v>274</v>
      </c>
      <c r="U178" s="29" t="s">
        <v>275</v>
      </c>
      <c r="V178" s="30" t="s">
        <v>276</v>
      </c>
      <c r="W178" s="31" t="s">
        <v>274</v>
      </c>
      <c r="X178" s="29" t="s">
        <v>275</v>
      </c>
      <c r="Y178" s="30" t="s">
        <v>276</v>
      </c>
      <c r="Z178" s="31" t="s">
        <v>274</v>
      </c>
      <c r="AB178" s="344"/>
      <c r="AC178" s="419" t="s">
        <v>263</v>
      </c>
      <c r="AD178" s="420"/>
      <c r="AE178" s="421"/>
      <c r="AF178" s="419" t="s">
        <v>263</v>
      </c>
      <c r="AG178" s="420"/>
      <c r="AH178" s="421"/>
      <c r="AI178" s="419" t="s">
        <v>263</v>
      </c>
      <c r="AJ178" s="420"/>
      <c r="AK178" s="421"/>
      <c r="AL178" s="416"/>
      <c r="AM178" s="417"/>
      <c r="AN178" s="418"/>
    </row>
    <row r="179" spans="1:40" ht="15" thickBot="1" x14ac:dyDescent="0.35">
      <c r="A179" s="41">
        <v>2021</v>
      </c>
      <c r="B179" s="123">
        <v>1253.67</v>
      </c>
      <c r="C179" s="127">
        <v>1253.67</v>
      </c>
      <c r="D179" s="127">
        <v>1253.67</v>
      </c>
      <c r="E179" s="123">
        <v>1159.71</v>
      </c>
      <c r="F179" s="127">
        <v>1159.71</v>
      </c>
      <c r="G179" s="128">
        <v>1159.71</v>
      </c>
      <c r="H179" s="123">
        <v>5822.91</v>
      </c>
      <c r="I179" s="127">
        <v>5822.91</v>
      </c>
      <c r="J179" s="128">
        <v>5822.91</v>
      </c>
      <c r="K179" s="127">
        <v>1705.2</v>
      </c>
      <c r="L179" s="127">
        <v>1705.2</v>
      </c>
      <c r="M179" s="128">
        <v>1705.2</v>
      </c>
      <c r="N179" s="127">
        <v>4044.63</v>
      </c>
      <c r="O179" s="127">
        <v>4044.63</v>
      </c>
      <c r="P179" s="128">
        <v>4044.63</v>
      </c>
      <c r="Q179" s="83">
        <v>354.09</v>
      </c>
      <c r="R179" s="1">
        <v>354.09</v>
      </c>
      <c r="S179" s="89">
        <v>354.09</v>
      </c>
      <c r="U179" s="123">
        <v>1435.5</v>
      </c>
      <c r="V179" s="127">
        <v>1435.5</v>
      </c>
      <c r="W179" s="128">
        <v>1435.5</v>
      </c>
      <c r="X179" s="127">
        <v>2409.9</v>
      </c>
      <c r="Y179" s="127">
        <v>2349</v>
      </c>
      <c r="Z179" s="128">
        <v>2349</v>
      </c>
      <c r="AB179" s="290"/>
      <c r="AC179" s="78" t="s">
        <v>18</v>
      </c>
      <c r="AD179" s="79" t="s">
        <v>19</v>
      </c>
      <c r="AE179" s="80" t="s">
        <v>22</v>
      </c>
      <c r="AF179" s="78" t="s">
        <v>18</v>
      </c>
      <c r="AG179" s="79" t="s">
        <v>19</v>
      </c>
      <c r="AH179" s="80" t="s">
        <v>22</v>
      </c>
      <c r="AI179" s="78" t="s">
        <v>18</v>
      </c>
      <c r="AJ179" s="79" t="s">
        <v>19</v>
      </c>
      <c r="AK179" s="80" t="s">
        <v>22</v>
      </c>
      <c r="AL179" s="78" t="s">
        <v>18</v>
      </c>
      <c r="AM179" s="79" t="s">
        <v>19</v>
      </c>
      <c r="AN179" s="80" t="s">
        <v>22</v>
      </c>
    </row>
    <row r="180" spans="1:40" x14ac:dyDescent="0.3">
      <c r="A180" s="41">
        <v>2022</v>
      </c>
      <c r="B180" s="123">
        <v>1253.67</v>
      </c>
      <c r="C180" s="127">
        <v>1253.67</v>
      </c>
      <c r="D180" s="127">
        <v>1253.67</v>
      </c>
      <c r="E180" s="123">
        <v>1159.71</v>
      </c>
      <c r="F180" s="127">
        <v>1159.71</v>
      </c>
      <c r="G180" s="128">
        <v>1159.71</v>
      </c>
      <c r="H180" s="123">
        <v>5822.91</v>
      </c>
      <c r="I180" s="127">
        <v>5822.91</v>
      </c>
      <c r="J180" s="128">
        <v>5822.91</v>
      </c>
      <c r="K180" s="127">
        <v>1705.2</v>
      </c>
      <c r="L180" s="127">
        <v>1705.2</v>
      </c>
      <c r="M180" s="128">
        <v>1705.2</v>
      </c>
      <c r="N180" s="127">
        <v>4044.63</v>
      </c>
      <c r="O180" s="127">
        <v>4044.63</v>
      </c>
      <c r="P180" s="128">
        <v>4044.63</v>
      </c>
      <c r="Q180" s="83">
        <v>354.09</v>
      </c>
      <c r="R180" s="1">
        <v>354.09</v>
      </c>
      <c r="S180" s="89">
        <v>354.09</v>
      </c>
      <c r="U180" s="123">
        <v>1159.71</v>
      </c>
      <c r="V180" s="127">
        <v>1198.8599999999999</v>
      </c>
      <c r="W180" s="128">
        <v>1316.31</v>
      </c>
      <c r="X180" s="127">
        <v>2128.02</v>
      </c>
      <c r="Y180" s="127">
        <v>2121.06</v>
      </c>
      <c r="Z180" s="128">
        <v>2175.87</v>
      </c>
      <c r="AB180" s="52">
        <v>2021</v>
      </c>
      <c r="AC180" s="122">
        <v>38.689912018217214</v>
      </c>
      <c r="AD180" s="125">
        <v>47.483073840539305</v>
      </c>
      <c r="AE180" s="126">
        <v>56.276235662861403</v>
      </c>
      <c r="AF180" s="122">
        <v>42.288833029436063</v>
      </c>
      <c r="AG180" s="125">
        <v>47.725968704649276</v>
      </c>
      <c r="AH180" s="126">
        <v>53.163104379862482</v>
      </c>
      <c r="AI180" s="122">
        <v>111.25388555878666</v>
      </c>
      <c r="AJ180" s="125">
        <v>127.94196839260465</v>
      </c>
      <c r="AK180" s="126">
        <v>144.63005122642267</v>
      </c>
      <c r="AL180" s="122">
        <v>133.52736635870252</v>
      </c>
      <c r="AM180" s="125">
        <v>149.42348140140521</v>
      </c>
      <c r="AN180" s="126">
        <v>165.31959644410787</v>
      </c>
    </row>
    <row r="181" spans="1:40" x14ac:dyDescent="0.3">
      <c r="A181" s="41">
        <v>2023</v>
      </c>
      <c r="B181" s="123">
        <v>1131.8699999999999</v>
      </c>
      <c r="C181" s="127">
        <v>1188.42</v>
      </c>
      <c r="D181" s="127">
        <v>1205.82</v>
      </c>
      <c r="E181" s="123">
        <v>1050.96</v>
      </c>
      <c r="F181" s="127">
        <v>1101.42</v>
      </c>
      <c r="G181" s="128">
        <v>1116.21</v>
      </c>
      <c r="H181" s="123">
        <v>5317.44</v>
      </c>
      <c r="I181" s="127">
        <v>5681.1</v>
      </c>
      <c r="J181" s="128">
        <v>5725.47</v>
      </c>
      <c r="K181" s="127">
        <v>1607.76</v>
      </c>
      <c r="L181" s="127">
        <v>1694.76</v>
      </c>
      <c r="M181" s="128">
        <v>1697.37</v>
      </c>
      <c r="N181" s="127">
        <v>3396.48</v>
      </c>
      <c r="O181" s="127">
        <v>4014.18</v>
      </c>
      <c r="P181" s="128">
        <v>4015.92</v>
      </c>
      <c r="Q181" s="83">
        <v>321.02999999999997</v>
      </c>
      <c r="R181" s="1">
        <v>339.3</v>
      </c>
      <c r="S181" s="89">
        <v>340.17</v>
      </c>
      <c r="U181" s="123">
        <v>942.21</v>
      </c>
      <c r="V181" s="127">
        <v>1043.1299999999999</v>
      </c>
      <c r="W181" s="128">
        <v>1218</v>
      </c>
      <c r="X181" s="127">
        <v>1879.2</v>
      </c>
      <c r="Y181" s="127">
        <v>1914.87</v>
      </c>
      <c r="Z181" s="128">
        <v>2014.92</v>
      </c>
      <c r="AB181" s="24">
        <v>2030</v>
      </c>
      <c r="AC181" s="123">
        <v>23.476673556362211</v>
      </c>
      <c r="AD181" s="127">
        <v>35.957893997323602</v>
      </c>
      <c r="AE181" s="128">
        <v>48.439114438284989</v>
      </c>
      <c r="AF181" s="123">
        <v>34.605588013699851</v>
      </c>
      <c r="AG181" s="127">
        <v>43.146735676033117</v>
      </c>
      <c r="AH181" s="128">
        <v>51.68788333836639</v>
      </c>
      <c r="AI181" s="123">
        <v>78.341040145491789</v>
      </c>
      <c r="AJ181" s="127">
        <v>110.28328612112692</v>
      </c>
      <c r="AK181" s="128">
        <v>142.22553209676204</v>
      </c>
      <c r="AL181" s="123">
        <v>99.880115691099235</v>
      </c>
      <c r="AM181" s="127">
        <v>122.02954315532034</v>
      </c>
      <c r="AN181" s="128">
        <v>144.17897061954142</v>
      </c>
    </row>
    <row r="182" spans="1:40" x14ac:dyDescent="0.3">
      <c r="A182" s="41">
        <v>2024</v>
      </c>
      <c r="B182" s="123">
        <v>1084.02</v>
      </c>
      <c r="C182" s="127">
        <v>1135.3499999999999</v>
      </c>
      <c r="D182" s="127">
        <v>1161.45</v>
      </c>
      <c r="E182" s="123">
        <v>1008.33</v>
      </c>
      <c r="F182" s="127">
        <v>1054.44</v>
      </c>
      <c r="G182" s="128">
        <v>1077.06</v>
      </c>
      <c r="H182" s="123">
        <v>5098.2</v>
      </c>
      <c r="I182" s="127">
        <v>5488.83</v>
      </c>
      <c r="J182" s="128">
        <v>5634.12</v>
      </c>
      <c r="K182" s="127">
        <v>1568.61</v>
      </c>
      <c r="L182" s="127">
        <v>1681.71</v>
      </c>
      <c r="M182" s="128">
        <v>1688.67</v>
      </c>
      <c r="N182" s="127">
        <v>3208.56</v>
      </c>
      <c r="O182" s="127">
        <v>3998.52</v>
      </c>
      <c r="P182" s="128">
        <v>4001.13</v>
      </c>
      <c r="Q182" s="83">
        <v>294.06</v>
      </c>
      <c r="R182" s="1">
        <v>324.51</v>
      </c>
      <c r="S182" s="89">
        <v>329.73</v>
      </c>
      <c r="U182" s="123">
        <v>793.43999999999994</v>
      </c>
      <c r="V182" s="127">
        <v>930.9</v>
      </c>
      <c r="W182" s="128">
        <v>1136.22</v>
      </c>
      <c r="X182" s="127">
        <v>1659.09</v>
      </c>
      <c r="Y182" s="127">
        <v>1728.69</v>
      </c>
      <c r="Z182" s="128">
        <v>1866.15</v>
      </c>
      <c r="AB182" s="24">
        <v>2040</v>
      </c>
      <c r="AC182" s="123">
        <v>18.685348912924379</v>
      </c>
      <c r="AD182" s="127">
        <v>28.1025038462098</v>
      </c>
      <c r="AE182" s="128">
        <v>37.519658779495224</v>
      </c>
      <c r="AF182" s="123">
        <v>31.793725185093496</v>
      </c>
      <c r="AG182" s="127">
        <v>41.391434642056851</v>
      </c>
      <c r="AH182" s="128">
        <v>50.989144099020201</v>
      </c>
      <c r="AI182" s="123">
        <v>69.130478559952536</v>
      </c>
      <c r="AJ182" s="127">
        <v>104.94597470429646</v>
      </c>
      <c r="AK182" s="128">
        <v>140.76147084864039</v>
      </c>
      <c r="AL182" s="123">
        <v>82.736588763694542</v>
      </c>
      <c r="AM182" s="127">
        <v>105.62405499380922</v>
      </c>
      <c r="AN182" s="128">
        <v>128.51152122392389</v>
      </c>
    </row>
    <row r="183" spans="1:40" ht="15" thickBot="1" x14ac:dyDescent="0.35">
      <c r="A183" s="41">
        <v>2025</v>
      </c>
      <c r="B183" s="123">
        <v>1030.08</v>
      </c>
      <c r="C183" s="127">
        <v>1087.5</v>
      </c>
      <c r="D183" s="127">
        <v>1119.69</v>
      </c>
      <c r="E183" s="123">
        <v>961.35</v>
      </c>
      <c r="F183" s="127">
        <v>1011.81</v>
      </c>
      <c r="G183" s="128">
        <v>1039.6500000000001</v>
      </c>
      <c r="H183" s="123">
        <v>4865.04</v>
      </c>
      <c r="I183" s="127">
        <v>5257.41</v>
      </c>
      <c r="J183" s="128">
        <v>5509.71</v>
      </c>
      <c r="K183" s="127">
        <v>1532.94</v>
      </c>
      <c r="L183" s="127">
        <v>1666.92</v>
      </c>
      <c r="M183" s="128">
        <v>1676.49</v>
      </c>
      <c r="N183" s="127">
        <v>3024.99</v>
      </c>
      <c r="O183" s="127">
        <v>3998.52</v>
      </c>
      <c r="P183" s="128">
        <v>4001.13</v>
      </c>
      <c r="Q183" s="83">
        <v>276.66000000000003</v>
      </c>
      <c r="R183" s="1">
        <v>310.58999999999997</v>
      </c>
      <c r="S183" s="89">
        <v>322.77</v>
      </c>
      <c r="U183" s="123">
        <v>684.68999999999994</v>
      </c>
      <c r="V183" s="127">
        <v>845.64</v>
      </c>
      <c r="W183" s="128">
        <v>1065.75</v>
      </c>
      <c r="X183" s="127">
        <v>1465.08</v>
      </c>
      <c r="Y183" s="127">
        <v>1560.78</v>
      </c>
      <c r="Z183" s="128">
        <v>1728.69</v>
      </c>
      <c r="AB183" s="25">
        <v>2050</v>
      </c>
      <c r="AC183" s="124">
        <v>17.348093408697029</v>
      </c>
      <c r="AD183" s="129">
        <v>25.688587195441375</v>
      </c>
      <c r="AE183" s="130">
        <v>34.029080982185725</v>
      </c>
      <c r="AF183" s="124">
        <v>29.996949508657323</v>
      </c>
      <c r="AG183" s="129">
        <v>40.03428169318299</v>
      </c>
      <c r="AH183" s="130">
        <v>50.071613877708664</v>
      </c>
      <c r="AI183" s="124">
        <v>62.377050082488452</v>
      </c>
      <c r="AJ183" s="129">
        <v>100.9842978685917</v>
      </c>
      <c r="AK183" s="130">
        <v>139.59154565469495</v>
      </c>
      <c r="AL183" s="124">
        <v>71.018206626979151</v>
      </c>
      <c r="AM183" s="129">
        <v>91.672554606420391</v>
      </c>
      <c r="AN183" s="130">
        <v>112.32690258586163</v>
      </c>
    </row>
    <row r="184" spans="1:40" x14ac:dyDescent="0.3">
      <c r="A184" s="41">
        <v>2026</v>
      </c>
      <c r="B184" s="123">
        <v>952.65</v>
      </c>
      <c r="C184" s="127">
        <v>1050.0899999999999</v>
      </c>
      <c r="D184" s="127">
        <v>1085.76</v>
      </c>
      <c r="E184" s="123">
        <v>893.49</v>
      </c>
      <c r="F184" s="127">
        <v>977.88</v>
      </c>
      <c r="G184" s="128">
        <v>1009.2</v>
      </c>
      <c r="H184" s="123">
        <v>4670.16</v>
      </c>
      <c r="I184" s="127">
        <v>5044.26</v>
      </c>
      <c r="J184" s="128">
        <v>5386.17</v>
      </c>
      <c r="K184" s="127">
        <v>1502.49</v>
      </c>
      <c r="L184" s="127">
        <v>1643.43</v>
      </c>
      <c r="M184" s="128">
        <v>1666.05</v>
      </c>
      <c r="N184" s="127">
        <v>2861.43</v>
      </c>
      <c r="O184" s="127">
        <v>3995.91</v>
      </c>
      <c r="P184" s="128">
        <v>4001.13</v>
      </c>
      <c r="Q184" s="83">
        <v>261</v>
      </c>
      <c r="R184" s="1">
        <v>296.67</v>
      </c>
      <c r="S184" s="89">
        <v>317.55</v>
      </c>
      <c r="U184" s="123">
        <v>604.65</v>
      </c>
      <c r="V184" s="127">
        <v>779.52</v>
      </c>
      <c r="W184" s="128">
        <v>1005.72</v>
      </c>
      <c r="X184" s="127">
        <v>1293.69</v>
      </c>
      <c r="Y184" s="127">
        <v>1409.4</v>
      </c>
      <c r="Z184" s="128">
        <v>1601.67</v>
      </c>
    </row>
    <row r="185" spans="1:40" x14ac:dyDescent="0.3">
      <c r="A185" s="41">
        <v>2027</v>
      </c>
      <c r="B185" s="123">
        <v>865.65</v>
      </c>
      <c r="C185" s="127">
        <v>1010.07</v>
      </c>
      <c r="D185" s="127">
        <v>1052.7</v>
      </c>
      <c r="E185" s="123">
        <v>816.93</v>
      </c>
      <c r="F185" s="127">
        <v>942.21</v>
      </c>
      <c r="G185" s="128">
        <v>975.27</v>
      </c>
      <c r="H185" s="123">
        <v>4524.87</v>
      </c>
      <c r="I185" s="127">
        <v>4882.4399999999996</v>
      </c>
      <c r="J185" s="128">
        <v>5250.45</v>
      </c>
      <c r="K185" s="127">
        <v>1474.65</v>
      </c>
      <c r="L185" s="127">
        <v>1618.2</v>
      </c>
      <c r="M185" s="128">
        <v>1658.22</v>
      </c>
      <c r="N185" s="127">
        <v>2750.07</v>
      </c>
      <c r="O185" s="127">
        <v>3981.99</v>
      </c>
      <c r="P185" s="128">
        <v>4001.13</v>
      </c>
      <c r="Q185" s="83">
        <v>247.08</v>
      </c>
      <c r="R185" s="1">
        <v>284.49</v>
      </c>
      <c r="S185" s="89">
        <v>312.33</v>
      </c>
      <c r="U185" s="123">
        <v>537.66</v>
      </c>
      <c r="V185" s="127">
        <v>724.71</v>
      </c>
      <c r="W185" s="128">
        <v>955.26</v>
      </c>
      <c r="X185" s="127">
        <v>1142.31</v>
      </c>
      <c r="Y185" s="127">
        <v>1272.81</v>
      </c>
      <c r="Z185" s="128">
        <v>1483.35</v>
      </c>
    </row>
    <row r="186" spans="1:40" x14ac:dyDescent="0.3">
      <c r="A186" s="41">
        <v>2028</v>
      </c>
      <c r="B186" s="123">
        <v>787.35</v>
      </c>
      <c r="C186" s="127">
        <v>975.27</v>
      </c>
      <c r="D186" s="127">
        <v>990.93</v>
      </c>
      <c r="E186" s="123">
        <v>747.33</v>
      </c>
      <c r="F186" s="127">
        <v>910.02</v>
      </c>
      <c r="G186" s="128">
        <v>923.93999999999994</v>
      </c>
      <c r="H186" s="123">
        <v>4380.45</v>
      </c>
      <c r="I186" s="127">
        <v>4768.47</v>
      </c>
      <c r="J186" s="128">
        <v>5127.78</v>
      </c>
      <c r="K186" s="127">
        <v>1452.03</v>
      </c>
      <c r="L186" s="127">
        <v>1591.23</v>
      </c>
      <c r="M186" s="128">
        <v>1655.61</v>
      </c>
      <c r="N186" s="127">
        <v>2681.34</v>
      </c>
      <c r="O186" s="127">
        <v>3951.54</v>
      </c>
      <c r="P186" s="128">
        <v>4001.13</v>
      </c>
      <c r="Q186" s="83">
        <v>234.9</v>
      </c>
      <c r="R186" s="1">
        <v>272.31</v>
      </c>
      <c r="S186" s="89">
        <v>307.11</v>
      </c>
      <c r="U186" s="123">
        <v>486.33</v>
      </c>
      <c r="V186" s="127">
        <v>668.16</v>
      </c>
      <c r="W186" s="128">
        <v>890.88</v>
      </c>
      <c r="X186" s="127">
        <v>1008.33</v>
      </c>
      <c r="Y186" s="127">
        <v>1149.27</v>
      </c>
      <c r="Z186" s="128">
        <v>1373.73</v>
      </c>
    </row>
    <row r="187" spans="1:40" x14ac:dyDescent="0.3">
      <c r="A187" s="41">
        <v>2029</v>
      </c>
      <c r="B187" s="123">
        <v>731.67</v>
      </c>
      <c r="C187" s="127">
        <v>939.6</v>
      </c>
      <c r="D187" s="127">
        <v>933.51</v>
      </c>
      <c r="E187" s="123">
        <v>697.74</v>
      </c>
      <c r="F187" s="127">
        <v>876.96</v>
      </c>
      <c r="G187" s="128">
        <v>872.61</v>
      </c>
      <c r="H187" s="123">
        <v>4216.0199999999995</v>
      </c>
      <c r="I187" s="127">
        <v>4673.6400000000003</v>
      </c>
      <c r="J187" s="128">
        <v>5020.7699999999995</v>
      </c>
      <c r="K187" s="127">
        <v>1434.6299999999999</v>
      </c>
      <c r="L187" s="127">
        <v>1568.61</v>
      </c>
      <c r="M187" s="128">
        <v>1653</v>
      </c>
      <c r="N187" s="127">
        <v>2628.27</v>
      </c>
      <c r="O187" s="127">
        <v>3908.04</v>
      </c>
      <c r="P187" s="128">
        <v>3988.08</v>
      </c>
      <c r="Q187" s="83">
        <v>223.59</v>
      </c>
      <c r="R187" s="1">
        <v>261</v>
      </c>
      <c r="S187" s="89">
        <v>302.76</v>
      </c>
      <c r="U187" s="123">
        <v>447.18</v>
      </c>
      <c r="V187" s="127">
        <v>632.49</v>
      </c>
      <c r="W187" s="128">
        <v>853.47</v>
      </c>
      <c r="X187" s="127">
        <v>890.01</v>
      </c>
      <c r="Y187" s="127">
        <v>1037.9100000000001</v>
      </c>
      <c r="Z187" s="128">
        <v>1272.81</v>
      </c>
    </row>
    <row r="188" spans="1:40" x14ac:dyDescent="0.3">
      <c r="A188" s="41">
        <v>2030</v>
      </c>
      <c r="B188" s="123">
        <v>682.95</v>
      </c>
      <c r="C188" s="127">
        <v>910.02</v>
      </c>
      <c r="D188" s="127">
        <v>881.31</v>
      </c>
      <c r="E188" s="123">
        <v>654.24</v>
      </c>
      <c r="F188" s="127">
        <v>849.99</v>
      </c>
      <c r="G188" s="128">
        <v>825.63</v>
      </c>
      <c r="H188" s="123">
        <v>4051.59</v>
      </c>
      <c r="I188" s="127">
        <v>4555.32</v>
      </c>
      <c r="J188" s="128">
        <v>4924.2</v>
      </c>
      <c r="K188" s="127">
        <v>1420.71</v>
      </c>
      <c r="L188" s="127">
        <v>1546.86</v>
      </c>
      <c r="M188" s="128">
        <v>1650.39</v>
      </c>
      <c r="N188" s="127">
        <v>2581.29</v>
      </c>
      <c r="O188" s="127">
        <v>3860.19</v>
      </c>
      <c r="P188" s="128">
        <v>3954.15</v>
      </c>
      <c r="Q188" s="83">
        <v>210.54</v>
      </c>
      <c r="R188" s="1">
        <v>249.69</v>
      </c>
      <c r="S188" s="89">
        <v>298.41000000000003</v>
      </c>
      <c r="U188" s="123">
        <v>410.64</v>
      </c>
      <c r="V188" s="127">
        <v>585.51</v>
      </c>
      <c r="W188" s="128">
        <v>798.66</v>
      </c>
      <c r="X188" s="127">
        <v>786.48</v>
      </c>
      <c r="Y188" s="127">
        <v>936.99</v>
      </c>
      <c r="Z188" s="128">
        <v>1178.8499999999999</v>
      </c>
    </row>
    <row r="189" spans="1:40" x14ac:dyDescent="0.3">
      <c r="A189" s="41">
        <v>2031</v>
      </c>
      <c r="B189" s="123">
        <v>645.54</v>
      </c>
      <c r="C189" s="127">
        <v>879.57</v>
      </c>
      <c r="D189" s="127">
        <v>852.6</v>
      </c>
      <c r="E189" s="123">
        <v>619.43999999999994</v>
      </c>
      <c r="F189" s="127">
        <v>822.15</v>
      </c>
      <c r="G189" s="128">
        <v>798.66</v>
      </c>
      <c r="H189" s="123">
        <v>3908.91</v>
      </c>
      <c r="I189" s="127">
        <v>4415.25</v>
      </c>
      <c r="J189" s="128">
        <v>4836.33</v>
      </c>
      <c r="K189" s="127">
        <v>1410.27</v>
      </c>
      <c r="L189" s="127">
        <v>1530.33</v>
      </c>
      <c r="M189" s="128">
        <v>1647.78</v>
      </c>
      <c r="N189" s="127">
        <v>2539.5300000000002</v>
      </c>
      <c r="O189" s="127">
        <v>3815.82</v>
      </c>
      <c r="P189" s="128">
        <v>3920.22</v>
      </c>
      <c r="Q189" s="83">
        <v>200.97</v>
      </c>
      <c r="R189" s="1">
        <v>239.25</v>
      </c>
      <c r="S189" s="89">
        <v>293.19</v>
      </c>
      <c r="U189" s="123">
        <v>381.93</v>
      </c>
      <c r="V189" s="127">
        <v>539.4</v>
      </c>
      <c r="W189" s="128">
        <v>769.95</v>
      </c>
      <c r="X189" s="127">
        <v>694.26</v>
      </c>
      <c r="Y189" s="127">
        <v>845.64</v>
      </c>
      <c r="Z189" s="128">
        <v>1091.8499999999999</v>
      </c>
    </row>
    <row r="190" spans="1:40" x14ac:dyDescent="0.3">
      <c r="A190" s="41">
        <v>2032</v>
      </c>
      <c r="B190" s="123">
        <v>615.96</v>
      </c>
      <c r="C190" s="127">
        <v>853.47</v>
      </c>
      <c r="D190" s="127">
        <v>812.58</v>
      </c>
      <c r="E190" s="123">
        <v>592.47</v>
      </c>
      <c r="F190" s="127">
        <v>797.79</v>
      </c>
      <c r="G190" s="128">
        <v>762.99</v>
      </c>
      <c r="H190" s="123">
        <v>3803.64</v>
      </c>
      <c r="I190" s="127">
        <v>4264.74</v>
      </c>
      <c r="J190" s="128">
        <v>4756.29</v>
      </c>
      <c r="K190" s="127">
        <v>1402.44</v>
      </c>
      <c r="L190" s="127">
        <v>1521.6299999999999</v>
      </c>
      <c r="M190" s="128">
        <v>1646.04</v>
      </c>
      <c r="N190" s="127">
        <v>2502.12</v>
      </c>
      <c r="O190" s="127">
        <v>3785.37</v>
      </c>
      <c r="P190" s="128">
        <v>3899.34</v>
      </c>
      <c r="Q190" s="83">
        <v>193.14</v>
      </c>
      <c r="R190" s="1">
        <v>234.03</v>
      </c>
      <c r="S190" s="89">
        <v>287.10000000000002</v>
      </c>
      <c r="U190" s="123">
        <v>358.44</v>
      </c>
      <c r="V190" s="127">
        <v>501.12</v>
      </c>
      <c r="W190" s="128">
        <v>721.23</v>
      </c>
      <c r="X190" s="127">
        <v>612.48</v>
      </c>
      <c r="Y190" s="127">
        <v>763.86</v>
      </c>
      <c r="Z190" s="128">
        <v>1010.9399999999999</v>
      </c>
    </row>
    <row r="191" spans="1:40" x14ac:dyDescent="0.3">
      <c r="A191" s="41">
        <v>2033</v>
      </c>
      <c r="B191" s="123">
        <v>595.95000000000005</v>
      </c>
      <c r="C191" s="127">
        <v>807.36</v>
      </c>
      <c r="D191" s="127">
        <v>768.21</v>
      </c>
      <c r="E191" s="123">
        <v>573.33000000000004</v>
      </c>
      <c r="F191" s="127">
        <v>756.03</v>
      </c>
      <c r="G191" s="128">
        <v>722.97</v>
      </c>
      <c r="H191" s="123">
        <v>3704.46</v>
      </c>
      <c r="I191" s="127">
        <v>4132.5</v>
      </c>
      <c r="J191" s="128">
        <v>4682.34</v>
      </c>
      <c r="K191" s="127">
        <v>1396.35</v>
      </c>
      <c r="L191" s="127">
        <v>1509.45</v>
      </c>
      <c r="M191" s="128">
        <v>1643.43</v>
      </c>
      <c r="N191" s="127">
        <v>2469.06</v>
      </c>
      <c r="O191" s="127">
        <v>3771.45</v>
      </c>
      <c r="P191" s="128">
        <v>3899.34</v>
      </c>
      <c r="Q191" s="83">
        <v>186.18</v>
      </c>
      <c r="R191" s="1">
        <v>229.68</v>
      </c>
      <c r="S191" s="89">
        <v>281.88</v>
      </c>
      <c r="U191" s="123">
        <v>337.56</v>
      </c>
      <c r="V191" s="127">
        <v>481.98</v>
      </c>
      <c r="W191" s="128">
        <v>694.26</v>
      </c>
      <c r="X191" s="127">
        <v>541.14</v>
      </c>
      <c r="Y191" s="127">
        <v>689.91</v>
      </c>
      <c r="Z191" s="128">
        <v>936.99</v>
      </c>
    </row>
    <row r="192" spans="1:40" x14ac:dyDescent="0.3">
      <c r="A192" s="41">
        <v>2034</v>
      </c>
      <c r="B192" s="123">
        <v>577.67999999999995</v>
      </c>
      <c r="C192" s="127">
        <v>769.95</v>
      </c>
      <c r="D192" s="127">
        <v>732.54</v>
      </c>
      <c r="E192" s="123">
        <v>555.92999999999995</v>
      </c>
      <c r="F192" s="127">
        <v>721.23</v>
      </c>
      <c r="G192" s="128">
        <v>689.91</v>
      </c>
      <c r="H192" s="123">
        <v>3620.94</v>
      </c>
      <c r="I192" s="127">
        <v>4022.0099999999998</v>
      </c>
      <c r="J192" s="128">
        <v>4613.6099999999997</v>
      </c>
      <c r="K192" s="127">
        <v>1389.39</v>
      </c>
      <c r="L192" s="127">
        <v>1495.53</v>
      </c>
      <c r="M192" s="128">
        <v>1640.82</v>
      </c>
      <c r="N192" s="127">
        <v>2438.61</v>
      </c>
      <c r="O192" s="127">
        <v>3768.84</v>
      </c>
      <c r="P192" s="128">
        <v>3899.34</v>
      </c>
      <c r="Q192" s="83">
        <v>183.57</v>
      </c>
      <c r="R192" s="1">
        <v>225.33</v>
      </c>
      <c r="S192" s="89">
        <v>274.05</v>
      </c>
      <c r="U192" s="123">
        <v>319.29000000000002</v>
      </c>
      <c r="V192" s="127">
        <v>465.45</v>
      </c>
      <c r="W192" s="128">
        <v>669.03</v>
      </c>
      <c r="X192" s="127">
        <v>477.63</v>
      </c>
      <c r="Y192" s="127">
        <v>622.91999999999996</v>
      </c>
      <c r="Z192" s="128">
        <v>867.39</v>
      </c>
    </row>
    <row r="193" spans="1:26" x14ac:dyDescent="0.3">
      <c r="A193" s="41">
        <v>2035</v>
      </c>
      <c r="B193" s="123">
        <v>560.28</v>
      </c>
      <c r="C193" s="127">
        <v>736.02</v>
      </c>
      <c r="D193" s="127">
        <v>717.75</v>
      </c>
      <c r="E193" s="123">
        <v>539.4</v>
      </c>
      <c r="F193" s="127">
        <v>690.78</v>
      </c>
      <c r="G193" s="128">
        <v>675.12</v>
      </c>
      <c r="H193" s="123">
        <v>3534.81</v>
      </c>
      <c r="I193" s="127">
        <v>3931.53</v>
      </c>
      <c r="J193" s="128">
        <v>4549.2299999999996</v>
      </c>
      <c r="K193" s="127">
        <v>1379.82</v>
      </c>
      <c r="L193" s="127">
        <v>1479.87</v>
      </c>
      <c r="M193" s="128">
        <v>1639.08</v>
      </c>
      <c r="N193" s="127">
        <v>2411.64</v>
      </c>
      <c r="O193" s="127">
        <v>3768.84</v>
      </c>
      <c r="P193" s="128">
        <v>3899.34</v>
      </c>
      <c r="Q193" s="83">
        <v>180.96</v>
      </c>
      <c r="R193" s="1">
        <v>220.10999999999999</v>
      </c>
      <c r="S193" s="89">
        <v>267.95999999999998</v>
      </c>
      <c r="U193" s="123">
        <v>302.76</v>
      </c>
      <c r="V193" s="127">
        <v>449.79</v>
      </c>
      <c r="W193" s="128">
        <v>649.02</v>
      </c>
      <c r="X193" s="127">
        <v>421.95</v>
      </c>
      <c r="Y193" s="127">
        <v>562.02</v>
      </c>
      <c r="Z193" s="128">
        <v>803.88</v>
      </c>
    </row>
    <row r="194" spans="1:26" x14ac:dyDescent="0.3">
      <c r="A194" s="41">
        <v>2036</v>
      </c>
      <c r="B194" s="123">
        <v>543.75</v>
      </c>
      <c r="C194" s="127">
        <v>705.57</v>
      </c>
      <c r="D194" s="127">
        <v>702.09</v>
      </c>
      <c r="E194" s="123">
        <v>523.74</v>
      </c>
      <c r="F194" s="127">
        <v>662.93999999999994</v>
      </c>
      <c r="G194" s="128">
        <v>660.33</v>
      </c>
      <c r="H194" s="123">
        <v>3462.6</v>
      </c>
      <c r="I194" s="127">
        <v>3862.8</v>
      </c>
      <c r="J194" s="128">
        <v>4488.33</v>
      </c>
      <c r="K194" s="127">
        <v>1371.12</v>
      </c>
      <c r="L194" s="127">
        <v>1468.56</v>
      </c>
      <c r="M194" s="128">
        <v>1638.21</v>
      </c>
      <c r="N194" s="127">
        <v>2387.2800000000002</v>
      </c>
      <c r="O194" s="127">
        <v>3687.93</v>
      </c>
      <c r="P194" s="128">
        <v>3899.34</v>
      </c>
      <c r="Q194" s="83">
        <v>178.35</v>
      </c>
      <c r="R194" s="1">
        <v>214.89</v>
      </c>
      <c r="S194" s="89">
        <v>260.13</v>
      </c>
      <c r="U194" s="123">
        <v>287.10000000000002</v>
      </c>
      <c r="V194" s="127">
        <v>418.46999999999997</v>
      </c>
      <c r="W194" s="128">
        <v>625.53</v>
      </c>
      <c r="X194" s="127">
        <v>372.36</v>
      </c>
      <c r="Y194" s="127">
        <v>507.21</v>
      </c>
      <c r="Z194" s="128">
        <v>743.85</v>
      </c>
    </row>
    <row r="195" spans="1:26" x14ac:dyDescent="0.3">
      <c r="A195" s="41">
        <v>2037</v>
      </c>
      <c r="B195" s="123">
        <v>530.70000000000005</v>
      </c>
      <c r="C195" s="127">
        <v>681.21</v>
      </c>
      <c r="D195" s="127">
        <v>686.43</v>
      </c>
      <c r="E195" s="123">
        <v>510.69</v>
      </c>
      <c r="F195" s="127">
        <v>640.32000000000005</v>
      </c>
      <c r="G195" s="128">
        <v>645.54</v>
      </c>
      <c r="H195" s="123">
        <v>3388.65</v>
      </c>
      <c r="I195" s="127">
        <v>3799.29</v>
      </c>
      <c r="J195" s="128">
        <v>4430.91</v>
      </c>
      <c r="K195" s="127">
        <v>1364.16</v>
      </c>
      <c r="L195" s="127">
        <v>1458.99</v>
      </c>
      <c r="M195" s="128">
        <v>1637.34</v>
      </c>
      <c r="N195" s="127">
        <v>2364.66</v>
      </c>
      <c r="O195" s="127">
        <v>3567</v>
      </c>
      <c r="P195" s="128">
        <v>3899.34</v>
      </c>
      <c r="Q195" s="83">
        <v>175.74</v>
      </c>
      <c r="R195" s="1">
        <v>210.54</v>
      </c>
      <c r="S195" s="89">
        <v>254.04</v>
      </c>
      <c r="U195" s="123">
        <v>272.31</v>
      </c>
      <c r="V195" s="127">
        <v>394.11</v>
      </c>
      <c r="W195" s="128">
        <v>609</v>
      </c>
      <c r="X195" s="127">
        <v>328.86</v>
      </c>
      <c r="Y195" s="127">
        <v>458.49</v>
      </c>
      <c r="Z195" s="128">
        <v>689.04</v>
      </c>
    </row>
    <row r="196" spans="1:26" x14ac:dyDescent="0.3">
      <c r="A196" s="41">
        <v>2038</v>
      </c>
      <c r="B196" s="123">
        <v>519.39</v>
      </c>
      <c r="C196" s="127">
        <v>644.66999999999996</v>
      </c>
      <c r="D196" s="127">
        <v>663.81</v>
      </c>
      <c r="E196" s="123">
        <v>501.12</v>
      </c>
      <c r="F196" s="127">
        <v>608.13</v>
      </c>
      <c r="G196" s="128">
        <v>624.66</v>
      </c>
      <c r="H196" s="123">
        <v>3319.92</v>
      </c>
      <c r="I196" s="127">
        <v>3743.61</v>
      </c>
      <c r="J196" s="128">
        <v>4375.2299999999996</v>
      </c>
      <c r="K196" s="127">
        <v>1359.81</v>
      </c>
      <c r="L196" s="127">
        <v>1449.42</v>
      </c>
      <c r="M196" s="128">
        <v>1634.73</v>
      </c>
      <c r="N196" s="127">
        <v>2343.7800000000002</v>
      </c>
      <c r="O196" s="127">
        <v>3420.84</v>
      </c>
      <c r="P196" s="128">
        <v>3899.34</v>
      </c>
      <c r="Q196" s="83">
        <v>173.13</v>
      </c>
      <c r="R196" s="1">
        <v>206.19</v>
      </c>
      <c r="S196" s="89">
        <v>246.21</v>
      </c>
      <c r="U196" s="123">
        <v>259.26</v>
      </c>
      <c r="V196" s="127">
        <v>374.1</v>
      </c>
      <c r="W196" s="128">
        <v>587.25</v>
      </c>
      <c r="X196" s="127">
        <v>290.58</v>
      </c>
      <c r="Y196" s="127">
        <v>414.12</v>
      </c>
      <c r="Z196" s="128">
        <v>638.58000000000004</v>
      </c>
    </row>
    <row r="197" spans="1:26" x14ac:dyDescent="0.3">
      <c r="A197" s="41">
        <v>2039</v>
      </c>
      <c r="B197" s="123">
        <v>510.69</v>
      </c>
      <c r="C197" s="127">
        <v>628.14</v>
      </c>
      <c r="D197" s="127">
        <v>651.63</v>
      </c>
      <c r="E197" s="123">
        <v>492.42</v>
      </c>
      <c r="F197" s="127">
        <v>592.47</v>
      </c>
      <c r="G197" s="128">
        <v>613.35</v>
      </c>
      <c r="H197" s="123">
        <v>3234.66</v>
      </c>
      <c r="I197" s="127">
        <v>3685.32</v>
      </c>
      <c r="J197" s="128">
        <v>4323.03</v>
      </c>
      <c r="K197" s="127">
        <v>1355.46</v>
      </c>
      <c r="L197" s="127">
        <v>1443.33</v>
      </c>
      <c r="M197" s="128">
        <v>1630.3799999999999</v>
      </c>
      <c r="N197" s="127">
        <v>2325.5099999999998</v>
      </c>
      <c r="O197" s="127">
        <v>3339.06</v>
      </c>
      <c r="P197" s="128">
        <v>3899.34</v>
      </c>
      <c r="Q197" s="83">
        <v>171.39</v>
      </c>
      <c r="R197" s="1">
        <v>201.84</v>
      </c>
      <c r="S197" s="89">
        <v>240.12</v>
      </c>
      <c r="U197" s="123">
        <v>244.47</v>
      </c>
      <c r="V197" s="127">
        <v>354.09</v>
      </c>
      <c r="W197" s="128">
        <v>574.20000000000005</v>
      </c>
      <c r="X197" s="127">
        <v>256.64999999999998</v>
      </c>
      <c r="Y197" s="127">
        <v>373.23</v>
      </c>
      <c r="Z197" s="128">
        <v>591.6</v>
      </c>
    </row>
    <row r="198" spans="1:26" x14ac:dyDescent="0.3">
      <c r="A198" s="41">
        <v>2040</v>
      </c>
      <c r="B198" s="123">
        <v>502.86</v>
      </c>
      <c r="C198" s="127">
        <v>599.42999999999995</v>
      </c>
      <c r="D198" s="127">
        <v>637.71</v>
      </c>
      <c r="E198" s="123">
        <v>484.59</v>
      </c>
      <c r="F198" s="127">
        <v>568.11</v>
      </c>
      <c r="G198" s="128">
        <v>601.16999999999996</v>
      </c>
      <c r="H198" s="123">
        <v>3149.4</v>
      </c>
      <c r="I198" s="127">
        <v>3637.47</v>
      </c>
      <c r="J198" s="128">
        <v>4257.78</v>
      </c>
      <c r="K198" s="127">
        <v>1351.11</v>
      </c>
      <c r="L198" s="127">
        <v>1433.76</v>
      </c>
      <c r="M198" s="128">
        <v>1625.16</v>
      </c>
      <c r="N198" s="127">
        <v>2308.11</v>
      </c>
      <c r="O198" s="127">
        <v>3281.64</v>
      </c>
      <c r="P198" s="128">
        <v>3899.34</v>
      </c>
      <c r="Q198" s="83">
        <v>168.78</v>
      </c>
      <c r="R198" s="1">
        <v>197.49</v>
      </c>
      <c r="S198" s="89">
        <v>234.03</v>
      </c>
      <c r="U198" s="123">
        <v>226.2</v>
      </c>
      <c r="V198" s="127">
        <v>337.56</v>
      </c>
      <c r="W198" s="128">
        <v>548.1</v>
      </c>
      <c r="X198" s="127">
        <v>226.2</v>
      </c>
      <c r="Y198" s="127">
        <v>337.56</v>
      </c>
      <c r="Z198" s="128">
        <v>548.1</v>
      </c>
    </row>
    <row r="199" spans="1:26" x14ac:dyDescent="0.3">
      <c r="A199" s="41">
        <v>2041</v>
      </c>
      <c r="B199" s="123">
        <v>496.77</v>
      </c>
      <c r="C199" s="127">
        <v>581.16</v>
      </c>
      <c r="D199" s="127">
        <v>631.62</v>
      </c>
      <c r="E199" s="123">
        <v>478.5</v>
      </c>
      <c r="F199" s="127">
        <v>551.58000000000004</v>
      </c>
      <c r="G199" s="128">
        <v>594.21</v>
      </c>
      <c r="H199" s="123">
        <v>3054.57</v>
      </c>
      <c r="I199" s="127">
        <v>3581.79</v>
      </c>
      <c r="J199" s="128">
        <v>4181.22</v>
      </c>
      <c r="K199" s="127">
        <v>1347.6299999999999</v>
      </c>
      <c r="L199" s="127">
        <v>1425.06</v>
      </c>
      <c r="M199" s="128">
        <v>1620.81</v>
      </c>
      <c r="N199" s="127">
        <v>2292.4499999999998</v>
      </c>
      <c r="O199" s="127">
        <v>3217.2599999999998</v>
      </c>
      <c r="P199" s="128">
        <v>3898.47</v>
      </c>
      <c r="Q199" s="83">
        <v>166.17</v>
      </c>
      <c r="R199" s="1">
        <v>194.01</v>
      </c>
      <c r="S199" s="89">
        <v>229.68</v>
      </c>
      <c r="U199" s="123">
        <v>209.67</v>
      </c>
      <c r="V199" s="127">
        <v>323.64</v>
      </c>
      <c r="W199" s="128">
        <v>534.17999999999995</v>
      </c>
      <c r="X199" s="127">
        <v>209.67</v>
      </c>
      <c r="Y199" s="127">
        <v>323.64</v>
      </c>
      <c r="Z199" s="128">
        <v>534.17999999999995</v>
      </c>
    </row>
    <row r="200" spans="1:26" x14ac:dyDescent="0.3">
      <c r="A200" s="41">
        <v>2042</v>
      </c>
      <c r="B200" s="123">
        <v>491.55</v>
      </c>
      <c r="C200" s="127">
        <v>561.15</v>
      </c>
      <c r="D200" s="127">
        <v>623.79</v>
      </c>
      <c r="E200" s="123">
        <v>473.28</v>
      </c>
      <c r="F200" s="127">
        <v>532.43999999999994</v>
      </c>
      <c r="G200" s="128">
        <v>586.38</v>
      </c>
      <c r="H200" s="123">
        <v>2973.66</v>
      </c>
      <c r="I200" s="127">
        <v>3524.37</v>
      </c>
      <c r="J200" s="128">
        <v>4094.22</v>
      </c>
      <c r="K200" s="127">
        <v>1345.02</v>
      </c>
      <c r="L200" s="127">
        <v>1413.75</v>
      </c>
      <c r="M200" s="128">
        <v>1617.33</v>
      </c>
      <c r="N200" s="127">
        <v>2277.66</v>
      </c>
      <c r="O200" s="127">
        <v>3145.92</v>
      </c>
      <c r="P200" s="128">
        <v>3889.77</v>
      </c>
      <c r="Q200" s="83">
        <v>164.43</v>
      </c>
      <c r="R200" s="1">
        <v>192.27</v>
      </c>
      <c r="S200" s="89">
        <v>227.07</v>
      </c>
      <c r="U200" s="123">
        <v>196.62</v>
      </c>
      <c r="V200" s="127">
        <v>311.45999999999998</v>
      </c>
      <c r="W200" s="128">
        <v>514.16999999999996</v>
      </c>
      <c r="X200" s="127">
        <v>196.62</v>
      </c>
      <c r="Y200" s="127">
        <v>311.45999999999998</v>
      </c>
      <c r="Z200" s="128">
        <v>514.16999999999996</v>
      </c>
    </row>
    <row r="201" spans="1:26" x14ac:dyDescent="0.3">
      <c r="A201" s="41">
        <v>2043</v>
      </c>
      <c r="B201" s="123">
        <v>485.46</v>
      </c>
      <c r="C201" s="127">
        <v>547.23</v>
      </c>
      <c r="D201" s="127">
        <v>614.22</v>
      </c>
      <c r="E201" s="123">
        <v>467.19</v>
      </c>
      <c r="F201" s="127">
        <v>520.26</v>
      </c>
      <c r="G201" s="128">
        <v>577.67999999999995</v>
      </c>
      <c r="H201" s="123">
        <v>2889.27</v>
      </c>
      <c r="I201" s="127">
        <v>3464.34</v>
      </c>
      <c r="J201" s="128">
        <v>4013.31</v>
      </c>
      <c r="K201" s="127">
        <v>1341.54</v>
      </c>
      <c r="L201" s="127">
        <v>1405.05</v>
      </c>
      <c r="M201" s="128">
        <v>1612.98</v>
      </c>
      <c r="N201" s="127">
        <v>2263.7399999999998</v>
      </c>
      <c r="O201" s="127">
        <v>3071.1</v>
      </c>
      <c r="P201" s="128">
        <v>3881.07</v>
      </c>
      <c r="Q201" s="83">
        <v>161.82</v>
      </c>
      <c r="R201" s="1">
        <v>189.66</v>
      </c>
      <c r="S201" s="89">
        <v>224.46</v>
      </c>
      <c r="U201" s="123">
        <v>186.18</v>
      </c>
      <c r="V201" s="127">
        <v>301.02</v>
      </c>
      <c r="W201" s="128">
        <v>500.25</v>
      </c>
      <c r="X201" s="127">
        <v>186.18</v>
      </c>
      <c r="Y201" s="127">
        <v>301.02</v>
      </c>
      <c r="Z201" s="128">
        <v>500.25</v>
      </c>
    </row>
    <row r="202" spans="1:26" x14ac:dyDescent="0.3">
      <c r="A202" s="41">
        <v>2044</v>
      </c>
      <c r="B202" s="123">
        <v>481.11</v>
      </c>
      <c r="C202" s="127">
        <v>532.43999999999994</v>
      </c>
      <c r="D202" s="127">
        <v>604.65</v>
      </c>
      <c r="E202" s="123">
        <v>462.84</v>
      </c>
      <c r="F202" s="127">
        <v>507.21</v>
      </c>
      <c r="G202" s="128">
        <v>568.98</v>
      </c>
      <c r="H202" s="123">
        <v>2822.28</v>
      </c>
      <c r="I202" s="127">
        <v>3408.66</v>
      </c>
      <c r="J202" s="128">
        <v>3936.75</v>
      </c>
      <c r="K202" s="127">
        <v>1338.93</v>
      </c>
      <c r="L202" s="127">
        <v>1394.61</v>
      </c>
      <c r="M202" s="128">
        <v>1609.5</v>
      </c>
      <c r="N202" s="127">
        <v>2251.56</v>
      </c>
      <c r="O202" s="127">
        <v>3011.07</v>
      </c>
      <c r="P202" s="128">
        <v>3873.24</v>
      </c>
      <c r="Q202" s="83">
        <v>160.08000000000001</v>
      </c>
      <c r="R202" s="1">
        <v>187.05</v>
      </c>
      <c r="S202" s="89">
        <v>220.10999999999999</v>
      </c>
      <c r="U202" s="123">
        <v>177.48</v>
      </c>
      <c r="V202" s="127">
        <v>288.83999999999997</v>
      </c>
      <c r="W202" s="128">
        <v>484.59</v>
      </c>
      <c r="X202" s="127">
        <v>177.48</v>
      </c>
      <c r="Y202" s="127">
        <v>288.83999999999997</v>
      </c>
      <c r="Z202" s="128">
        <v>484.59</v>
      </c>
    </row>
    <row r="203" spans="1:26" x14ac:dyDescent="0.3">
      <c r="A203" s="41">
        <v>2045</v>
      </c>
      <c r="B203" s="123">
        <v>475.89</v>
      </c>
      <c r="C203" s="127">
        <v>518.52</v>
      </c>
      <c r="D203" s="127">
        <v>596.82000000000005</v>
      </c>
      <c r="E203" s="123">
        <v>457.62</v>
      </c>
      <c r="F203" s="127">
        <v>494.16</v>
      </c>
      <c r="G203" s="128">
        <v>562.02</v>
      </c>
      <c r="H203" s="123">
        <v>2758.77</v>
      </c>
      <c r="I203" s="127">
        <v>3359.07</v>
      </c>
      <c r="J203" s="128">
        <v>3864.54</v>
      </c>
      <c r="K203" s="127">
        <v>1336.32</v>
      </c>
      <c r="L203" s="127">
        <v>1383.3</v>
      </c>
      <c r="M203" s="128">
        <v>1606.02</v>
      </c>
      <c r="N203" s="127">
        <v>2239.38</v>
      </c>
      <c r="O203" s="127">
        <v>2963.22</v>
      </c>
      <c r="P203" s="128">
        <v>3873.24</v>
      </c>
      <c r="Q203" s="83">
        <v>157.47</v>
      </c>
      <c r="R203" s="1">
        <v>184.44</v>
      </c>
      <c r="S203" s="89">
        <v>216.63</v>
      </c>
      <c r="U203" s="123">
        <v>167.91</v>
      </c>
      <c r="V203" s="127">
        <v>277.52999999999997</v>
      </c>
      <c r="W203" s="128">
        <v>471.54</v>
      </c>
      <c r="X203" s="127">
        <v>167.91</v>
      </c>
      <c r="Y203" s="127">
        <v>277.52999999999997</v>
      </c>
      <c r="Z203" s="128">
        <v>471.54</v>
      </c>
    </row>
    <row r="204" spans="1:26" x14ac:dyDescent="0.3">
      <c r="A204" s="41">
        <v>2046</v>
      </c>
      <c r="B204" s="123">
        <v>470.67</v>
      </c>
      <c r="C204" s="127">
        <v>504.6</v>
      </c>
      <c r="D204" s="127">
        <v>591.6</v>
      </c>
      <c r="E204" s="123">
        <v>452.4</v>
      </c>
      <c r="F204" s="127">
        <v>481.98</v>
      </c>
      <c r="G204" s="128">
        <v>556.79999999999995</v>
      </c>
      <c r="H204" s="123">
        <v>2708.31</v>
      </c>
      <c r="I204" s="127">
        <v>3300.78</v>
      </c>
      <c r="J204" s="128">
        <v>3796.68</v>
      </c>
      <c r="K204" s="127">
        <v>1333.71</v>
      </c>
      <c r="L204" s="127">
        <v>1371.99</v>
      </c>
      <c r="M204" s="128">
        <v>1603.41</v>
      </c>
      <c r="N204" s="127">
        <v>2228.94</v>
      </c>
      <c r="O204" s="127">
        <v>2921.46</v>
      </c>
      <c r="P204" s="128">
        <v>3870.63</v>
      </c>
      <c r="Q204" s="83">
        <v>155.72999999999999</v>
      </c>
      <c r="R204" s="1">
        <v>181.83</v>
      </c>
      <c r="S204" s="89">
        <v>214.02</v>
      </c>
      <c r="U204" s="123">
        <v>158.34</v>
      </c>
      <c r="V204" s="127">
        <v>267.95999999999998</v>
      </c>
      <c r="W204" s="128">
        <v>450.66</v>
      </c>
      <c r="X204" s="127">
        <v>158.34</v>
      </c>
      <c r="Y204" s="127">
        <v>267.95999999999998</v>
      </c>
      <c r="Z204" s="128">
        <v>450.66</v>
      </c>
    </row>
    <row r="205" spans="1:26" x14ac:dyDescent="0.3">
      <c r="A205" s="41">
        <v>2047</v>
      </c>
      <c r="B205" s="123">
        <v>465.45</v>
      </c>
      <c r="C205" s="127">
        <v>492.42</v>
      </c>
      <c r="D205" s="127">
        <v>583.77</v>
      </c>
      <c r="E205" s="123">
        <v>447.18</v>
      </c>
      <c r="F205" s="127">
        <v>471.54</v>
      </c>
      <c r="G205" s="128">
        <v>548.97</v>
      </c>
      <c r="H205" s="123">
        <v>2658.72</v>
      </c>
      <c r="I205" s="127">
        <v>3234.66</v>
      </c>
      <c r="J205" s="128">
        <v>3732.3</v>
      </c>
      <c r="K205" s="127">
        <v>1331.1</v>
      </c>
      <c r="L205" s="127">
        <v>1363.29</v>
      </c>
      <c r="M205" s="128">
        <v>1599.93</v>
      </c>
      <c r="N205" s="127">
        <v>2218.5</v>
      </c>
      <c r="O205" s="127">
        <v>2877.96</v>
      </c>
      <c r="P205" s="128">
        <v>3868.89</v>
      </c>
      <c r="Q205" s="83">
        <v>153.12</v>
      </c>
      <c r="R205" s="1">
        <v>179.22</v>
      </c>
      <c r="S205" s="89">
        <v>212.28</v>
      </c>
      <c r="U205" s="123">
        <v>150.51</v>
      </c>
      <c r="V205" s="127">
        <v>259.26</v>
      </c>
      <c r="W205" s="128">
        <v>425.43</v>
      </c>
      <c r="X205" s="127">
        <v>150.51</v>
      </c>
      <c r="Y205" s="127">
        <v>259.26</v>
      </c>
      <c r="Z205" s="128">
        <v>425.43</v>
      </c>
    </row>
    <row r="206" spans="1:26" x14ac:dyDescent="0.3">
      <c r="A206" s="41">
        <v>2048</v>
      </c>
      <c r="B206" s="123">
        <v>460.23</v>
      </c>
      <c r="C206" s="127">
        <v>481.11</v>
      </c>
      <c r="D206" s="127">
        <v>574.20000000000005</v>
      </c>
      <c r="E206" s="123">
        <v>442.83</v>
      </c>
      <c r="F206" s="127">
        <v>460.23</v>
      </c>
      <c r="G206" s="128">
        <v>541.14</v>
      </c>
      <c r="H206" s="123">
        <v>2613.48</v>
      </c>
      <c r="I206" s="127">
        <v>3155.49</v>
      </c>
      <c r="J206" s="128">
        <v>3670.53</v>
      </c>
      <c r="K206" s="127">
        <v>1328.49</v>
      </c>
      <c r="L206" s="127">
        <v>1356.33</v>
      </c>
      <c r="M206" s="128">
        <v>1597.32</v>
      </c>
      <c r="N206" s="127">
        <v>2205.4499999999998</v>
      </c>
      <c r="O206" s="127">
        <v>2832.72</v>
      </c>
      <c r="P206" s="128">
        <v>3863.67</v>
      </c>
      <c r="Q206" s="83">
        <v>151.38</v>
      </c>
      <c r="R206" s="1">
        <v>176.60999999999999</v>
      </c>
      <c r="S206" s="89">
        <v>209.67</v>
      </c>
      <c r="U206" s="123">
        <v>143.55000000000001</v>
      </c>
      <c r="V206" s="127">
        <v>251.43</v>
      </c>
      <c r="W206" s="128">
        <v>406.29</v>
      </c>
      <c r="X206" s="127">
        <v>143.55000000000001</v>
      </c>
      <c r="Y206" s="127">
        <v>251.43</v>
      </c>
      <c r="Z206" s="128">
        <v>406.29</v>
      </c>
    </row>
    <row r="207" spans="1:26" x14ac:dyDescent="0.3">
      <c r="A207" s="41">
        <v>2049</v>
      </c>
      <c r="B207" s="123">
        <v>455.01</v>
      </c>
      <c r="C207" s="127">
        <v>470.67</v>
      </c>
      <c r="D207" s="127">
        <v>565.5</v>
      </c>
      <c r="E207" s="123">
        <v>437.61</v>
      </c>
      <c r="F207" s="127">
        <v>450.66</v>
      </c>
      <c r="G207" s="128">
        <v>532.43999999999994</v>
      </c>
      <c r="H207" s="123">
        <v>2569.11</v>
      </c>
      <c r="I207" s="127">
        <v>3079.8</v>
      </c>
      <c r="J207" s="128">
        <v>3612.24</v>
      </c>
      <c r="K207" s="127">
        <v>1325.01</v>
      </c>
      <c r="L207" s="127">
        <v>1350.24</v>
      </c>
      <c r="M207" s="128">
        <v>1593.84</v>
      </c>
      <c r="N207" s="127">
        <v>2189.79</v>
      </c>
      <c r="O207" s="127">
        <v>2789.22</v>
      </c>
      <c r="P207" s="128">
        <v>3861.06</v>
      </c>
      <c r="Q207" s="83">
        <v>148.77000000000001</v>
      </c>
      <c r="R207" s="1">
        <v>174.87</v>
      </c>
      <c r="S207" s="89">
        <v>207.93</v>
      </c>
      <c r="U207" s="123">
        <v>138.33000000000001</v>
      </c>
      <c r="V207" s="127">
        <v>243.6</v>
      </c>
      <c r="W207" s="128">
        <v>391.5</v>
      </c>
      <c r="X207" s="127">
        <v>138.33000000000001</v>
      </c>
      <c r="Y207" s="127">
        <v>243.6</v>
      </c>
      <c r="Z207" s="128">
        <v>391.5</v>
      </c>
    </row>
    <row r="208" spans="1:26" ht="15" thickBot="1" x14ac:dyDescent="0.35">
      <c r="A208" s="42">
        <v>2050</v>
      </c>
      <c r="B208" s="124">
        <v>453.27</v>
      </c>
      <c r="C208" s="129">
        <v>461.1</v>
      </c>
      <c r="D208" s="129">
        <v>560.28</v>
      </c>
      <c r="E208" s="124">
        <v>435</v>
      </c>
      <c r="F208" s="129">
        <v>441.96</v>
      </c>
      <c r="G208" s="130">
        <v>527.22</v>
      </c>
      <c r="H208" s="124">
        <v>2532.5700000000002</v>
      </c>
      <c r="I208" s="129">
        <v>3025.86</v>
      </c>
      <c r="J208" s="130">
        <v>3569.61</v>
      </c>
      <c r="K208" s="129">
        <v>1323.27</v>
      </c>
      <c r="L208" s="129">
        <v>1345.02</v>
      </c>
      <c r="M208" s="130">
        <v>1590.36</v>
      </c>
      <c r="N208" s="129">
        <v>2180.2199999999998</v>
      </c>
      <c r="O208" s="129">
        <v>2756.16</v>
      </c>
      <c r="P208" s="130">
        <v>3854.97</v>
      </c>
      <c r="Q208" s="90">
        <v>145.29</v>
      </c>
      <c r="R208" s="91">
        <v>170.52</v>
      </c>
      <c r="S208" s="92">
        <v>205.32</v>
      </c>
      <c r="U208" s="124">
        <v>127.89</v>
      </c>
      <c r="V208" s="129">
        <v>230.55</v>
      </c>
      <c r="W208" s="130">
        <v>370.62</v>
      </c>
      <c r="X208" s="129">
        <v>127.89</v>
      </c>
      <c r="Y208" s="129">
        <v>230.55</v>
      </c>
      <c r="Z208" s="130">
        <v>370.62</v>
      </c>
    </row>
    <row r="210" spans="1:40" ht="16.2" x14ac:dyDescent="0.3">
      <c r="A210" s="93" t="s">
        <v>271</v>
      </c>
    </row>
    <row r="211" spans="1:40" ht="15" thickBot="1" x14ac:dyDescent="0.35"/>
    <row r="212" spans="1:40" ht="18.600000000000001" thickBot="1" x14ac:dyDescent="0.4">
      <c r="A212" s="289" t="s">
        <v>0</v>
      </c>
      <c r="B212" s="407" t="s">
        <v>396</v>
      </c>
      <c r="C212" s="408"/>
      <c r="D212" s="408"/>
      <c r="E212" s="408"/>
      <c r="F212" s="408"/>
      <c r="G212" s="408"/>
      <c r="H212" s="408"/>
      <c r="I212" s="408"/>
      <c r="J212" s="408"/>
      <c r="K212" s="408"/>
      <c r="L212" s="408"/>
      <c r="M212" s="408"/>
      <c r="N212" s="408"/>
      <c r="O212" s="408"/>
      <c r="P212" s="408"/>
      <c r="Q212" s="408"/>
      <c r="R212" s="408"/>
      <c r="S212" s="408"/>
      <c r="T212" s="408"/>
      <c r="U212" s="408"/>
      <c r="V212" s="409"/>
      <c r="X212" s="380" t="s">
        <v>397</v>
      </c>
      <c r="Y212" s="381"/>
      <c r="Z212" s="381"/>
      <c r="AA212" s="381"/>
      <c r="AB212" s="381"/>
      <c r="AC212" s="382"/>
      <c r="AE212" s="407" t="s">
        <v>398</v>
      </c>
      <c r="AF212" s="408"/>
      <c r="AG212" s="408"/>
      <c r="AH212" s="408"/>
      <c r="AI212" s="408"/>
      <c r="AJ212" s="408"/>
      <c r="AK212" s="408"/>
      <c r="AL212" s="408"/>
      <c r="AM212" s="408"/>
      <c r="AN212" s="409"/>
    </row>
    <row r="213" spans="1:40" ht="20.399999999999999" thickBot="1" x14ac:dyDescent="0.35">
      <c r="A213" s="344"/>
      <c r="B213" s="422" t="s">
        <v>58</v>
      </c>
      <c r="C213" s="423"/>
      <c r="D213" s="424"/>
      <c r="E213" s="425" t="s">
        <v>155</v>
      </c>
      <c r="F213" s="426"/>
      <c r="G213" s="427"/>
      <c r="H213" s="416" t="s">
        <v>280</v>
      </c>
      <c r="I213" s="417"/>
      <c r="J213" s="418"/>
      <c r="K213" s="428" t="s">
        <v>228</v>
      </c>
      <c r="L213" s="429"/>
      <c r="M213" s="430"/>
      <c r="N213" s="431" t="s">
        <v>278</v>
      </c>
      <c r="O213" s="432"/>
      <c r="P213" s="433"/>
      <c r="Q213" s="431" t="s">
        <v>279</v>
      </c>
      <c r="R213" s="432"/>
      <c r="S213" s="433"/>
      <c r="T213" s="443" t="s">
        <v>270</v>
      </c>
      <c r="U213" s="444"/>
      <c r="V213" s="445"/>
      <c r="X213" s="437" t="s">
        <v>272</v>
      </c>
      <c r="Y213" s="438"/>
      <c r="Z213" s="439"/>
      <c r="AA213" s="440" t="s">
        <v>273</v>
      </c>
      <c r="AB213" s="441"/>
      <c r="AC213" s="442"/>
      <c r="AE213" s="289" t="s">
        <v>0</v>
      </c>
      <c r="AF213" s="368" t="s">
        <v>58</v>
      </c>
      <c r="AG213" s="369"/>
      <c r="AH213" s="370"/>
      <c r="AI213" s="410" t="s">
        <v>228</v>
      </c>
      <c r="AJ213" s="411"/>
      <c r="AK213" s="412"/>
      <c r="AL213" s="316" t="s">
        <v>59</v>
      </c>
      <c r="AM213" s="317"/>
      <c r="AN213" s="318"/>
    </row>
    <row r="214" spans="1:40" ht="15" thickBot="1" x14ac:dyDescent="0.35">
      <c r="A214" s="290"/>
      <c r="B214" s="29" t="s">
        <v>275</v>
      </c>
      <c r="C214" s="30" t="s">
        <v>276</v>
      </c>
      <c r="D214" s="31" t="s">
        <v>274</v>
      </c>
      <c r="E214" s="29" t="s">
        <v>275</v>
      </c>
      <c r="F214" s="30" t="s">
        <v>276</v>
      </c>
      <c r="G214" s="31" t="s">
        <v>274</v>
      </c>
      <c r="H214" s="29" t="s">
        <v>275</v>
      </c>
      <c r="I214" s="30" t="s">
        <v>276</v>
      </c>
      <c r="J214" s="31" t="s">
        <v>274</v>
      </c>
      <c r="K214" s="29" t="s">
        <v>275</v>
      </c>
      <c r="L214" s="30" t="s">
        <v>276</v>
      </c>
      <c r="M214" s="31" t="s">
        <v>274</v>
      </c>
      <c r="N214" s="29" t="s">
        <v>275</v>
      </c>
      <c r="O214" s="30" t="s">
        <v>276</v>
      </c>
      <c r="P214" s="31" t="s">
        <v>274</v>
      </c>
      <c r="Q214" s="29" t="s">
        <v>275</v>
      </c>
      <c r="R214" s="30" t="s">
        <v>276</v>
      </c>
      <c r="S214" s="31" t="s">
        <v>274</v>
      </c>
      <c r="T214" s="29" t="s">
        <v>275</v>
      </c>
      <c r="U214" s="30" t="s">
        <v>276</v>
      </c>
      <c r="V214" s="31" t="s">
        <v>274</v>
      </c>
      <c r="X214" s="29" t="s">
        <v>275</v>
      </c>
      <c r="Y214" s="30" t="s">
        <v>276</v>
      </c>
      <c r="Z214" s="31" t="s">
        <v>274</v>
      </c>
      <c r="AA214" s="29" t="s">
        <v>275</v>
      </c>
      <c r="AB214" s="30" t="s">
        <v>276</v>
      </c>
      <c r="AC214" s="31" t="s">
        <v>274</v>
      </c>
      <c r="AE214" s="344"/>
      <c r="AF214" s="419" t="s">
        <v>263</v>
      </c>
      <c r="AG214" s="420"/>
      <c r="AH214" s="421"/>
      <c r="AI214" s="419" t="s">
        <v>263</v>
      </c>
      <c r="AJ214" s="420"/>
      <c r="AK214" s="421"/>
      <c r="AL214" s="419" t="s">
        <v>263</v>
      </c>
      <c r="AM214" s="420"/>
      <c r="AN214" s="421"/>
    </row>
    <row r="215" spans="1:40" ht="15" thickBot="1" x14ac:dyDescent="0.35">
      <c r="A215" s="41">
        <v>2022</v>
      </c>
      <c r="B215" s="123">
        <v>1163.28</v>
      </c>
      <c r="C215" s="127">
        <v>1163.28</v>
      </c>
      <c r="D215" s="127">
        <v>1163.28</v>
      </c>
      <c r="E215" s="123">
        <v>1075.96</v>
      </c>
      <c r="F215" s="127">
        <v>1075.96</v>
      </c>
      <c r="G215" s="128">
        <v>1075.96</v>
      </c>
      <c r="H215" s="123">
        <v>4828.5</v>
      </c>
      <c r="I215" s="127">
        <v>4828.5</v>
      </c>
      <c r="J215" s="128">
        <v>4828.5</v>
      </c>
      <c r="K215" s="127">
        <v>1955.08</v>
      </c>
      <c r="L215" s="127">
        <v>1955.08</v>
      </c>
      <c r="M215" s="128">
        <v>1955.08</v>
      </c>
      <c r="N215" s="127">
        <v>4204.68</v>
      </c>
      <c r="O215" s="127">
        <v>4204.68</v>
      </c>
      <c r="P215" s="128">
        <v>4204.68</v>
      </c>
      <c r="Q215" s="127">
        <v>5825.28</v>
      </c>
      <c r="R215" s="127">
        <v>5825.28</v>
      </c>
      <c r="S215" s="128">
        <v>5825.28</v>
      </c>
      <c r="T215" s="83">
        <v>404.04</v>
      </c>
      <c r="U215" s="1">
        <v>404.04</v>
      </c>
      <c r="V215" s="89">
        <v>404.04</v>
      </c>
      <c r="X215" s="123">
        <v>1359.3799999999999</v>
      </c>
      <c r="Y215" s="127">
        <v>1359.3799999999999</v>
      </c>
      <c r="Z215" s="128">
        <v>1359.3799999999999</v>
      </c>
      <c r="AA215" s="127">
        <v>2224.44</v>
      </c>
      <c r="AB215" s="127">
        <v>2224.44</v>
      </c>
      <c r="AC215" s="128">
        <v>2224.44</v>
      </c>
      <c r="AE215" s="290"/>
      <c r="AF215" s="78" t="s">
        <v>18</v>
      </c>
      <c r="AG215" s="79" t="s">
        <v>19</v>
      </c>
      <c r="AH215" s="80" t="s">
        <v>22</v>
      </c>
      <c r="AI215" s="78" t="s">
        <v>18</v>
      </c>
      <c r="AJ215" s="79" t="s">
        <v>19</v>
      </c>
      <c r="AK215" s="80" t="s">
        <v>22</v>
      </c>
      <c r="AL215" s="78" t="s">
        <v>18</v>
      </c>
      <c r="AM215" s="79" t="s">
        <v>19</v>
      </c>
      <c r="AN215" s="80" t="s">
        <v>22</v>
      </c>
    </row>
    <row r="216" spans="1:40" x14ac:dyDescent="0.3">
      <c r="A216" s="41">
        <v>2023</v>
      </c>
      <c r="B216" s="123">
        <v>1121.8399999999999</v>
      </c>
      <c r="C216" s="127">
        <v>1121.8399999999999</v>
      </c>
      <c r="D216" s="127">
        <v>1121.8399999999999</v>
      </c>
      <c r="E216" s="123">
        <v>1036</v>
      </c>
      <c r="F216" s="127">
        <v>1036</v>
      </c>
      <c r="G216" s="128">
        <v>1036</v>
      </c>
      <c r="H216" s="123">
        <v>4712.32</v>
      </c>
      <c r="I216" s="127">
        <v>4712.32</v>
      </c>
      <c r="J216" s="128">
        <v>4793.72</v>
      </c>
      <c r="K216" s="127">
        <v>1956.56</v>
      </c>
      <c r="L216" s="127">
        <v>1956.56</v>
      </c>
      <c r="M216" s="128">
        <v>1956.56</v>
      </c>
      <c r="N216" s="127">
        <v>3617.12</v>
      </c>
      <c r="O216" s="127">
        <v>4055.2</v>
      </c>
      <c r="P216" s="128">
        <v>4055.2</v>
      </c>
      <c r="Q216" s="127">
        <v>5010.54</v>
      </c>
      <c r="R216" s="127">
        <v>5617.34</v>
      </c>
      <c r="S216" s="128">
        <v>5617.34</v>
      </c>
      <c r="T216" s="83">
        <v>406.26</v>
      </c>
      <c r="U216" s="1">
        <v>406.26</v>
      </c>
      <c r="V216" s="89">
        <v>406.26</v>
      </c>
      <c r="X216" s="123">
        <v>1186.22</v>
      </c>
      <c r="Y216" s="127">
        <v>1186.22</v>
      </c>
      <c r="Z216" s="128">
        <v>1186.22</v>
      </c>
      <c r="AA216" s="127">
        <v>1941.02</v>
      </c>
      <c r="AB216" s="127">
        <v>1941.02</v>
      </c>
      <c r="AC216" s="128">
        <v>1941.02</v>
      </c>
      <c r="AE216" s="52">
        <v>2022</v>
      </c>
      <c r="AF216" s="122">
        <v>35.492138186889264</v>
      </c>
      <c r="AG216" s="125">
        <v>47.634185461351386</v>
      </c>
      <c r="AH216" s="126">
        <v>59.776232735813501</v>
      </c>
      <c r="AI216" s="122">
        <v>42.910817271199335</v>
      </c>
      <c r="AJ216" s="125">
        <v>56.967809135902584</v>
      </c>
      <c r="AK216" s="126">
        <v>71.024801000605819</v>
      </c>
      <c r="AL216" s="122">
        <v>110.25210528923118</v>
      </c>
      <c r="AM216" s="125">
        <v>126.78992108261586</v>
      </c>
      <c r="AN216" s="126">
        <v>143.32773687600053</v>
      </c>
    </row>
    <row r="217" spans="1:40" x14ac:dyDescent="0.3">
      <c r="A217" s="41">
        <v>2024</v>
      </c>
      <c r="B217" s="123">
        <v>1053.76</v>
      </c>
      <c r="C217" s="127">
        <v>1053.76</v>
      </c>
      <c r="D217" s="127">
        <v>1041.18</v>
      </c>
      <c r="E217" s="123">
        <v>971.62</v>
      </c>
      <c r="F217" s="127">
        <v>970.88</v>
      </c>
      <c r="G217" s="128">
        <v>967.18</v>
      </c>
      <c r="H217" s="123">
        <v>4555.4399999999996</v>
      </c>
      <c r="I217" s="127">
        <v>4555.4399999999996</v>
      </c>
      <c r="J217" s="128">
        <v>4690.8599999999997</v>
      </c>
      <c r="K217" s="127">
        <v>1865.54</v>
      </c>
      <c r="L217" s="127">
        <v>1864.06</v>
      </c>
      <c r="M217" s="128">
        <v>1864.06</v>
      </c>
      <c r="N217" s="127">
        <v>3328.52</v>
      </c>
      <c r="O217" s="127">
        <v>3913.12</v>
      </c>
      <c r="P217" s="128">
        <v>3913.12</v>
      </c>
      <c r="Q217" s="127">
        <v>4519.18</v>
      </c>
      <c r="R217" s="127">
        <v>5293.96</v>
      </c>
      <c r="S217" s="128">
        <v>5293.96</v>
      </c>
      <c r="T217" s="83">
        <v>352.98</v>
      </c>
      <c r="U217" s="1">
        <v>368.52</v>
      </c>
      <c r="V217" s="89">
        <v>382.58</v>
      </c>
      <c r="X217" s="123">
        <v>1063.3799999999999</v>
      </c>
      <c r="Y217" s="127">
        <v>1063.3799999999999</v>
      </c>
      <c r="Z217" s="128">
        <v>1063.3799999999999</v>
      </c>
      <c r="AA217" s="127">
        <v>1739.74</v>
      </c>
      <c r="AB217" s="127">
        <v>1739.74</v>
      </c>
      <c r="AC217" s="128">
        <v>1739.74</v>
      </c>
      <c r="AE217" s="24">
        <v>2030</v>
      </c>
      <c r="AF217" s="123">
        <v>25.603641678679391</v>
      </c>
      <c r="AG217" s="127">
        <v>34.14920928137731</v>
      </c>
      <c r="AH217" s="128">
        <v>42.694776884075225</v>
      </c>
      <c r="AI217" s="123">
        <v>32.287742074890701</v>
      </c>
      <c r="AJ217" s="127">
        <v>43.779696001873312</v>
      </c>
      <c r="AK217" s="128">
        <v>55.271649928855922</v>
      </c>
      <c r="AL217" s="123">
        <v>63.551222416078119</v>
      </c>
      <c r="AM217" s="127">
        <v>94.802270780075659</v>
      </c>
      <c r="AN217" s="128">
        <v>126.05331914407321</v>
      </c>
    </row>
    <row r="218" spans="1:40" x14ac:dyDescent="0.3">
      <c r="A218" s="41">
        <v>2025</v>
      </c>
      <c r="B218" s="123">
        <v>997.52</v>
      </c>
      <c r="C218" s="127">
        <v>997.52</v>
      </c>
      <c r="D218" s="127">
        <v>962.74</v>
      </c>
      <c r="E218" s="123">
        <v>918.34</v>
      </c>
      <c r="F218" s="127">
        <v>916.12</v>
      </c>
      <c r="G218" s="128">
        <v>905.02</v>
      </c>
      <c r="H218" s="123">
        <v>4366.74</v>
      </c>
      <c r="I218" s="127">
        <v>4366.74</v>
      </c>
      <c r="J218" s="128">
        <v>4589.4799999999996</v>
      </c>
      <c r="K218" s="127">
        <v>1778.22</v>
      </c>
      <c r="L218" s="127">
        <v>1774.52</v>
      </c>
      <c r="M218" s="128">
        <v>1774.52</v>
      </c>
      <c r="N218" s="127">
        <v>3056.94</v>
      </c>
      <c r="O218" s="127">
        <v>3776.22</v>
      </c>
      <c r="P218" s="128">
        <v>3776.22</v>
      </c>
      <c r="Q218" s="127">
        <v>4061.12</v>
      </c>
      <c r="R218" s="127">
        <v>4985.38</v>
      </c>
      <c r="S218" s="128">
        <v>4985.38</v>
      </c>
      <c r="T218" s="83">
        <v>308.58</v>
      </c>
      <c r="U218" s="1">
        <v>334.48</v>
      </c>
      <c r="V218" s="89">
        <v>361.12</v>
      </c>
      <c r="X218" s="123">
        <v>799.2</v>
      </c>
      <c r="Y218" s="127">
        <v>883.56</v>
      </c>
      <c r="Z218" s="128">
        <v>871.72</v>
      </c>
      <c r="AA218" s="127">
        <v>1522.18</v>
      </c>
      <c r="AB218" s="127">
        <v>1563.62</v>
      </c>
      <c r="AC218" s="128">
        <v>1573.24</v>
      </c>
      <c r="AE218" s="24">
        <v>2040</v>
      </c>
      <c r="AF218" s="123">
        <v>17.368389047599212</v>
      </c>
      <c r="AG218" s="127">
        <v>26.39907302249885</v>
      </c>
      <c r="AH218" s="128">
        <v>35.429756997398485</v>
      </c>
      <c r="AI218" s="123">
        <v>29.466608841834656</v>
      </c>
      <c r="AJ218" s="127">
        <v>42.005891741541667</v>
      </c>
      <c r="AK218" s="128">
        <v>54.545174641248678</v>
      </c>
      <c r="AL218" s="123">
        <v>57.915956288415444</v>
      </c>
      <c r="AM218" s="127">
        <v>90.568783738082232</v>
      </c>
      <c r="AN218" s="128">
        <v>123.22161118774903</v>
      </c>
    </row>
    <row r="219" spans="1:40" ht="15" thickBot="1" x14ac:dyDescent="0.35">
      <c r="A219" s="41">
        <v>2026</v>
      </c>
      <c r="B219" s="123">
        <v>952.38</v>
      </c>
      <c r="C219" s="127">
        <v>952.38</v>
      </c>
      <c r="D219" s="127">
        <v>885.78</v>
      </c>
      <c r="E219" s="123">
        <v>876.16</v>
      </c>
      <c r="F219" s="127">
        <v>872.46</v>
      </c>
      <c r="G219" s="128">
        <v>851</v>
      </c>
      <c r="H219" s="123">
        <v>4193.58</v>
      </c>
      <c r="I219" s="127">
        <v>4193.58</v>
      </c>
      <c r="J219" s="128">
        <v>4477</v>
      </c>
      <c r="K219" s="127">
        <v>1694.6</v>
      </c>
      <c r="L219" s="127">
        <v>1690.16</v>
      </c>
      <c r="M219" s="128">
        <v>1690.16</v>
      </c>
      <c r="N219" s="127">
        <v>2806.82</v>
      </c>
      <c r="O219" s="127">
        <v>3643.7599999999998</v>
      </c>
      <c r="P219" s="128">
        <v>3643.7599999999998</v>
      </c>
      <c r="Q219" s="127">
        <v>3650.42</v>
      </c>
      <c r="R219" s="127">
        <v>4694.5599999999995</v>
      </c>
      <c r="S219" s="128">
        <v>4694.5599999999995</v>
      </c>
      <c r="T219" s="83">
        <v>271.58</v>
      </c>
      <c r="U219" s="1">
        <v>304.88</v>
      </c>
      <c r="V219" s="89">
        <v>342.62</v>
      </c>
      <c r="X219" s="123">
        <v>609.02</v>
      </c>
      <c r="Y219" s="127">
        <v>744.43999999999994</v>
      </c>
      <c r="Z219" s="128">
        <v>725.2</v>
      </c>
      <c r="AA219" s="127">
        <v>1331.26</v>
      </c>
      <c r="AB219" s="127">
        <v>1405.26</v>
      </c>
      <c r="AC219" s="128">
        <v>1423.02</v>
      </c>
      <c r="AE219" s="25">
        <v>2050</v>
      </c>
      <c r="AF219" s="124">
        <v>14.597468540654662</v>
      </c>
      <c r="AG219" s="129">
        <v>22.312536845257384</v>
      </c>
      <c r="AH219" s="130">
        <v>30.027605149860104</v>
      </c>
      <c r="AI219" s="124">
        <v>28.339847379093527</v>
      </c>
      <c r="AJ219" s="129">
        <v>41.05394014893605</v>
      </c>
      <c r="AK219" s="130">
        <v>53.768032918778573</v>
      </c>
      <c r="AL219" s="124">
        <v>53.478291569106538</v>
      </c>
      <c r="AM219" s="129">
        <v>86.890645463067926</v>
      </c>
      <c r="AN219" s="130">
        <v>120.30299935702932</v>
      </c>
    </row>
    <row r="220" spans="1:40" x14ac:dyDescent="0.3">
      <c r="A220" s="41">
        <v>2027</v>
      </c>
      <c r="B220" s="123">
        <v>907.98</v>
      </c>
      <c r="C220" s="127">
        <v>907.98</v>
      </c>
      <c r="D220" s="127">
        <v>844.34</v>
      </c>
      <c r="E220" s="123">
        <v>835.46</v>
      </c>
      <c r="F220" s="127">
        <v>830.28</v>
      </c>
      <c r="G220" s="128">
        <v>808.08</v>
      </c>
      <c r="H220" s="123">
        <v>4060.38</v>
      </c>
      <c r="I220" s="127">
        <v>4060.38</v>
      </c>
      <c r="J220" s="128">
        <v>4374.1400000000003</v>
      </c>
      <c r="K220" s="127">
        <v>1613.94</v>
      </c>
      <c r="L220" s="127">
        <v>1608.02</v>
      </c>
      <c r="M220" s="128">
        <v>1592.48</v>
      </c>
      <c r="N220" s="127">
        <v>2575.94</v>
      </c>
      <c r="O220" s="127">
        <v>3519.44</v>
      </c>
      <c r="P220" s="128">
        <v>3577.16</v>
      </c>
      <c r="Q220" s="127">
        <v>3278.2</v>
      </c>
      <c r="R220" s="127">
        <v>4424.46</v>
      </c>
      <c r="S220" s="128">
        <v>4445.92</v>
      </c>
      <c r="T220" s="83">
        <v>239.76</v>
      </c>
      <c r="U220" s="1">
        <v>278.24</v>
      </c>
      <c r="V220" s="89">
        <v>332.26</v>
      </c>
      <c r="X220" s="123">
        <v>485.44</v>
      </c>
      <c r="Y220" s="127">
        <v>656.38</v>
      </c>
      <c r="Z220" s="128">
        <v>654.9</v>
      </c>
      <c r="AA220" s="127">
        <v>1164.76</v>
      </c>
      <c r="AB220" s="127">
        <v>1263.18</v>
      </c>
      <c r="AC220" s="128">
        <v>1286.8599999999999</v>
      </c>
    </row>
    <row r="221" spans="1:40" x14ac:dyDescent="0.3">
      <c r="A221" s="41">
        <v>2028</v>
      </c>
      <c r="B221" s="123">
        <v>865.06</v>
      </c>
      <c r="C221" s="127">
        <v>865.06</v>
      </c>
      <c r="D221" s="127">
        <v>816.22</v>
      </c>
      <c r="E221" s="123">
        <v>796.98</v>
      </c>
      <c r="F221" s="127">
        <v>790.31999999999994</v>
      </c>
      <c r="G221" s="128">
        <v>771.08</v>
      </c>
      <c r="H221" s="123">
        <v>3932.36</v>
      </c>
      <c r="I221" s="127">
        <v>3966.4</v>
      </c>
      <c r="J221" s="128">
        <v>4283.8599999999997</v>
      </c>
      <c r="K221" s="127">
        <v>1536.98</v>
      </c>
      <c r="L221" s="127">
        <v>1529.58</v>
      </c>
      <c r="M221" s="128">
        <v>1521.44</v>
      </c>
      <c r="N221" s="127">
        <v>2363.56</v>
      </c>
      <c r="O221" s="127">
        <v>3404</v>
      </c>
      <c r="P221" s="128">
        <v>3551.2599999999998</v>
      </c>
      <c r="Q221" s="127">
        <v>2944.46</v>
      </c>
      <c r="R221" s="127">
        <v>4175.82</v>
      </c>
      <c r="S221" s="128">
        <v>4284.6000000000004</v>
      </c>
      <c r="T221" s="83">
        <v>215.34</v>
      </c>
      <c r="U221" s="1">
        <v>256.77999999999997</v>
      </c>
      <c r="V221" s="89">
        <v>325.60000000000002</v>
      </c>
      <c r="X221" s="123">
        <v>441.04</v>
      </c>
      <c r="Y221" s="127">
        <v>611.98</v>
      </c>
      <c r="Z221" s="128">
        <v>601.62</v>
      </c>
      <c r="AA221" s="127">
        <v>1018.98</v>
      </c>
      <c r="AB221" s="127">
        <v>1135.1600000000001</v>
      </c>
      <c r="AC221" s="128">
        <v>1164.02</v>
      </c>
    </row>
    <row r="222" spans="1:40" x14ac:dyDescent="0.3">
      <c r="A222" s="41">
        <v>2029</v>
      </c>
      <c r="B222" s="123">
        <v>824.36</v>
      </c>
      <c r="C222" s="127">
        <v>824.36</v>
      </c>
      <c r="D222" s="127">
        <v>807.34</v>
      </c>
      <c r="E222" s="123">
        <v>760.72</v>
      </c>
      <c r="F222" s="127">
        <v>752.58</v>
      </c>
      <c r="G222" s="128">
        <v>746.66</v>
      </c>
      <c r="H222" s="123">
        <v>3785.84</v>
      </c>
      <c r="I222" s="127">
        <v>3888.7</v>
      </c>
      <c r="J222" s="128">
        <v>4195.0600000000004</v>
      </c>
      <c r="K222" s="127">
        <v>1463.72</v>
      </c>
      <c r="L222" s="127">
        <v>1455.58</v>
      </c>
      <c r="M222" s="128">
        <v>1477.04</v>
      </c>
      <c r="N222" s="127">
        <v>2168.94</v>
      </c>
      <c r="O222" s="127">
        <v>3298.18</v>
      </c>
      <c r="P222" s="128">
        <v>3565.32</v>
      </c>
      <c r="Q222" s="127">
        <v>2644.7599999999998</v>
      </c>
      <c r="R222" s="127">
        <v>3948.64</v>
      </c>
      <c r="S222" s="128">
        <v>4206.8999999999996</v>
      </c>
      <c r="T222" s="83">
        <v>193.14</v>
      </c>
      <c r="U222" s="1">
        <v>235.32</v>
      </c>
      <c r="V222" s="89">
        <v>315.24</v>
      </c>
      <c r="X222" s="123">
        <v>401.82</v>
      </c>
      <c r="Y222" s="127">
        <v>579.41999999999996</v>
      </c>
      <c r="Z222" s="128">
        <v>567.58000000000004</v>
      </c>
      <c r="AA222" s="127">
        <v>891.7</v>
      </c>
      <c r="AB222" s="127">
        <v>1020.46</v>
      </c>
      <c r="AC222" s="128">
        <v>1053.02</v>
      </c>
    </row>
    <row r="223" spans="1:40" x14ac:dyDescent="0.3">
      <c r="A223" s="41">
        <v>2030</v>
      </c>
      <c r="B223" s="123">
        <v>792.54</v>
      </c>
      <c r="C223" s="127">
        <v>792.54</v>
      </c>
      <c r="D223" s="127">
        <v>782.92</v>
      </c>
      <c r="E223" s="123">
        <v>731.12</v>
      </c>
      <c r="F223" s="127">
        <v>722.24</v>
      </c>
      <c r="G223" s="128">
        <v>722.98</v>
      </c>
      <c r="H223" s="123">
        <v>3638.58</v>
      </c>
      <c r="I223" s="127">
        <v>3791.7599999999998</v>
      </c>
      <c r="J223" s="128">
        <v>4115.88</v>
      </c>
      <c r="K223" s="127">
        <v>1415.62</v>
      </c>
      <c r="L223" s="127">
        <v>1406</v>
      </c>
      <c r="M223" s="128">
        <v>1471.86</v>
      </c>
      <c r="N223" s="127">
        <v>2038.7</v>
      </c>
      <c r="O223" s="127">
        <v>3220.48</v>
      </c>
      <c r="P223" s="128">
        <v>3554.22</v>
      </c>
      <c r="Q223" s="127">
        <v>2451.62</v>
      </c>
      <c r="R223" s="127">
        <v>3794.72</v>
      </c>
      <c r="S223" s="128">
        <v>4186.18</v>
      </c>
      <c r="T223" s="83">
        <v>173.9</v>
      </c>
      <c r="U223" s="1">
        <v>216.82</v>
      </c>
      <c r="V223" s="89">
        <v>304.14</v>
      </c>
      <c r="X223" s="123">
        <v>368.52</v>
      </c>
      <c r="Y223" s="127">
        <v>532.79999999999995</v>
      </c>
      <c r="Z223" s="128">
        <v>517.26</v>
      </c>
      <c r="AA223" s="127">
        <v>779.96</v>
      </c>
      <c r="AB223" s="127">
        <v>916.86</v>
      </c>
      <c r="AC223" s="128">
        <v>952.38</v>
      </c>
    </row>
    <row r="224" spans="1:40" x14ac:dyDescent="0.3">
      <c r="A224" s="41">
        <v>2031</v>
      </c>
      <c r="B224" s="123">
        <v>765.16</v>
      </c>
      <c r="C224" s="127">
        <v>765.16</v>
      </c>
      <c r="D224" s="127">
        <v>768.12</v>
      </c>
      <c r="E224" s="123">
        <v>705.96</v>
      </c>
      <c r="F224" s="127">
        <v>697.08</v>
      </c>
      <c r="G224" s="128">
        <v>707.43999999999994</v>
      </c>
      <c r="H224" s="123">
        <v>3512.04</v>
      </c>
      <c r="I224" s="127">
        <v>3676.32</v>
      </c>
      <c r="J224" s="128">
        <v>4044.1</v>
      </c>
      <c r="K224" s="127">
        <v>1391.2</v>
      </c>
      <c r="L224" s="127">
        <v>1379.36</v>
      </c>
      <c r="M224" s="128">
        <v>1467.42</v>
      </c>
      <c r="N224" s="127">
        <v>1969.8799999999999</v>
      </c>
      <c r="O224" s="127">
        <v>3170.16</v>
      </c>
      <c r="P224" s="128">
        <v>3543.86</v>
      </c>
      <c r="Q224" s="127">
        <v>2356.9</v>
      </c>
      <c r="R224" s="127">
        <v>3712.58</v>
      </c>
      <c r="S224" s="128">
        <v>4175.82</v>
      </c>
      <c r="T224" s="83">
        <v>148.74</v>
      </c>
      <c r="U224" s="1">
        <v>200.54</v>
      </c>
      <c r="V224" s="89">
        <v>293.77999999999997</v>
      </c>
      <c r="X224" s="123">
        <v>344.1</v>
      </c>
      <c r="Y224" s="127">
        <v>506.9</v>
      </c>
      <c r="Z224" s="128">
        <v>494.32</v>
      </c>
      <c r="AA224" s="127">
        <v>682.28</v>
      </c>
      <c r="AB224" s="127">
        <v>824.36</v>
      </c>
      <c r="AC224" s="128">
        <v>861.36</v>
      </c>
    </row>
    <row r="225" spans="1:29" x14ac:dyDescent="0.3">
      <c r="A225" s="41">
        <v>2032</v>
      </c>
      <c r="B225" s="123">
        <v>750.36</v>
      </c>
      <c r="C225" s="127">
        <v>750.36</v>
      </c>
      <c r="D225" s="127">
        <v>756.28</v>
      </c>
      <c r="E225" s="123">
        <v>690.42</v>
      </c>
      <c r="F225" s="127">
        <v>682.28</v>
      </c>
      <c r="G225" s="128">
        <v>694.86</v>
      </c>
      <c r="H225" s="123">
        <v>3418.8</v>
      </c>
      <c r="I225" s="127">
        <v>3552</v>
      </c>
      <c r="J225" s="128">
        <v>3978.24</v>
      </c>
      <c r="K225" s="127">
        <v>1390.46</v>
      </c>
      <c r="L225" s="127">
        <v>1375.66</v>
      </c>
      <c r="M225" s="128">
        <v>1463.72</v>
      </c>
      <c r="N225" s="127">
        <v>1958.04</v>
      </c>
      <c r="O225" s="127">
        <v>3139.82</v>
      </c>
      <c r="P225" s="128">
        <v>3532.7599999999998</v>
      </c>
      <c r="Q225" s="127">
        <v>2350.2399999999998</v>
      </c>
      <c r="R225" s="127">
        <v>3689.64</v>
      </c>
      <c r="S225" s="128">
        <v>4174.34</v>
      </c>
      <c r="T225" s="83">
        <v>146.52000000000001</v>
      </c>
      <c r="U225" s="1">
        <v>196.1</v>
      </c>
      <c r="V225" s="89">
        <v>282.68</v>
      </c>
      <c r="X225" s="123">
        <v>324.86</v>
      </c>
      <c r="Y225" s="127">
        <v>485.44</v>
      </c>
      <c r="Z225" s="128">
        <v>469.15999999999997</v>
      </c>
      <c r="AA225" s="127">
        <v>597.17999999999995</v>
      </c>
      <c r="AB225" s="127">
        <v>740.74</v>
      </c>
      <c r="AC225" s="128">
        <v>778.48</v>
      </c>
    </row>
    <row r="226" spans="1:29" x14ac:dyDescent="0.3">
      <c r="A226" s="41">
        <v>2033</v>
      </c>
      <c r="B226" s="123">
        <v>731.86</v>
      </c>
      <c r="C226" s="127">
        <v>731.86</v>
      </c>
      <c r="D226" s="127">
        <v>747.4</v>
      </c>
      <c r="E226" s="123">
        <v>671.92</v>
      </c>
      <c r="F226" s="127">
        <v>665.26</v>
      </c>
      <c r="G226" s="128">
        <v>685.24</v>
      </c>
      <c r="H226" s="123">
        <v>3330.74</v>
      </c>
      <c r="I226" s="127">
        <v>3443.22</v>
      </c>
      <c r="J226" s="128">
        <v>3917.56</v>
      </c>
      <c r="K226" s="127">
        <v>1380.84</v>
      </c>
      <c r="L226" s="127">
        <v>1370.48</v>
      </c>
      <c r="M226" s="128">
        <v>1460.76</v>
      </c>
      <c r="N226" s="127">
        <v>1950.6399999999999</v>
      </c>
      <c r="O226" s="127">
        <v>3103.56</v>
      </c>
      <c r="P226" s="128">
        <v>3521.66</v>
      </c>
      <c r="Q226" s="127">
        <v>2347.2799999999997</v>
      </c>
      <c r="R226" s="127">
        <v>3663</v>
      </c>
      <c r="S226" s="128">
        <v>4166.9399999999996</v>
      </c>
      <c r="T226" s="83">
        <v>145.04</v>
      </c>
      <c r="U226" s="1">
        <v>193.14</v>
      </c>
      <c r="V226" s="89">
        <v>272.32</v>
      </c>
      <c r="X226" s="123">
        <v>307.10000000000002</v>
      </c>
      <c r="Y226" s="127">
        <v>466.94</v>
      </c>
      <c r="Z226" s="128">
        <v>449.18</v>
      </c>
      <c r="AA226" s="127">
        <v>522.43999999999994</v>
      </c>
      <c r="AB226" s="127">
        <v>666</v>
      </c>
      <c r="AC226" s="128">
        <v>704.48</v>
      </c>
    </row>
    <row r="227" spans="1:29" x14ac:dyDescent="0.3">
      <c r="A227" s="41">
        <v>2034</v>
      </c>
      <c r="B227" s="123">
        <v>716.31999999999994</v>
      </c>
      <c r="C227" s="127">
        <v>716.31999999999994</v>
      </c>
      <c r="D227" s="127">
        <v>739.26</v>
      </c>
      <c r="E227" s="123">
        <v>656.38</v>
      </c>
      <c r="F227" s="127">
        <v>650.46</v>
      </c>
      <c r="G227" s="128">
        <v>675.62</v>
      </c>
      <c r="H227" s="123">
        <v>3256.74</v>
      </c>
      <c r="I227" s="127">
        <v>3351.46</v>
      </c>
      <c r="J227" s="128">
        <v>3861.32</v>
      </c>
      <c r="K227" s="127">
        <v>1361.6</v>
      </c>
      <c r="L227" s="127">
        <v>1366.04</v>
      </c>
      <c r="M227" s="128">
        <v>1459.28</v>
      </c>
      <c r="N227" s="127">
        <v>1943.98</v>
      </c>
      <c r="O227" s="127">
        <v>3071</v>
      </c>
      <c r="P227" s="128">
        <v>3511.3</v>
      </c>
      <c r="Q227" s="127">
        <v>2281.42</v>
      </c>
      <c r="R227" s="127">
        <v>3603.06</v>
      </c>
      <c r="S227" s="128">
        <v>4144</v>
      </c>
      <c r="T227" s="83">
        <v>142.82</v>
      </c>
      <c r="U227" s="1">
        <v>189.44</v>
      </c>
      <c r="V227" s="89">
        <v>261.21999999999997</v>
      </c>
      <c r="X227" s="123">
        <v>291.56</v>
      </c>
      <c r="Y227" s="127">
        <v>449.92</v>
      </c>
      <c r="Z227" s="128">
        <v>432.9</v>
      </c>
      <c r="AA227" s="127">
        <v>457.32</v>
      </c>
      <c r="AB227" s="127">
        <v>598.66</v>
      </c>
      <c r="AC227" s="128">
        <v>637.14</v>
      </c>
    </row>
    <row r="228" spans="1:29" x14ac:dyDescent="0.3">
      <c r="A228" s="41">
        <v>2035</v>
      </c>
      <c r="B228" s="123">
        <v>683.02</v>
      </c>
      <c r="C228" s="127">
        <v>683.02</v>
      </c>
      <c r="D228" s="127">
        <v>728.16</v>
      </c>
      <c r="E228" s="123">
        <v>626.04</v>
      </c>
      <c r="F228" s="127">
        <v>618.64</v>
      </c>
      <c r="G228" s="128">
        <v>663.78</v>
      </c>
      <c r="H228" s="123">
        <v>3180.52</v>
      </c>
      <c r="I228" s="127">
        <v>3277.46</v>
      </c>
      <c r="J228" s="128">
        <v>3808.7799999999997</v>
      </c>
      <c r="K228" s="127">
        <v>1337.18</v>
      </c>
      <c r="L228" s="127">
        <v>1362.34</v>
      </c>
      <c r="M228" s="128">
        <v>1457.06</v>
      </c>
      <c r="N228" s="127">
        <v>1938.06</v>
      </c>
      <c r="O228" s="127">
        <v>3045.1</v>
      </c>
      <c r="P228" s="128">
        <v>3500.2</v>
      </c>
      <c r="Q228" s="127">
        <v>2214.8200000000002</v>
      </c>
      <c r="R228" s="127">
        <v>3548.3</v>
      </c>
      <c r="S228" s="128">
        <v>4119.58</v>
      </c>
      <c r="T228" s="83">
        <v>141.34</v>
      </c>
      <c r="U228" s="1">
        <v>185.74</v>
      </c>
      <c r="V228" s="89">
        <v>250.85999999999999</v>
      </c>
      <c r="X228" s="123">
        <v>273.06</v>
      </c>
      <c r="Y228" s="127">
        <v>435.12</v>
      </c>
      <c r="Z228" s="128">
        <v>418.1</v>
      </c>
      <c r="AA228" s="127">
        <v>399.6</v>
      </c>
      <c r="AB228" s="127">
        <v>537.98</v>
      </c>
      <c r="AC228" s="128">
        <v>575.72</v>
      </c>
    </row>
    <row r="229" spans="1:29" x14ac:dyDescent="0.3">
      <c r="A229" s="41">
        <v>2036</v>
      </c>
      <c r="B229" s="123">
        <v>640.1</v>
      </c>
      <c r="C229" s="127">
        <v>640.1</v>
      </c>
      <c r="D229" s="127">
        <v>718.54</v>
      </c>
      <c r="E229" s="123">
        <v>588.29999999999995</v>
      </c>
      <c r="F229" s="127">
        <v>579.41999999999996</v>
      </c>
      <c r="G229" s="128">
        <v>654.16</v>
      </c>
      <c r="H229" s="123">
        <v>3116.14</v>
      </c>
      <c r="I229" s="127">
        <v>3221.22</v>
      </c>
      <c r="J229" s="128">
        <v>3759.2</v>
      </c>
      <c r="K229" s="127">
        <v>1316.46</v>
      </c>
      <c r="L229" s="127">
        <v>1359.3799999999999</v>
      </c>
      <c r="M229" s="128">
        <v>1455.58</v>
      </c>
      <c r="N229" s="127">
        <v>1932.1399999999999</v>
      </c>
      <c r="O229" s="127">
        <v>3033.2599999999998</v>
      </c>
      <c r="P229" s="128">
        <v>3489.84</v>
      </c>
      <c r="Q229" s="127">
        <v>2148.96</v>
      </c>
      <c r="R229" s="127">
        <v>3505.38</v>
      </c>
      <c r="S229" s="128">
        <v>4102.5600000000004</v>
      </c>
      <c r="T229" s="83">
        <v>139.12</v>
      </c>
      <c r="U229" s="1">
        <v>182.04</v>
      </c>
      <c r="V229" s="89">
        <v>239.76</v>
      </c>
      <c r="X229" s="123">
        <v>256.77999999999997</v>
      </c>
      <c r="Y229" s="127">
        <v>407</v>
      </c>
      <c r="Z229" s="128">
        <v>397.38</v>
      </c>
      <c r="AA229" s="127">
        <v>350.02</v>
      </c>
      <c r="AB229" s="127">
        <v>483.21999999999997</v>
      </c>
      <c r="AC229" s="128">
        <v>520.96</v>
      </c>
    </row>
    <row r="230" spans="1:29" x14ac:dyDescent="0.3">
      <c r="A230" s="41">
        <v>2037</v>
      </c>
      <c r="B230" s="123">
        <v>588.29999999999995</v>
      </c>
      <c r="C230" s="127">
        <v>588.29999999999995</v>
      </c>
      <c r="D230" s="127">
        <v>700.78</v>
      </c>
      <c r="E230" s="123">
        <v>543.16</v>
      </c>
      <c r="F230" s="127">
        <v>531.32000000000005</v>
      </c>
      <c r="G230" s="128">
        <v>637.14</v>
      </c>
      <c r="H230" s="123">
        <v>3051.02</v>
      </c>
      <c r="I230" s="127">
        <v>3169.42</v>
      </c>
      <c r="J230" s="128">
        <v>3711.84</v>
      </c>
      <c r="K230" s="127">
        <v>1301.6600000000001</v>
      </c>
      <c r="L230" s="127">
        <v>1356.42</v>
      </c>
      <c r="M230" s="128">
        <v>1453.36</v>
      </c>
      <c r="N230" s="127">
        <v>1926.96</v>
      </c>
      <c r="O230" s="127">
        <v>3012.54</v>
      </c>
      <c r="P230" s="128">
        <v>3479.48</v>
      </c>
      <c r="Q230" s="127">
        <v>2148.2199999999998</v>
      </c>
      <c r="R230" s="127">
        <v>3490.58</v>
      </c>
      <c r="S230" s="128">
        <v>4101.82</v>
      </c>
      <c r="T230" s="83">
        <v>137.63999999999999</v>
      </c>
      <c r="U230" s="1">
        <v>179.07999999999998</v>
      </c>
      <c r="V230" s="89">
        <v>229.4</v>
      </c>
      <c r="X230" s="123">
        <v>242.72</v>
      </c>
      <c r="Y230" s="127">
        <v>378.14</v>
      </c>
      <c r="Z230" s="128">
        <v>386.28</v>
      </c>
      <c r="AA230" s="127">
        <v>306.36</v>
      </c>
      <c r="AB230" s="127">
        <v>434.38</v>
      </c>
      <c r="AC230" s="128">
        <v>471.38</v>
      </c>
    </row>
    <row r="231" spans="1:29" x14ac:dyDescent="0.3">
      <c r="A231" s="41">
        <v>2038</v>
      </c>
      <c r="B231" s="123">
        <v>544.64</v>
      </c>
      <c r="C231" s="127">
        <v>547.6</v>
      </c>
      <c r="D231" s="127">
        <v>682.28</v>
      </c>
      <c r="E231" s="123">
        <v>505.42</v>
      </c>
      <c r="F231" s="127">
        <v>494.32</v>
      </c>
      <c r="G231" s="128">
        <v>619.38</v>
      </c>
      <c r="H231" s="123">
        <v>2990.34</v>
      </c>
      <c r="I231" s="127">
        <v>3125.02</v>
      </c>
      <c r="J231" s="128">
        <v>3667.44</v>
      </c>
      <c r="K231" s="127">
        <v>1290.56</v>
      </c>
      <c r="L231" s="127">
        <v>1352.72</v>
      </c>
      <c r="M231" s="128">
        <v>1451.8799999999999</v>
      </c>
      <c r="N231" s="127">
        <v>1922.52</v>
      </c>
      <c r="O231" s="127">
        <v>2997.74</v>
      </c>
      <c r="P231" s="128">
        <v>3469.12</v>
      </c>
      <c r="Q231" s="127">
        <v>2147.48</v>
      </c>
      <c r="R231" s="127">
        <v>3480.96</v>
      </c>
      <c r="S231" s="128">
        <v>4104.04</v>
      </c>
      <c r="T231" s="83">
        <v>135.41999999999999</v>
      </c>
      <c r="U231" s="1">
        <v>176.12</v>
      </c>
      <c r="V231" s="89">
        <v>224.22</v>
      </c>
      <c r="X231" s="123">
        <v>230.14</v>
      </c>
      <c r="Y231" s="127">
        <v>352.24</v>
      </c>
      <c r="Z231" s="128">
        <v>372.21999999999997</v>
      </c>
      <c r="AA231" s="127">
        <v>267.88</v>
      </c>
      <c r="AB231" s="127">
        <v>390.71999999999997</v>
      </c>
      <c r="AC231" s="128">
        <v>426.24</v>
      </c>
    </row>
    <row r="232" spans="1:29" x14ac:dyDescent="0.3">
      <c r="A232" s="41">
        <v>2039</v>
      </c>
      <c r="B232" s="123">
        <v>510.59999999999997</v>
      </c>
      <c r="C232" s="127">
        <v>522.43999999999994</v>
      </c>
      <c r="D232" s="127">
        <v>648.24</v>
      </c>
      <c r="E232" s="123">
        <v>475.08</v>
      </c>
      <c r="F232" s="127">
        <v>470.64</v>
      </c>
      <c r="G232" s="128">
        <v>589.78</v>
      </c>
      <c r="H232" s="123">
        <v>2914.12</v>
      </c>
      <c r="I232" s="127">
        <v>3076.92</v>
      </c>
      <c r="J232" s="128">
        <v>3624.52</v>
      </c>
      <c r="K232" s="127">
        <v>1280.94</v>
      </c>
      <c r="L232" s="127">
        <v>1348.28</v>
      </c>
      <c r="M232" s="128">
        <v>1450.4</v>
      </c>
      <c r="N232" s="127">
        <v>1918.82</v>
      </c>
      <c r="O232" s="127">
        <v>2972.58</v>
      </c>
      <c r="P232" s="128">
        <v>3458.02</v>
      </c>
      <c r="Q232" s="127">
        <v>2146.7399999999998</v>
      </c>
      <c r="R232" s="127">
        <v>3463.2</v>
      </c>
      <c r="S232" s="128">
        <v>4105.5199999999995</v>
      </c>
      <c r="T232" s="83">
        <v>133.94</v>
      </c>
      <c r="U232" s="1">
        <v>173.16</v>
      </c>
      <c r="V232" s="89">
        <v>219.78</v>
      </c>
      <c r="X232" s="123">
        <v>219.04</v>
      </c>
      <c r="Y232" s="127">
        <v>333.74</v>
      </c>
      <c r="Z232" s="128">
        <v>361.12</v>
      </c>
      <c r="AA232" s="127">
        <v>233.84</v>
      </c>
      <c r="AB232" s="127">
        <v>350.76</v>
      </c>
      <c r="AC232" s="128">
        <v>385.54</v>
      </c>
    </row>
    <row r="233" spans="1:29" x14ac:dyDescent="0.3">
      <c r="A233" s="41">
        <v>2040</v>
      </c>
      <c r="B233" s="123">
        <v>483.21999999999997</v>
      </c>
      <c r="C233" s="127">
        <v>508.38</v>
      </c>
      <c r="D233" s="127">
        <v>620.86</v>
      </c>
      <c r="E233" s="123">
        <v>451.4</v>
      </c>
      <c r="F233" s="127">
        <v>457.32</v>
      </c>
      <c r="G233" s="128">
        <v>565.36</v>
      </c>
      <c r="H233" s="123">
        <v>2837.9</v>
      </c>
      <c r="I233" s="127">
        <v>3037.7</v>
      </c>
      <c r="J233" s="128">
        <v>3571.24</v>
      </c>
      <c r="K233" s="127">
        <v>1272.8</v>
      </c>
      <c r="L233" s="127">
        <v>1344.58</v>
      </c>
      <c r="M233" s="128">
        <v>1449.66</v>
      </c>
      <c r="N233" s="127">
        <v>1915.86</v>
      </c>
      <c r="O233" s="127">
        <v>2951.12</v>
      </c>
      <c r="P233" s="128">
        <v>3447.66</v>
      </c>
      <c r="Q233" s="127">
        <v>2147.48</v>
      </c>
      <c r="R233" s="127">
        <v>3448.4</v>
      </c>
      <c r="S233" s="128">
        <v>4107</v>
      </c>
      <c r="T233" s="83">
        <v>132.46</v>
      </c>
      <c r="U233" s="1">
        <v>170.2</v>
      </c>
      <c r="V233" s="89">
        <v>215.34</v>
      </c>
      <c r="X233" s="123">
        <v>204.98</v>
      </c>
      <c r="Y233" s="127">
        <v>315.24</v>
      </c>
      <c r="Z233" s="128">
        <v>348.54</v>
      </c>
      <c r="AA233" s="127">
        <v>204.98</v>
      </c>
      <c r="AB233" s="127">
        <v>315.24</v>
      </c>
      <c r="AC233" s="128">
        <v>348.54</v>
      </c>
    </row>
    <row r="234" spans="1:29" x14ac:dyDescent="0.3">
      <c r="A234" s="41">
        <v>2041</v>
      </c>
      <c r="B234" s="123">
        <v>461.02</v>
      </c>
      <c r="C234" s="127">
        <v>500.24</v>
      </c>
      <c r="D234" s="127">
        <v>585.34</v>
      </c>
      <c r="E234" s="123">
        <v>432.15999999999997</v>
      </c>
      <c r="F234" s="127">
        <v>449.92</v>
      </c>
      <c r="G234" s="128">
        <v>535.02</v>
      </c>
      <c r="H234" s="123">
        <v>2752.8</v>
      </c>
      <c r="I234" s="127">
        <v>2991.82</v>
      </c>
      <c r="J234" s="128">
        <v>3507.6</v>
      </c>
      <c r="K234" s="127">
        <v>1264.6600000000001</v>
      </c>
      <c r="L234" s="127">
        <v>1340.8799999999999</v>
      </c>
      <c r="M234" s="128">
        <v>1447.44</v>
      </c>
      <c r="N234" s="127">
        <v>1912.16</v>
      </c>
      <c r="O234" s="127">
        <v>2923</v>
      </c>
      <c r="P234" s="128">
        <v>3436.56</v>
      </c>
      <c r="Q234" s="127">
        <v>2146.7399999999998</v>
      </c>
      <c r="R234" s="127">
        <v>3426.94</v>
      </c>
      <c r="S234" s="128">
        <v>4106.26</v>
      </c>
      <c r="T234" s="83">
        <v>130.97999999999999</v>
      </c>
      <c r="U234" s="1">
        <v>167.98</v>
      </c>
      <c r="V234" s="89">
        <v>212.38</v>
      </c>
      <c r="X234" s="123">
        <v>188.7</v>
      </c>
      <c r="Y234" s="127">
        <v>300.44</v>
      </c>
      <c r="Z234" s="128">
        <v>340.4</v>
      </c>
      <c r="AA234" s="127">
        <v>188.7</v>
      </c>
      <c r="AB234" s="127">
        <v>300.44</v>
      </c>
      <c r="AC234" s="128">
        <v>340.4</v>
      </c>
    </row>
    <row r="235" spans="1:29" x14ac:dyDescent="0.3">
      <c r="A235" s="41">
        <v>2042</v>
      </c>
      <c r="B235" s="123">
        <v>442.52</v>
      </c>
      <c r="C235" s="127">
        <v>490.62</v>
      </c>
      <c r="D235" s="127">
        <v>561.66</v>
      </c>
      <c r="E235" s="123">
        <v>415.88</v>
      </c>
      <c r="F235" s="127">
        <v>441.78</v>
      </c>
      <c r="G235" s="128">
        <v>514.29999999999995</v>
      </c>
      <c r="H235" s="123">
        <v>2680.2799999999997</v>
      </c>
      <c r="I235" s="127">
        <v>2944.46</v>
      </c>
      <c r="J235" s="128">
        <v>3435.08</v>
      </c>
      <c r="K235" s="127">
        <v>1258</v>
      </c>
      <c r="L235" s="127">
        <v>1336.44</v>
      </c>
      <c r="M235" s="128">
        <v>1445.22</v>
      </c>
      <c r="N235" s="127">
        <v>1908.46</v>
      </c>
      <c r="O235" s="127">
        <v>2902.2799999999997</v>
      </c>
      <c r="P235" s="128">
        <v>3424.72</v>
      </c>
      <c r="Q235" s="127">
        <v>2146</v>
      </c>
      <c r="R235" s="127">
        <v>3412.14</v>
      </c>
      <c r="S235" s="128">
        <v>4105.5199999999995</v>
      </c>
      <c r="T235" s="83">
        <v>129.5</v>
      </c>
      <c r="U235" s="1">
        <v>166.5</v>
      </c>
      <c r="V235" s="89">
        <v>209.42</v>
      </c>
      <c r="X235" s="123">
        <v>175.38</v>
      </c>
      <c r="Y235" s="127">
        <v>288.60000000000002</v>
      </c>
      <c r="Z235" s="128">
        <v>332.26</v>
      </c>
      <c r="AA235" s="127">
        <v>175.38</v>
      </c>
      <c r="AB235" s="127">
        <v>288.60000000000002</v>
      </c>
      <c r="AC235" s="128">
        <v>332.26</v>
      </c>
    </row>
    <row r="236" spans="1:29" x14ac:dyDescent="0.3">
      <c r="A236" s="41">
        <v>2043</v>
      </c>
      <c r="B236" s="123">
        <v>427.71999999999997</v>
      </c>
      <c r="C236" s="127">
        <v>482.48</v>
      </c>
      <c r="D236" s="127">
        <v>535.76</v>
      </c>
      <c r="E236" s="123">
        <v>402.56</v>
      </c>
      <c r="F236" s="127">
        <v>433.64</v>
      </c>
      <c r="G236" s="128">
        <v>492.09999999999997</v>
      </c>
      <c r="H236" s="123">
        <v>2604.8000000000002</v>
      </c>
      <c r="I236" s="127">
        <v>2894.14</v>
      </c>
      <c r="J236" s="128">
        <v>3367</v>
      </c>
      <c r="K236" s="127">
        <v>1252.82</v>
      </c>
      <c r="L236" s="127">
        <v>1333.48</v>
      </c>
      <c r="M236" s="128">
        <v>1442.26</v>
      </c>
      <c r="N236" s="127">
        <v>1904.76</v>
      </c>
      <c r="O236" s="127">
        <v>2882.3</v>
      </c>
      <c r="P236" s="128">
        <v>3413.62</v>
      </c>
      <c r="Q236" s="127">
        <v>2146</v>
      </c>
      <c r="R236" s="127">
        <v>3398.08</v>
      </c>
      <c r="S236" s="128">
        <v>4104.78</v>
      </c>
      <c r="T236" s="83">
        <v>128.02000000000001</v>
      </c>
      <c r="U236" s="1">
        <v>165.02</v>
      </c>
      <c r="V236" s="89">
        <v>207.94</v>
      </c>
      <c r="X236" s="123">
        <v>165.76</v>
      </c>
      <c r="Y236" s="127">
        <v>276.02</v>
      </c>
      <c r="Z236" s="128">
        <v>313.02</v>
      </c>
      <c r="AA236" s="127">
        <v>165.76</v>
      </c>
      <c r="AB236" s="127">
        <v>276.02</v>
      </c>
      <c r="AC236" s="128">
        <v>313.02</v>
      </c>
    </row>
    <row r="237" spans="1:29" x14ac:dyDescent="0.3">
      <c r="A237" s="41">
        <v>2044</v>
      </c>
      <c r="B237" s="123">
        <v>415.14</v>
      </c>
      <c r="C237" s="127">
        <v>472.86</v>
      </c>
      <c r="D237" s="127">
        <v>522.43999999999994</v>
      </c>
      <c r="E237" s="123">
        <v>391.46</v>
      </c>
      <c r="F237" s="127">
        <v>424.76</v>
      </c>
      <c r="G237" s="128">
        <v>480.26</v>
      </c>
      <c r="H237" s="123">
        <v>2544.86</v>
      </c>
      <c r="I237" s="127">
        <v>2848.2599999999998</v>
      </c>
      <c r="J237" s="128">
        <v>3303.36</v>
      </c>
      <c r="K237" s="127">
        <v>1248.3799999999999</v>
      </c>
      <c r="L237" s="127">
        <v>1331.26</v>
      </c>
      <c r="M237" s="128">
        <v>1439.3</v>
      </c>
      <c r="N237" s="127">
        <v>1901.06</v>
      </c>
      <c r="O237" s="127">
        <v>2865.2799999999997</v>
      </c>
      <c r="P237" s="128">
        <v>3401.7799999999997</v>
      </c>
      <c r="Q237" s="127">
        <v>2145.2599999999998</v>
      </c>
      <c r="R237" s="127">
        <v>3386.98</v>
      </c>
      <c r="S237" s="128">
        <v>4103.3</v>
      </c>
      <c r="T237" s="83">
        <v>127.28</v>
      </c>
      <c r="U237" s="1">
        <v>162.80000000000001</v>
      </c>
      <c r="V237" s="89">
        <v>203.5</v>
      </c>
      <c r="X237" s="123">
        <v>156.88</v>
      </c>
      <c r="Y237" s="127">
        <v>264.92</v>
      </c>
      <c r="Z237" s="128">
        <v>303.39999999999998</v>
      </c>
      <c r="AA237" s="127">
        <v>156.88</v>
      </c>
      <c r="AB237" s="127">
        <v>264.92</v>
      </c>
      <c r="AC237" s="128">
        <v>303.39999999999998</v>
      </c>
    </row>
    <row r="238" spans="1:29" x14ac:dyDescent="0.3">
      <c r="A238" s="41">
        <v>2045</v>
      </c>
      <c r="B238" s="123">
        <v>406.26</v>
      </c>
      <c r="C238" s="127">
        <v>462.5</v>
      </c>
      <c r="D238" s="127">
        <v>514.29999999999995</v>
      </c>
      <c r="E238" s="123">
        <v>383.32</v>
      </c>
      <c r="F238" s="127">
        <v>415.88</v>
      </c>
      <c r="G238" s="128">
        <v>472.86</v>
      </c>
      <c r="H238" s="123">
        <v>2487.88</v>
      </c>
      <c r="I238" s="127">
        <v>2807.56</v>
      </c>
      <c r="J238" s="128">
        <v>3243.42</v>
      </c>
      <c r="K238" s="127">
        <v>1243.2</v>
      </c>
      <c r="L238" s="127">
        <v>1329.04</v>
      </c>
      <c r="M238" s="128">
        <v>1435.6</v>
      </c>
      <c r="N238" s="127">
        <v>1897.36</v>
      </c>
      <c r="O238" s="127">
        <v>2846.7799999999997</v>
      </c>
      <c r="P238" s="128">
        <v>3390.68</v>
      </c>
      <c r="Q238" s="127">
        <v>2145.2599999999998</v>
      </c>
      <c r="R238" s="127">
        <v>3372.92</v>
      </c>
      <c r="S238" s="128">
        <v>4101.82</v>
      </c>
      <c r="T238" s="83">
        <v>125.8</v>
      </c>
      <c r="U238" s="1">
        <v>160.57999999999998</v>
      </c>
      <c r="V238" s="89">
        <v>199.8</v>
      </c>
      <c r="X238" s="123">
        <v>149.47999999999999</v>
      </c>
      <c r="Y238" s="127">
        <v>255.29999999999998</v>
      </c>
      <c r="Z238" s="128">
        <v>294.52</v>
      </c>
      <c r="AA238" s="127">
        <v>149.47999999999999</v>
      </c>
      <c r="AB238" s="127">
        <v>255.29999999999998</v>
      </c>
      <c r="AC238" s="128">
        <v>294.52</v>
      </c>
    </row>
    <row r="239" spans="1:29" x14ac:dyDescent="0.3">
      <c r="A239" s="41">
        <v>2046</v>
      </c>
      <c r="B239" s="123">
        <v>398.86</v>
      </c>
      <c r="C239" s="127">
        <v>453.62</v>
      </c>
      <c r="D239" s="127">
        <v>511.34</v>
      </c>
      <c r="E239" s="123">
        <v>376.65999999999997</v>
      </c>
      <c r="F239" s="127">
        <v>407</v>
      </c>
      <c r="G239" s="128">
        <v>469.15999999999997</v>
      </c>
      <c r="H239" s="123">
        <v>2442</v>
      </c>
      <c r="I239" s="127">
        <v>2758.72</v>
      </c>
      <c r="J239" s="128">
        <v>3186.44</v>
      </c>
      <c r="K239" s="127">
        <v>1237.28</v>
      </c>
      <c r="L239" s="127">
        <v>1328.3</v>
      </c>
      <c r="M239" s="128">
        <v>1433.3799999999999</v>
      </c>
      <c r="N239" s="127">
        <v>1894.4</v>
      </c>
      <c r="O239" s="127">
        <v>2829.7599999999998</v>
      </c>
      <c r="P239" s="128">
        <v>3378.84</v>
      </c>
      <c r="Q239" s="127">
        <v>2144.52</v>
      </c>
      <c r="R239" s="127">
        <v>3361.08</v>
      </c>
      <c r="S239" s="128">
        <v>4100.34</v>
      </c>
      <c r="T239" s="83">
        <v>124.32</v>
      </c>
      <c r="U239" s="1">
        <v>159.1</v>
      </c>
      <c r="V239" s="89">
        <v>197.57999999999998</v>
      </c>
      <c r="X239" s="123">
        <v>143.56</v>
      </c>
      <c r="Y239" s="127">
        <v>247.16</v>
      </c>
      <c r="Z239" s="128">
        <v>280.45999999999998</v>
      </c>
      <c r="AA239" s="127">
        <v>143.56</v>
      </c>
      <c r="AB239" s="127">
        <v>247.16</v>
      </c>
      <c r="AC239" s="128">
        <v>280.45999999999998</v>
      </c>
    </row>
    <row r="240" spans="1:29" x14ac:dyDescent="0.3">
      <c r="A240" s="41">
        <v>2047</v>
      </c>
      <c r="B240" s="123">
        <v>392.2</v>
      </c>
      <c r="C240" s="127">
        <v>446.96</v>
      </c>
      <c r="D240" s="127">
        <v>508.38</v>
      </c>
      <c r="E240" s="123">
        <v>370</v>
      </c>
      <c r="F240" s="127">
        <v>401.08</v>
      </c>
      <c r="G240" s="128">
        <v>466.2</v>
      </c>
      <c r="H240" s="123">
        <v>2398.34</v>
      </c>
      <c r="I240" s="127">
        <v>2703.22</v>
      </c>
      <c r="J240" s="128">
        <v>3132.42</v>
      </c>
      <c r="K240" s="127">
        <v>1231.3599999999999</v>
      </c>
      <c r="L240" s="127">
        <v>1326.82</v>
      </c>
      <c r="M240" s="128">
        <v>1430.42</v>
      </c>
      <c r="N240" s="127">
        <v>1890.7</v>
      </c>
      <c r="O240" s="127">
        <v>2812.74</v>
      </c>
      <c r="P240" s="128">
        <v>3367.74</v>
      </c>
      <c r="Q240" s="127">
        <v>2037.22</v>
      </c>
      <c r="R240" s="127">
        <v>3349.98</v>
      </c>
      <c r="S240" s="128">
        <v>4099.6000000000004</v>
      </c>
      <c r="T240" s="83">
        <v>122.84</v>
      </c>
      <c r="U240" s="1">
        <v>157.62</v>
      </c>
      <c r="V240" s="89">
        <v>195.35999999999999</v>
      </c>
      <c r="X240" s="123">
        <v>136.16</v>
      </c>
      <c r="Y240" s="127">
        <v>239.02</v>
      </c>
      <c r="Z240" s="128">
        <v>265.66000000000003</v>
      </c>
      <c r="AA240" s="127">
        <v>136.16</v>
      </c>
      <c r="AB240" s="127">
        <v>239.02</v>
      </c>
      <c r="AC240" s="128">
        <v>265.66000000000003</v>
      </c>
    </row>
    <row r="241" spans="1:43" x14ac:dyDescent="0.3">
      <c r="A241" s="41">
        <v>2048</v>
      </c>
      <c r="B241" s="123">
        <v>385.54</v>
      </c>
      <c r="C241" s="127">
        <v>441.04</v>
      </c>
      <c r="D241" s="127">
        <v>505.42</v>
      </c>
      <c r="E241" s="123">
        <v>364.08</v>
      </c>
      <c r="F241" s="127">
        <v>395.9</v>
      </c>
      <c r="G241" s="128">
        <v>463.24</v>
      </c>
      <c r="H241" s="123">
        <v>2357.64</v>
      </c>
      <c r="I241" s="127">
        <v>2638.1</v>
      </c>
      <c r="J241" s="128">
        <v>3081.36</v>
      </c>
      <c r="K241" s="127">
        <v>1225.44</v>
      </c>
      <c r="L241" s="127">
        <v>1326.08</v>
      </c>
      <c r="M241" s="128">
        <v>1428.94</v>
      </c>
      <c r="N241" s="127">
        <v>1886.26</v>
      </c>
      <c r="O241" s="127">
        <v>2797.94</v>
      </c>
      <c r="P241" s="128">
        <v>3356.64</v>
      </c>
      <c r="Q241" s="127">
        <v>1894.4</v>
      </c>
      <c r="R241" s="127">
        <v>3339.62</v>
      </c>
      <c r="S241" s="128">
        <v>4100.34</v>
      </c>
      <c r="T241" s="83">
        <v>122.1</v>
      </c>
      <c r="U241" s="1">
        <v>156.13999999999999</v>
      </c>
      <c r="V241" s="89">
        <v>193.14</v>
      </c>
      <c r="X241" s="123">
        <v>130.24</v>
      </c>
      <c r="Y241" s="127">
        <v>231.62</v>
      </c>
      <c r="Z241" s="128">
        <v>254.56</v>
      </c>
      <c r="AA241" s="127">
        <v>130.24</v>
      </c>
      <c r="AB241" s="127">
        <v>231.62</v>
      </c>
      <c r="AC241" s="128">
        <v>254.56</v>
      </c>
    </row>
    <row r="242" spans="1:43" x14ac:dyDescent="0.3">
      <c r="A242" s="41">
        <v>2049</v>
      </c>
      <c r="B242" s="123">
        <v>381.1</v>
      </c>
      <c r="C242" s="127">
        <v>437.34</v>
      </c>
      <c r="D242" s="127">
        <v>502.46</v>
      </c>
      <c r="E242" s="123">
        <v>359.64</v>
      </c>
      <c r="F242" s="127">
        <v>391.46</v>
      </c>
      <c r="G242" s="128">
        <v>460.28</v>
      </c>
      <c r="H242" s="123">
        <v>2317.6799999999998</v>
      </c>
      <c r="I242" s="127">
        <v>2575.1999999999998</v>
      </c>
      <c r="J242" s="128">
        <v>3033.2599999999998</v>
      </c>
      <c r="K242" s="127">
        <v>1219.52</v>
      </c>
      <c r="L242" s="127">
        <v>1323.86</v>
      </c>
      <c r="M242" s="128">
        <v>1426.72</v>
      </c>
      <c r="N242" s="127">
        <v>1881.82</v>
      </c>
      <c r="O242" s="127">
        <v>2783.88</v>
      </c>
      <c r="P242" s="128">
        <v>3345.54</v>
      </c>
      <c r="Q242" s="127">
        <v>1737.52</v>
      </c>
      <c r="R242" s="127">
        <v>3330.74</v>
      </c>
      <c r="S242" s="128">
        <v>4100.34</v>
      </c>
      <c r="T242" s="83">
        <v>120.62</v>
      </c>
      <c r="U242" s="1">
        <v>154.66</v>
      </c>
      <c r="V242" s="89">
        <v>191.66</v>
      </c>
      <c r="X242" s="123">
        <v>124.32</v>
      </c>
      <c r="Y242" s="127">
        <v>219.78</v>
      </c>
      <c r="Z242" s="128">
        <v>242.72</v>
      </c>
      <c r="AA242" s="127">
        <v>124.32</v>
      </c>
      <c r="AB242" s="127">
        <v>219.78</v>
      </c>
      <c r="AC242" s="128">
        <v>242.72</v>
      </c>
    </row>
    <row r="243" spans="1:43" x14ac:dyDescent="0.3">
      <c r="A243" s="41">
        <v>2050</v>
      </c>
      <c r="B243" s="123">
        <v>379.62</v>
      </c>
      <c r="C243" s="127">
        <v>433.64</v>
      </c>
      <c r="D243" s="127">
        <v>500.24</v>
      </c>
      <c r="E243" s="123">
        <v>357.42</v>
      </c>
      <c r="F243" s="127">
        <v>388.5</v>
      </c>
      <c r="G243" s="128">
        <v>458.06</v>
      </c>
      <c r="H243" s="123">
        <v>2284.38</v>
      </c>
      <c r="I243" s="127">
        <v>2530.06</v>
      </c>
      <c r="J243" s="128">
        <v>2997.74</v>
      </c>
      <c r="K243" s="127">
        <v>1215.08</v>
      </c>
      <c r="L243" s="127">
        <v>1322.3799999999999</v>
      </c>
      <c r="M243" s="128">
        <v>1425.98</v>
      </c>
      <c r="N243" s="127">
        <v>1878.86</v>
      </c>
      <c r="O243" s="127">
        <v>2775.74</v>
      </c>
      <c r="P243" s="128">
        <v>3338.14</v>
      </c>
      <c r="Q243" s="127">
        <v>1687.2</v>
      </c>
      <c r="R243" s="127">
        <v>3324.82</v>
      </c>
      <c r="S243" s="128">
        <v>4100.34</v>
      </c>
      <c r="T243" s="83">
        <v>119.88</v>
      </c>
      <c r="U243" s="1">
        <v>153.18</v>
      </c>
      <c r="V243" s="89">
        <v>190.18</v>
      </c>
      <c r="X243" s="123">
        <v>115.44</v>
      </c>
      <c r="Y243" s="127">
        <v>207.2</v>
      </c>
      <c r="Z243" s="128">
        <v>229.4</v>
      </c>
      <c r="AA243" s="127">
        <v>115.44</v>
      </c>
      <c r="AB243" s="127">
        <v>207.2</v>
      </c>
      <c r="AC243" s="128">
        <v>229.4</v>
      </c>
    </row>
    <row r="244" spans="1:43" x14ac:dyDescent="0.3">
      <c r="A244" s="41">
        <v>2051</v>
      </c>
      <c r="B244" s="123">
        <v>378.14</v>
      </c>
      <c r="C244" s="127">
        <v>429.94</v>
      </c>
      <c r="D244" s="127">
        <v>498.76</v>
      </c>
      <c r="E244" s="123">
        <v>355.94</v>
      </c>
      <c r="F244" s="127">
        <v>385.54</v>
      </c>
      <c r="G244" s="128">
        <v>455.84</v>
      </c>
      <c r="H244" s="123">
        <v>2251.8200000000002</v>
      </c>
      <c r="I244" s="127">
        <v>2486.4</v>
      </c>
      <c r="J244" s="128">
        <v>2961.48</v>
      </c>
      <c r="K244" s="127">
        <v>1212.1199999999999</v>
      </c>
      <c r="L244" s="127">
        <v>1320.9</v>
      </c>
      <c r="M244" s="128">
        <v>1424.5</v>
      </c>
      <c r="N244" s="127">
        <v>1874.42</v>
      </c>
      <c r="O244" s="127">
        <v>2758.72</v>
      </c>
      <c r="P244" s="128">
        <v>3326.3</v>
      </c>
      <c r="Q244" s="127">
        <v>1665</v>
      </c>
      <c r="R244" s="127">
        <v>3312.98</v>
      </c>
      <c r="S244" s="128">
        <v>4099.6000000000004</v>
      </c>
      <c r="T244" s="83">
        <v>118.4</v>
      </c>
      <c r="U244" s="1">
        <v>151.69999999999999</v>
      </c>
      <c r="V244" s="89">
        <v>189.44</v>
      </c>
      <c r="X244" s="123">
        <v>115.44</v>
      </c>
      <c r="Y244" s="127">
        <v>207.2</v>
      </c>
      <c r="Z244" s="128">
        <v>229.4</v>
      </c>
      <c r="AA244" s="127">
        <v>115.44</v>
      </c>
      <c r="AB244" s="127">
        <v>207.2</v>
      </c>
      <c r="AC244" s="128">
        <v>229.4</v>
      </c>
    </row>
    <row r="245" spans="1:43" x14ac:dyDescent="0.3">
      <c r="A245" s="41">
        <v>2052</v>
      </c>
      <c r="B245" s="123">
        <v>377.4</v>
      </c>
      <c r="C245" s="127">
        <v>427.71999999999997</v>
      </c>
      <c r="D245" s="127">
        <v>497.28</v>
      </c>
      <c r="E245" s="123">
        <v>355.2</v>
      </c>
      <c r="F245" s="127">
        <v>383.32</v>
      </c>
      <c r="G245" s="128">
        <v>455.1</v>
      </c>
      <c r="H245" s="123">
        <v>2219.2599999999998</v>
      </c>
      <c r="I245" s="127">
        <v>2442.7399999999998</v>
      </c>
      <c r="J245" s="128">
        <v>2926.7</v>
      </c>
      <c r="K245" s="127">
        <v>1211.3799999999999</v>
      </c>
      <c r="L245" s="127">
        <v>1320.16</v>
      </c>
      <c r="M245" s="128">
        <v>1423.76</v>
      </c>
      <c r="N245" s="127">
        <v>1872.2</v>
      </c>
      <c r="O245" s="127">
        <v>2746.14</v>
      </c>
      <c r="P245" s="128">
        <v>3318.9</v>
      </c>
      <c r="Q245" s="127">
        <v>1657.6</v>
      </c>
      <c r="R245" s="127">
        <v>3304.1</v>
      </c>
      <c r="S245" s="128">
        <v>4099.6000000000004</v>
      </c>
      <c r="T245" s="83">
        <v>117.66</v>
      </c>
      <c r="U245" s="1">
        <v>150.96</v>
      </c>
      <c r="V245" s="89">
        <v>189.44</v>
      </c>
      <c r="X245" s="123">
        <v>111.74</v>
      </c>
      <c r="Y245" s="127">
        <v>204.24</v>
      </c>
      <c r="Z245" s="128">
        <v>226.44</v>
      </c>
      <c r="AA245" s="127">
        <v>111.74</v>
      </c>
      <c r="AB245" s="127">
        <v>204.24</v>
      </c>
      <c r="AC245" s="128">
        <v>226.44</v>
      </c>
    </row>
    <row r="246" spans="1:43" x14ac:dyDescent="0.3">
      <c r="A246" s="41">
        <v>2053</v>
      </c>
      <c r="B246" s="123">
        <v>375.18</v>
      </c>
      <c r="C246" s="127">
        <v>422.54</v>
      </c>
      <c r="D246" s="127">
        <v>495.06</v>
      </c>
      <c r="E246" s="123">
        <v>353.71999999999997</v>
      </c>
      <c r="F246" s="127">
        <v>378.88</v>
      </c>
      <c r="G246" s="128">
        <v>452.88</v>
      </c>
      <c r="H246" s="123">
        <v>2187.44</v>
      </c>
      <c r="I246" s="127">
        <v>2399.8200000000002</v>
      </c>
      <c r="J246" s="128">
        <v>2891.92</v>
      </c>
      <c r="K246" s="127">
        <v>1209.9000000000001</v>
      </c>
      <c r="L246" s="127">
        <v>1319.42</v>
      </c>
      <c r="M246" s="128">
        <v>1422.28</v>
      </c>
      <c r="N246" s="127">
        <v>1867.76</v>
      </c>
      <c r="O246" s="127">
        <v>2722.46</v>
      </c>
      <c r="P246" s="128">
        <v>3303.36</v>
      </c>
      <c r="Q246" s="127">
        <v>1645.02</v>
      </c>
      <c r="R246" s="127">
        <v>3287.08</v>
      </c>
      <c r="S246" s="128">
        <v>4098.12</v>
      </c>
      <c r="T246" s="83">
        <v>116.17999999999999</v>
      </c>
      <c r="U246" s="1">
        <v>149.47999999999999</v>
      </c>
      <c r="V246" s="89">
        <v>187.96</v>
      </c>
      <c r="X246" s="123">
        <v>111.74</v>
      </c>
      <c r="Y246" s="127">
        <v>204.24</v>
      </c>
      <c r="Z246" s="128">
        <v>226.44</v>
      </c>
      <c r="AA246" s="127">
        <v>111.74</v>
      </c>
      <c r="AB246" s="127">
        <v>204.24</v>
      </c>
      <c r="AC246" s="128">
        <v>226.44</v>
      </c>
    </row>
    <row r="247" spans="1:43" x14ac:dyDescent="0.3">
      <c r="A247" s="41">
        <v>2054</v>
      </c>
      <c r="B247" s="123">
        <v>374.44</v>
      </c>
      <c r="C247" s="127">
        <v>418.84</v>
      </c>
      <c r="D247" s="127">
        <v>493.58</v>
      </c>
      <c r="E247" s="123">
        <v>352.98</v>
      </c>
      <c r="F247" s="127">
        <v>375.18</v>
      </c>
      <c r="G247" s="128">
        <v>451.4</v>
      </c>
      <c r="H247" s="123">
        <v>2155.62</v>
      </c>
      <c r="I247" s="127">
        <v>2358.38</v>
      </c>
      <c r="J247" s="128">
        <v>2857.88</v>
      </c>
      <c r="K247" s="127">
        <v>1209.1600000000001</v>
      </c>
      <c r="L247" s="127">
        <v>1319.42</v>
      </c>
      <c r="M247" s="128">
        <v>1421.54</v>
      </c>
      <c r="N247" s="127">
        <v>1864.8</v>
      </c>
      <c r="O247" s="127">
        <v>2711.36</v>
      </c>
      <c r="P247" s="128">
        <v>3295.22</v>
      </c>
      <c r="Q247" s="127">
        <v>1639.84</v>
      </c>
      <c r="R247" s="127">
        <v>3278.94</v>
      </c>
      <c r="S247" s="128">
        <v>4098.12</v>
      </c>
      <c r="T247" s="83">
        <v>115.44</v>
      </c>
      <c r="U247" s="1">
        <v>148.74</v>
      </c>
      <c r="V247" s="89">
        <v>187.96</v>
      </c>
      <c r="X247" s="123">
        <v>108.78</v>
      </c>
      <c r="Y247" s="127">
        <v>201.28</v>
      </c>
      <c r="Z247" s="128">
        <v>224.22</v>
      </c>
      <c r="AA247" s="127">
        <v>108.78</v>
      </c>
      <c r="AB247" s="127">
        <v>201.28</v>
      </c>
      <c r="AC247" s="128">
        <v>224.22</v>
      </c>
    </row>
    <row r="248" spans="1:43" ht="15" thickBot="1" x14ac:dyDescent="0.35">
      <c r="A248" s="42">
        <v>2055</v>
      </c>
      <c r="B248" s="124">
        <v>373.7</v>
      </c>
      <c r="C248" s="129">
        <v>415.88</v>
      </c>
      <c r="D248" s="129">
        <v>492.84</v>
      </c>
      <c r="E248" s="124">
        <v>351.5</v>
      </c>
      <c r="F248" s="129">
        <v>372.21999999999997</v>
      </c>
      <c r="G248" s="130">
        <v>450.65999999999997</v>
      </c>
      <c r="H248" s="124">
        <v>2124.54</v>
      </c>
      <c r="I248" s="129">
        <v>2316.94</v>
      </c>
      <c r="J248" s="130">
        <v>2823.84</v>
      </c>
      <c r="K248" s="129">
        <v>1208.42</v>
      </c>
      <c r="L248" s="129">
        <v>1318.68</v>
      </c>
      <c r="M248" s="130">
        <v>1420.8</v>
      </c>
      <c r="N248" s="129">
        <v>1862.58</v>
      </c>
      <c r="O248" s="129">
        <v>2699.52</v>
      </c>
      <c r="P248" s="130">
        <v>3287.82</v>
      </c>
      <c r="Q248" s="129">
        <v>1634.66</v>
      </c>
      <c r="R248" s="129">
        <v>3270.8</v>
      </c>
      <c r="S248" s="130">
        <v>4097.38</v>
      </c>
      <c r="T248" s="90">
        <v>115.44</v>
      </c>
      <c r="U248" s="91">
        <v>148</v>
      </c>
      <c r="V248" s="92">
        <v>187.22</v>
      </c>
      <c r="X248" s="124">
        <v>108.78</v>
      </c>
      <c r="Y248" s="129">
        <v>201.28</v>
      </c>
      <c r="Z248" s="130">
        <v>224.22</v>
      </c>
      <c r="AA248" s="129">
        <v>108.78</v>
      </c>
      <c r="AB248" s="129">
        <v>201.28</v>
      </c>
      <c r="AC248" s="130">
        <v>224.22</v>
      </c>
    </row>
    <row r="250" spans="1:43" ht="16.2" x14ac:dyDescent="0.3">
      <c r="A250" s="93" t="s">
        <v>271</v>
      </c>
    </row>
    <row r="251" spans="1:43" ht="15" thickBot="1" x14ac:dyDescent="0.35"/>
    <row r="252" spans="1:43" ht="18.600000000000001" thickBot="1" x14ac:dyDescent="0.4">
      <c r="A252" s="289" t="s">
        <v>0</v>
      </c>
      <c r="B252" s="407" t="s">
        <v>399</v>
      </c>
      <c r="C252" s="408"/>
      <c r="D252" s="408"/>
      <c r="E252" s="408"/>
      <c r="F252" s="408"/>
      <c r="G252" s="408"/>
      <c r="H252" s="408"/>
      <c r="I252" s="408"/>
      <c r="J252" s="408"/>
      <c r="K252" s="408"/>
      <c r="L252" s="408"/>
      <c r="M252" s="408"/>
      <c r="N252" s="408"/>
      <c r="O252" s="408"/>
      <c r="P252" s="408"/>
      <c r="Q252" s="408"/>
      <c r="R252" s="408"/>
      <c r="S252" s="408"/>
      <c r="T252" s="408"/>
      <c r="U252" s="408"/>
      <c r="V252" s="409"/>
      <c r="X252" s="380" t="s">
        <v>400</v>
      </c>
      <c r="Y252" s="381"/>
      <c r="Z252" s="381"/>
      <c r="AA252" s="381"/>
      <c r="AB252" s="381"/>
      <c r="AC252" s="382"/>
      <c r="AE252" s="407" t="s">
        <v>401</v>
      </c>
      <c r="AF252" s="408"/>
      <c r="AG252" s="408"/>
      <c r="AH252" s="408"/>
      <c r="AI252" s="408"/>
      <c r="AJ252" s="408"/>
      <c r="AK252" s="408"/>
      <c r="AL252" s="408"/>
      <c r="AM252" s="408"/>
      <c r="AN252" s="408"/>
      <c r="AO252" s="408"/>
      <c r="AP252" s="408"/>
      <c r="AQ252" s="409"/>
    </row>
    <row r="253" spans="1:43" ht="20.399999999999999" customHeight="1" thickBot="1" x14ac:dyDescent="0.35">
      <c r="A253" s="344"/>
      <c r="B253" s="422" t="s">
        <v>58</v>
      </c>
      <c r="C253" s="423"/>
      <c r="D253" s="424"/>
      <c r="E253" s="425" t="s">
        <v>155</v>
      </c>
      <c r="F253" s="426"/>
      <c r="G253" s="427"/>
      <c r="H253" s="416" t="s">
        <v>281</v>
      </c>
      <c r="I253" s="417"/>
      <c r="J253" s="418"/>
      <c r="K253" s="428" t="s">
        <v>228</v>
      </c>
      <c r="L253" s="429"/>
      <c r="M253" s="430"/>
      <c r="N253" s="431" t="s">
        <v>278</v>
      </c>
      <c r="O253" s="432"/>
      <c r="P253" s="433"/>
      <c r="Q253" s="431" t="s">
        <v>279</v>
      </c>
      <c r="R253" s="432"/>
      <c r="S253" s="433"/>
      <c r="T253" s="434" t="s">
        <v>270</v>
      </c>
      <c r="U253" s="435"/>
      <c r="V253" s="436"/>
      <c r="X253" s="437" t="s">
        <v>272</v>
      </c>
      <c r="Y253" s="438"/>
      <c r="Z253" s="439"/>
      <c r="AA253" s="440" t="s">
        <v>273</v>
      </c>
      <c r="AB253" s="441"/>
      <c r="AC253" s="442"/>
      <c r="AE253" s="289" t="s">
        <v>0</v>
      </c>
      <c r="AF253" s="368" t="s">
        <v>58</v>
      </c>
      <c r="AG253" s="369"/>
      <c r="AH253" s="370"/>
      <c r="AI253" s="410" t="s">
        <v>228</v>
      </c>
      <c r="AJ253" s="411"/>
      <c r="AK253" s="412"/>
      <c r="AL253" s="316" t="s">
        <v>59</v>
      </c>
      <c r="AM253" s="317"/>
      <c r="AN253" s="318"/>
      <c r="AO253" s="413" t="s">
        <v>266</v>
      </c>
      <c r="AP253" s="414"/>
      <c r="AQ253" s="415"/>
    </row>
    <row r="254" spans="1:43" ht="15" customHeight="1" thickBot="1" x14ac:dyDescent="0.35">
      <c r="A254" s="290"/>
      <c r="B254" s="29" t="s">
        <v>275</v>
      </c>
      <c r="C254" s="30" t="s">
        <v>276</v>
      </c>
      <c r="D254" s="31" t="s">
        <v>274</v>
      </c>
      <c r="E254" s="29" t="s">
        <v>275</v>
      </c>
      <c r="F254" s="30" t="s">
        <v>276</v>
      </c>
      <c r="G254" s="31" t="s">
        <v>274</v>
      </c>
      <c r="H254" s="29" t="s">
        <v>275</v>
      </c>
      <c r="I254" s="30" t="s">
        <v>276</v>
      </c>
      <c r="J254" s="31" t="s">
        <v>274</v>
      </c>
      <c r="K254" s="29" t="s">
        <v>275</v>
      </c>
      <c r="L254" s="30" t="s">
        <v>276</v>
      </c>
      <c r="M254" s="31" t="s">
        <v>274</v>
      </c>
      <c r="N254" s="29" t="s">
        <v>275</v>
      </c>
      <c r="O254" s="30" t="s">
        <v>276</v>
      </c>
      <c r="P254" s="31" t="s">
        <v>274</v>
      </c>
      <c r="Q254" s="29" t="s">
        <v>275</v>
      </c>
      <c r="R254" s="30" t="s">
        <v>276</v>
      </c>
      <c r="S254" s="30" t="s">
        <v>274</v>
      </c>
      <c r="T254" s="29" t="s">
        <v>275</v>
      </c>
      <c r="U254" s="30" t="s">
        <v>274</v>
      </c>
      <c r="V254" s="31" t="s">
        <v>276</v>
      </c>
      <c r="X254" s="29" t="s">
        <v>275</v>
      </c>
      <c r="Y254" s="30" t="s">
        <v>276</v>
      </c>
      <c r="Z254" s="31" t="s">
        <v>274</v>
      </c>
      <c r="AA254" s="29" t="s">
        <v>275</v>
      </c>
      <c r="AB254" s="30" t="s">
        <v>276</v>
      </c>
      <c r="AC254" s="31" t="s">
        <v>274</v>
      </c>
      <c r="AE254" s="344"/>
      <c r="AF254" s="419" t="s">
        <v>263</v>
      </c>
      <c r="AG254" s="420"/>
      <c r="AH254" s="421"/>
      <c r="AI254" s="419" t="s">
        <v>263</v>
      </c>
      <c r="AJ254" s="420"/>
      <c r="AK254" s="421"/>
      <c r="AL254" s="419" t="s">
        <v>263</v>
      </c>
      <c r="AM254" s="420"/>
      <c r="AN254" s="421"/>
      <c r="AO254" s="416"/>
      <c r="AP254" s="417"/>
      <c r="AQ254" s="418"/>
    </row>
    <row r="255" spans="1:43" ht="15" customHeight="1" thickBot="1" x14ac:dyDescent="0.35">
      <c r="A255" s="41">
        <v>2023</v>
      </c>
      <c r="B255" s="123">
        <v>1022.4200000000001</v>
      </c>
      <c r="C255" s="127">
        <v>1022.4200000000001</v>
      </c>
      <c r="D255" s="127">
        <v>1022.4200000000001</v>
      </c>
      <c r="E255" s="123">
        <v>1008.35</v>
      </c>
      <c r="F255" s="127">
        <v>1008.35</v>
      </c>
      <c r="G255" s="128">
        <v>1008.35</v>
      </c>
      <c r="H255" s="123">
        <v>4122.51</v>
      </c>
      <c r="I255" s="127">
        <v>4122.51</v>
      </c>
      <c r="J255" s="128">
        <v>4122.51</v>
      </c>
      <c r="K255" s="127">
        <v>2035.46</v>
      </c>
      <c r="L255" s="127">
        <v>2035.46</v>
      </c>
      <c r="M255" s="128">
        <v>2035.46</v>
      </c>
      <c r="N255" s="127">
        <v>3715.15</v>
      </c>
      <c r="O255" s="127">
        <v>3715.15</v>
      </c>
      <c r="P255" s="128">
        <v>3715.15</v>
      </c>
      <c r="Q255" s="127">
        <v>5130.8600000000006</v>
      </c>
      <c r="R255" s="127">
        <v>5130.8600000000006</v>
      </c>
      <c r="S255" s="128">
        <v>5130.8600000000006</v>
      </c>
      <c r="T255" s="83">
        <v>396.64000000000004</v>
      </c>
      <c r="U255" s="1">
        <v>396.64000000000004</v>
      </c>
      <c r="V255" s="89">
        <v>396.64000000000004</v>
      </c>
      <c r="X255" s="123">
        <v>1285.73</v>
      </c>
      <c r="Y255" s="127">
        <v>1285.73</v>
      </c>
      <c r="Z255" s="128">
        <v>1285.73</v>
      </c>
      <c r="AA255" s="127">
        <v>2104.4700000000003</v>
      </c>
      <c r="AB255" s="127">
        <v>2104.4700000000003</v>
      </c>
      <c r="AC255" s="128">
        <v>2104.4700000000003</v>
      </c>
      <c r="AE255" s="290"/>
      <c r="AF255" s="78" t="s">
        <v>18</v>
      </c>
      <c r="AG255" s="79" t="s">
        <v>19</v>
      </c>
      <c r="AH255" s="80" t="s">
        <v>22</v>
      </c>
      <c r="AI255" s="78" t="s">
        <v>18</v>
      </c>
      <c r="AJ255" s="79" t="s">
        <v>19</v>
      </c>
      <c r="AK255" s="80" t="s">
        <v>22</v>
      </c>
      <c r="AL255" s="78" t="s">
        <v>18</v>
      </c>
      <c r="AM255" s="79" t="s">
        <v>19</v>
      </c>
      <c r="AN255" s="80" t="s">
        <v>22</v>
      </c>
      <c r="AO255" s="78" t="s">
        <v>18</v>
      </c>
      <c r="AP255" s="79" t="s">
        <v>19</v>
      </c>
      <c r="AQ255" s="80" t="s">
        <v>22</v>
      </c>
    </row>
    <row r="256" spans="1:43" x14ac:dyDescent="0.3">
      <c r="A256" s="41">
        <v>2024</v>
      </c>
      <c r="B256" s="123">
        <v>984.23</v>
      </c>
      <c r="C256" s="127">
        <v>985.57</v>
      </c>
      <c r="D256" s="127">
        <v>974.18000000000006</v>
      </c>
      <c r="E256" s="123">
        <v>959.44</v>
      </c>
      <c r="F256" s="127">
        <v>960.78000000000009</v>
      </c>
      <c r="G256" s="128">
        <v>944.03000000000009</v>
      </c>
      <c r="H256" s="123">
        <v>3987.84</v>
      </c>
      <c r="I256" s="127">
        <v>3987.84</v>
      </c>
      <c r="J256" s="128">
        <v>4036.0800000000004</v>
      </c>
      <c r="K256" s="127">
        <v>1963.7700000000002</v>
      </c>
      <c r="L256" s="127">
        <v>1967.1200000000001</v>
      </c>
      <c r="M256" s="128">
        <v>1968.46</v>
      </c>
      <c r="N256" s="127">
        <v>3512.8100000000004</v>
      </c>
      <c r="O256" s="127">
        <v>3652.17</v>
      </c>
      <c r="P256" s="128">
        <v>3684.3300000000004</v>
      </c>
      <c r="Q256" s="127">
        <v>4769.0600000000004</v>
      </c>
      <c r="R256" s="127">
        <v>4966.71</v>
      </c>
      <c r="S256" s="128">
        <v>5016.96</v>
      </c>
      <c r="T256" s="83">
        <v>347.73</v>
      </c>
      <c r="U256" s="1">
        <v>361.13</v>
      </c>
      <c r="V256" s="89">
        <v>353.76000000000005</v>
      </c>
      <c r="X256" s="123">
        <v>1039.8400000000001</v>
      </c>
      <c r="Y256" s="127">
        <v>1086.74</v>
      </c>
      <c r="Z256" s="128">
        <v>1055.25</v>
      </c>
      <c r="AA256" s="127">
        <v>1701.8000000000002</v>
      </c>
      <c r="AB256" s="127">
        <v>1778.8500000000001</v>
      </c>
      <c r="AC256" s="128">
        <v>1726.5900000000001</v>
      </c>
      <c r="AE256" s="52">
        <v>2023</v>
      </c>
      <c r="AF256" s="122">
        <v>31.320698515294062</v>
      </c>
      <c r="AG256" s="125">
        <v>42.035674323157828</v>
      </c>
      <c r="AH256" s="126">
        <v>52.75065013102158</v>
      </c>
      <c r="AI256" s="122">
        <v>44.083574346286319</v>
      </c>
      <c r="AJ256" s="125">
        <v>58.524745252828389</v>
      </c>
      <c r="AK256" s="126">
        <v>72.965916159370465</v>
      </c>
      <c r="AL256" s="122">
        <v>97.938869926664339</v>
      </c>
      <c r="AM256" s="125">
        <v>112.62970041566399</v>
      </c>
      <c r="AN256" s="126">
        <v>127.32053090466363</v>
      </c>
      <c r="AO256" s="122">
        <v>90.029135276485192</v>
      </c>
      <c r="AP256" s="125">
        <v>101.22094648103895</v>
      </c>
      <c r="AQ256" s="126">
        <v>112.41275768559271</v>
      </c>
    </row>
    <row r="257" spans="1:43" x14ac:dyDescent="0.3">
      <c r="A257" s="41">
        <v>2025</v>
      </c>
      <c r="B257" s="123">
        <v>947.38000000000011</v>
      </c>
      <c r="C257" s="127">
        <v>950.73</v>
      </c>
      <c r="D257" s="127">
        <v>928.62</v>
      </c>
      <c r="E257" s="123">
        <v>912.54000000000008</v>
      </c>
      <c r="F257" s="127">
        <v>915.22</v>
      </c>
      <c r="G257" s="128">
        <v>883.06000000000006</v>
      </c>
      <c r="H257" s="123">
        <v>3825.7000000000003</v>
      </c>
      <c r="I257" s="127">
        <v>3825.7000000000003</v>
      </c>
      <c r="J257" s="128">
        <v>3952.3300000000004</v>
      </c>
      <c r="K257" s="127">
        <v>1894.7600000000002</v>
      </c>
      <c r="L257" s="127">
        <v>1901.46</v>
      </c>
      <c r="M257" s="128">
        <v>1904.14</v>
      </c>
      <c r="N257" s="127">
        <v>3318.51</v>
      </c>
      <c r="O257" s="127">
        <v>3591.2000000000003</v>
      </c>
      <c r="P257" s="128">
        <v>3655.5200000000004</v>
      </c>
      <c r="Q257" s="127">
        <v>4426.0200000000004</v>
      </c>
      <c r="R257" s="127">
        <v>4808.59</v>
      </c>
      <c r="S257" s="128">
        <v>4906.41</v>
      </c>
      <c r="T257" s="83">
        <v>304.85000000000002</v>
      </c>
      <c r="U257" s="1">
        <v>328.97</v>
      </c>
      <c r="V257" s="89">
        <v>316.24</v>
      </c>
      <c r="X257" s="123">
        <v>857.6</v>
      </c>
      <c r="Y257" s="127">
        <v>937.33</v>
      </c>
      <c r="Z257" s="128">
        <v>883.06000000000006</v>
      </c>
      <c r="AA257" s="127">
        <v>1506.16</v>
      </c>
      <c r="AB257" s="127">
        <v>1603.98</v>
      </c>
      <c r="AC257" s="128">
        <v>1567.13</v>
      </c>
      <c r="AE257" s="24">
        <v>2030</v>
      </c>
      <c r="AF257" s="123">
        <v>24.888452562066121</v>
      </c>
      <c r="AG257" s="127">
        <v>33.501374470387589</v>
      </c>
      <c r="AH257" s="128">
        <v>42.114296378709057</v>
      </c>
      <c r="AI257" s="123">
        <v>35.10213881519595</v>
      </c>
      <c r="AJ257" s="127">
        <v>47.04721054979801</v>
      </c>
      <c r="AK257" s="128">
        <v>58.992282284400069</v>
      </c>
      <c r="AL257" s="123">
        <v>70.257974967374338</v>
      </c>
      <c r="AM257" s="127">
        <v>95.991450171337547</v>
      </c>
      <c r="AN257" s="128">
        <v>121.72492537530076</v>
      </c>
      <c r="AO257" s="123">
        <v>72.75252995668977</v>
      </c>
      <c r="AP257" s="127">
        <v>85.95729189170504</v>
      </c>
      <c r="AQ257" s="128">
        <v>99.162053826720324</v>
      </c>
    </row>
    <row r="258" spans="1:43" x14ac:dyDescent="0.3">
      <c r="A258" s="41">
        <v>2026</v>
      </c>
      <c r="B258" s="123">
        <v>911.87</v>
      </c>
      <c r="C258" s="127">
        <v>916.56000000000006</v>
      </c>
      <c r="D258" s="127">
        <v>885.07</v>
      </c>
      <c r="E258" s="123">
        <v>867.65000000000009</v>
      </c>
      <c r="F258" s="127">
        <v>872.34</v>
      </c>
      <c r="G258" s="128">
        <v>825.44</v>
      </c>
      <c r="H258" s="123">
        <v>3676.96</v>
      </c>
      <c r="I258" s="127">
        <v>3676.96</v>
      </c>
      <c r="J258" s="128">
        <v>3858.53</v>
      </c>
      <c r="K258" s="127">
        <v>1828.43</v>
      </c>
      <c r="L258" s="127">
        <v>1837.8100000000002</v>
      </c>
      <c r="M258" s="128">
        <v>1841.8300000000002</v>
      </c>
      <c r="N258" s="127">
        <v>3135.6000000000004</v>
      </c>
      <c r="O258" s="127">
        <v>3531.57</v>
      </c>
      <c r="P258" s="128">
        <v>3626.71</v>
      </c>
      <c r="Q258" s="127">
        <v>4107.7700000000004</v>
      </c>
      <c r="R258" s="127">
        <v>4655.16</v>
      </c>
      <c r="S258" s="128">
        <v>4798.54</v>
      </c>
      <c r="T258" s="83">
        <v>267.33000000000004</v>
      </c>
      <c r="U258" s="1">
        <v>300.16000000000003</v>
      </c>
      <c r="V258" s="89">
        <v>283.41000000000003</v>
      </c>
      <c r="X258" s="123">
        <v>717.57</v>
      </c>
      <c r="Y258" s="127">
        <v>819.41000000000008</v>
      </c>
      <c r="Z258" s="128">
        <v>749.06000000000006</v>
      </c>
      <c r="AA258" s="127">
        <v>1333.3000000000002</v>
      </c>
      <c r="AB258" s="127">
        <v>1446.53</v>
      </c>
      <c r="AC258" s="128">
        <v>1423.0800000000002</v>
      </c>
      <c r="AE258" s="24">
        <v>2040</v>
      </c>
      <c r="AF258" s="123">
        <v>18.914290955509934</v>
      </c>
      <c r="AG258" s="127">
        <v>27.827525876782641</v>
      </c>
      <c r="AH258" s="128">
        <v>36.740760798055348</v>
      </c>
      <c r="AI258" s="123">
        <v>28.684719778636634</v>
      </c>
      <c r="AJ258" s="127">
        <v>39.067141173402483</v>
      </c>
      <c r="AK258" s="128">
        <v>49.449562568168332</v>
      </c>
      <c r="AL258" s="123">
        <v>54.5145410319493</v>
      </c>
      <c r="AM258" s="127">
        <v>85.499082863794541</v>
      </c>
      <c r="AN258" s="128">
        <v>116.48362469563978</v>
      </c>
      <c r="AO258" s="123">
        <v>59.826812241906765</v>
      </c>
      <c r="AP258" s="127">
        <v>74.166145209053781</v>
      </c>
      <c r="AQ258" s="128">
        <v>88.505478176200796</v>
      </c>
    </row>
    <row r="259" spans="1:43" ht="15" thickBot="1" x14ac:dyDescent="0.35">
      <c r="A259" s="41">
        <v>2027</v>
      </c>
      <c r="B259" s="123">
        <v>876.36</v>
      </c>
      <c r="C259" s="127">
        <v>882.3900000000001</v>
      </c>
      <c r="D259" s="127">
        <v>848.22</v>
      </c>
      <c r="E259" s="123">
        <v>825.44</v>
      </c>
      <c r="F259" s="127">
        <v>830.80000000000007</v>
      </c>
      <c r="G259" s="128">
        <v>781.22</v>
      </c>
      <c r="H259" s="123">
        <v>3561.05</v>
      </c>
      <c r="I259" s="127">
        <v>3561.05</v>
      </c>
      <c r="J259" s="128">
        <v>3771.4300000000003</v>
      </c>
      <c r="K259" s="127">
        <v>1762.7700000000002</v>
      </c>
      <c r="L259" s="127">
        <v>1774.8300000000002</v>
      </c>
      <c r="M259" s="128">
        <v>1780.19</v>
      </c>
      <c r="N259" s="127">
        <v>2960.73</v>
      </c>
      <c r="O259" s="127">
        <v>3469.9300000000003</v>
      </c>
      <c r="P259" s="128">
        <v>3595.8900000000003</v>
      </c>
      <c r="Q259" s="127">
        <v>3809.6200000000003</v>
      </c>
      <c r="R259" s="127">
        <v>4503.7400000000007</v>
      </c>
      <c r="S259" s="128">
        <v>4689.33</v>
      </c>
      <c r="T259" s="83">
        <v>234.5</v>
      </c>
      <c r="U259" s="1">
        <v>273.36</v>
      </c>
      <c r="V259" s="89">
        <v>253.93</v>
      </c>
      <c r="X259" s="123">
        <v>604.34</v>
      </c>
      <c r="Y259" s="127">
        <v>720.92000000000007</v>
      </c>
      <c r="Z259" s="128">
        <v>639.85</v>
      </c>
      <c r="AA259" s="127">
        <v>1177.19</v>
      </c>
      <c r="AB259" s="127">
        <v>1301.1400000000001</v>
      </c>
      <c r="AC259" s="128">
        <v>1288.4100000000001</v>
      </c>
      <c r="AE259" s="25">
        <v>2050</v>
      </c>
      <c r="AF259" s="124">
        <v>14.475653915457011</v>
      </c>
      <c r="AG259" s="129">
        <v>22.549127082307262</v>
      </c>
      <c r="AH259" s="130">
        <v>30.622600249157514</v>
      </c>
      <c r="AI259" s="124">
        <v>27.248336276563961</v>
      </c>
      <c r="AJ259" s="129">
        <v>37.931866446160704</v>
      </c>
      <c r="AK259" s="130">
        <v>48.615396615757454</v>
      </c>
      <c r="AL259" s="124">
        <v>50.190587769408978</v>
      </c>
      <c r="AM259" s="129">
        <v>81.93611531636256</v>
      </c>
      <c r="AN259" s="130">
        <v>113.68164286331614</v>
      </c>
      <c r="AO259" s="124">
        <v>50.796037396954283</v>
      </c>
      <c r="AP259" s="129">
        <v>63.921561112815148</v>
      </c>
      <c r="AQ259" s="130">
        <v>77.047084828676006</v>
      </c>
    </row>
    <row r="260" spans="1:43" x14ac:dyDescent="0.3">
      <c r="A260" s="41">
        <v>2028</v>
      </c>
      <c r="B260" s="123">
        <v>841.5200000000001</v>
      </c>
      <c r="C260" s="127">
        <v>848.8900000000001</v>
      </c>
      <c r="D260" s="127">
        <v>820.08</v>
      </c>
      <c r="E260" s="123">
        <v>784.57</v>
      </c>
      <c r="F260" s="127">
        <v>791.2700000000001</v>
      </c>
      <c r="G260" s="128">
        <v>750.40000000000009</v>
      </c>
      <c r="H260" s="123">
        <v>3449.8300000000004</v>
      </c>
      <c r="I260" s="127">
        <v>3449.8300000000004</v>
      </c>
      <c r="J260" s="128">
        <v>3694.38</v>
      </c>
      <c r="K260" s="127">
        <v>1699.7900000000002</v>
      </c>
      <c r="L260" s="127">
        <v>1713.8600000000001</v>
      </c>
      <c r="M260" s="128">
        <v>1720.5600000000002</v>
      </c>
      <c r="N260" s="127">
        <v>2795.2400000000002</v>
      </c>
      <c r="O260" s="127">
        <v>3409.63</v>
      </c>
      <c r="P260" s="128">
        <v>3565.07</v>
      </c>
      <c r="Q260" s="127">
        <v>3532.9100000000003</v>
      </c>
      <c r="R260" s="127">
        <v>4357.01</v>
      </c>
      <c r="S260" s="128">
        <v>4582.8</v>
      </c>
      <c r="T260" s="83">
        <v>205.69000000000003</v>
      </c>
      <c r="U260" s="1">
        <v>249.24</v>
      </c>
      <c r="V260" s="89">
        <v>245.22000000000003</v>
      </c>
      <c r="X260" s="123">
        <v>512.55000000000007</v>
      </c>
      <c r="Y260" s="127">
        <v>639.85</v>
      </c>
      <c r="Z260" s="128">
        <v>604.34</v>
      </c>
      <c r="AA260" s="127">
        <v>1038.5</v>
      </c>
      <c r="AB260" s="127">
        <v>1169.8200000000002</v>
      </c>
      <c r="AC260" s="128">
        <v>1166.47</v>
      </c>
    </row>
    <row r="261" spans="1:43" x14ac:dyDescent="0.3">
      <c r="A261" s="41">
        <v>2029</v>
      </c>
      <c r="B261" s="123">
        <v>808.69</v>
      </c>
      <c r="C261" s="127">
        <v>817.40000000000009</v>
      </c>
      <c r="D261" s="127">
        <v>801.32</v>
      </c>
      <c r="E261" s="123">
        <v>746.38</v>
      </c>
      <c r="F261" s="127">
        <v>753.75</v>
      </c>
      <c r="G261" s="128">
        <v>732.98</v>
      </c>
      <c r="H261" s="123">
        <v>3321.86</v>
      </c>
      <c r="I261" s="127">
        <v>3321.86</v>
      </c>
      <c r="J261" s="128">
        <v>3618.67</v>
      </c>
      <c r="K261" s="127">
        <v>1638.15</v>
      </c>
      <c r="L261" s="127">
        <v>1655.5700000000002</v>
      </c>
      <c r="M261" s="128">
        <v>1662.94</v>
      </c>
      <c r="N261" s="127">
        <v>2639.8</v>
      </c>
      <c r="O261" s="127">
        <v>3350.67</v>
      </c>
      <c r="P261" s="128">
        <v>3534.25</v>
      </c>
      <c r="Q261" s="127">
        <v>3276.3</v>
      </c>
      <c r="R261" s="127">
        <v>4215.6400000000003</v>
      </c>
      <c r="S261" s="128">
        <v>4478.95</v>
      </c>
      <c r="T261" s="83">
        <v>180.23000000000002</v>
      </c>
      <c r="U261" s="1">
        <v>227.13000000000002</v>
      </c>
      <c r="V261" s="89">
        <v>237.85000000000002</v>
      </c>
      <c r="X261" s="123">
        <v>438.18</v>
      </c>
      <c r="Y261" s="127">
        <v>571.51</v>
      </c>
      <c r="Z261" s="128">
        <v>572.85</v>
      </c>
      <c r="AA261" s="127">
        <v>916.56000000000006</v>
      </c>
      <c r="AB261" s="127">
        <v>1051.9000000000001</v>
      </c>
      <c r="AC261" s="128">
        <v>1055.92</v>
      </c>
    </row>
    <row r="262" spans="1:43" x14ac:dyDescent="0.3">
      <c r="A262" s="41">
        <v>2030</v>
      </c>
      <c r="B262" s="123">
        <v>781.22</v>
      </c>
      <c r="C262" s="127">
        <v>785.24</v>
      </c>
      <c r="D262" s="127">
        <v>785.91000000000008</v>
      </c>
      <c r="E262" s="123">
        <v>715.56000000000006</v>
      </c>
      <c r="F262" s="127">
        <v>718.91000000000008</v>
      </c>
      <c r="G262" s="128">
        <v>717.57</v>
      </c>
      <c r="H262" s="123">
        <v>3194.5600000000004</v>
      </c>
      <c r="I262" s="127">
        <v>3194.5600000000004</v>
      </c>
      <c r="J262" s="128">
        <v>3551.67</v>
      </c>
      <c r="K262" s="127">
        <v>1579.8600000000001</v>
      </c>
      <c r="L262" s="127">
        <v>1598.6200000000001</v>
      </c>
      <c r="M262" s="128">
        <v>1607.3300000000002</v>
      </c>
      <c r="N262" s="127">
        <v>2492.4</v>
      </c>
      <c r="O262" s="127">
        <v>3292.38</v>
      </c>
      <c r="P262" s="128">
        <v>3504.1000000000004</v>
      </c>
      <c r="Q262" s="127">
        <v>3039.1200000000003</v>
      </c>
      <c r="R262" s="127">
        <v>4078.2900000000004</v>
      </c>
      <c r="S262" s="128">
        <v>4377.1100000000006</v>
      </c>
      <c r="T262" s="83">
        <v>158.12</v>
      </c>
      <c r="U262" s="1">
        <v>207.03</v>
      </c>
      <c r="V262" s="89">
        <v>230.48000000000002</v>
      </c>
      <c r="X262" s="123">
        <v>376.54</v>
      </c>
      <c r="Y262" s="127">
        <v>513.22</v>
      </c>
      <c r="Z262" s="128">
        <v>517.91000000000008</v>
      </c>
      <c r="AA262" s="127">
        <v>809.36</v>
      </c>
      <c r="AB262" s="127">
        <v>946.04000000000008</v>
      </c>
      <c r="AC262" s="128">
        <v>956.09</v>
      </c>
    </row>
    <row r="263" spans="1:43" x14ac:dyDescent="0.3">
      <c r="A263" s="41">
        <v>2031</v>
      </c>
      <c r="B263" s="123">
        <v>757.7700000000001</v>
      </c>
      <c r="C263" s="127">
        <v>761.12</v>
      </c>
      <c r="D263" s="127">
        <v>770.5</v>
      </c>
      <c r="E263" s="123">
        <v>691.44</v>
      </c>
      <c r="F263" s="127">
        <v>694.12</v>
      </c>
      <c r="G263" s="128">
        <v>702.83</v>
      </c>
      <c r="H263" s="123">
        <v>3084.01</v>
      </c>
      <c r="I263" s="127">
        <v>3084.01</v>
      </c>
      <c r="J263" s="128">
        <v>3490.7000000000003</v>
      </c>
      <c r="K263" s="127">
        <v>1522.91</v>
      </c>
      <c r="L263" s="127">
        <v>1544.3500000000001</v>
      </c>
      <c r="M263" s="128">
        <v>1553.0600000000002</v>
      </c>
      <c r="N263" s="127">
        <v>2353.04</v>
      </c>
      <c r="O263" s="127">
        <v>3235.4300000000003</v>
      </c>
      <c r="P263" s="128">
        <v>3474.6200000000003</v>
      </c>
      <c r="Q263" s="127">
        <v>2818.02</v>
      </c>
      <c r="R263" s="127">
        <v>3945.63</v>
      </c>
      <c r="S263" s="128">
        <v>4277.95</v>
      </c>
      <c r="T263" s="83">
        <v>145.39000000000001</v>
      </c>
      <c r="U263" s="1">
        <v>182.24</v>
      </c>
      <c r="V263" s="89">
        <v>217.08</v>
      </c>
      <c r="X263" s="123">
        <v>355.1</v>
      </c>
      <c r="Y263" s="127">
        <v>478.38000000000005</v>
      </c>
      <c r="Z263" s="128">
        <v>491.78000000000003</v>
      </c>
      <c r="AA263" s="127">
        <v>714.22</v>
      </c>
      <c r="AB263" s="127">
        <v>850.90000000000009</v>
      </c>
      <c r="AC263" s="128">
        <v>865.6400000000001</v>
      </c>
    </row>
    <row r="264" spans="1:43" x14ac:dyDescent="0.3">
      <c r="A264" s="41">
        <v>2032</v>
      </c>
      <c r="B264" s="123">
        <v>743.7</v>
      </c>
      <c r="C264" s="127">
        <v>750.40000000000009</v>
      </c>
      <c r="D264" s="127">
        <v>756.43000000000006</v>
      </c>
      <c r="E264" s="123">
        <v>677.37</v>
      </c>
      <c r="F264" s="127">
        <v>683.40000000000009</v>
      </c>
      <c r="G264" s="128">
        <v>689.43000000000006</v>
      </c>
      <c r="H264" s="123">
        <v>3002.94</v>
      </c>
      <c r="I264" s="127">
        <v>3002.94</v>
      </c>
      <c r="J264" s="128">
        <v>3435.09</v>
      </c>
      <c r="K264" s="127">
        <v>1467.97</v>
      </c>
      <c r="L264" s="127">
        <v>1491.42</v>
      </c>
      <c r="M264" s="128">
        <v>1500.8000000000002</v>
      </c>
      <c r="N264" s="127">
        <v>2221.7200000000003</v>
      </c>
      <c r="O264" s="127">
        <v>3179.15</v>
      </c>
      <c r="P264" s="128">
        <v>3444.4700000000003</v>
      </c>
      <c r="Q264" s="127">
        <v>2613.67</v>
      </c>
      <c r="R264" s="127">
        <v>3816.9900000000002</v>
      </c>
      <c r="S264" s="128">
        <v>4180.8</v>
      </c>
      <c r="T264" s="83">
        <v>132.66</v>
      </c>
      <c r="U264" s="1">
        <v>158.12</v>
      </c>
      <c r="V264" s="89">
        <v>204.35000000000002</v>
      </c>
      <c r="X264" s="123">
        <v>334.33000000000004</v>
      </c>
      <c r="Y264" s="127">
        <v>456.94000000000005</v>
      </c>
      <c r="Z264" s="128">
        <v>472.35</v>
      </c>
      <c r="AA264" s="127">
        <v>630.47</v>
      </c>
      <c r="AB264" s="127">
        <v>765.1400000000001</v>
      </c>
      <c r="AC264" s="128">
        <v>783.90000000000009</v>
      </c>
    </row>
    <row r="265" spans="1:43" x14ac:dyDescent="0.3">
      <c r="A265" s="41">
        <v>2033</v>
      </c>
      <c r="B265" s="123">
        <v>733.65000000000009</v>
      </c>
      <c r="C265" s="127">
        <v>739.01</v>
      </c>
      <c r="D265" s="127">
        <v>744.37</v>
      </c>
      <c r="E265" s="123">
        <v>667.99</v>
      </c>
      <c r="F265" s="127">
        <v>672.01</v>
      </c>
      <c r="G265" s="128">
        <v>676.7</v>
      </c>
      <c r="H265" s="123">
        <v>2926.5600000000004</v>
      </c>
      <c r="I265" s="127">
        <v>2926.5600000000004</v>
      </c>
      <c r="J265" s="128">
        <v>3384.17</v>
      </c>
      <c r="K265" s="127">
        <v>1415.71</v>
      </c>
      <c r="L265" s="127">
        <v>1440.5</v>
      </c>
      <c r="M265" s="128">
        <v>1450.5500000000002</v>
      </c>
      <c r="N265" s="127">
        <v>2097.77</v>
      </c>
      <c r="O265" s="127">
        <v>3124.21</v>
      </c>
      <c r="P265" s="128">
        <v>3415.6600000000003</v>
      </c>
      <c r="Q265" s="127">
        <v>2424.06</v>
      </c>
      <c r="R265" s="127">
        <v>3693.0400000000004</v>
      </c>
      <c r="S265" s="128">
        <v>4086.3300000000004</v>
      </c>
      <c r="T265" s="83">
        <v>131.32000000000002</v>
      </c>
      <c r="U265" s="1">
        <v>154.10000000000002</v>
      </c>
      <c r="V265" s="89">
        <v>198.32000000000002</v>
      </c>
      <c r="X265" s="123">
        <v>320.93</v>
      </c>
      <c r="Y265" s="127">
        <v>431.48</v>
      </c>
      <c r="Z265" s="128">
        <v>455.6</v>
      </c>
      <c r="AA265" s="127">
        <v>556.77</v>
      </c>
      <c r="AB265" s="127">
        <v>688.09</v>
      </c>
      <c r="AC265" s="128">
        <v>709.53000000000009</v>
      </c>
    </row>
    <row r="266" spans="1:43" x14ac:dyDescent="0.3">
      <c r="A266" s="41">
        <v>2034</v>
      </c>
      <c r="B266" s="123">
        <v>729.63</v>
      </c>
      <c r="C266" s="127">
        <v>732.31000000000006</v>
      </c>
      <c r="D266" s="127">
        <v>734.99</v>
      </c>
      <c r="E266" s="123">
        <v>662.63</v>
      </c>
      <c r="F266" s="127">
        <v>665.31000000000006</v>
      </c>
      <c r="G266" s="128">
        <v>667.99</v>
      </c>
      <c r="H266" s="123">
        <v>2862.2400000000002</v>
      </c>
      <c r="I266" s="127">
        <v>2862.2400000000002</v>
      </c>
      <c r="J266" s="128">
        <v>3336.6000000000004</v>
      </c>
      <c r="K266" s="127">
        <v>1364.7900000000002</v>
      </c>
      <c r="L266" s="127">
        <v>1390.92</v>
      </c>
      <c r="M266" s="128">
        <v>1402.3100000000002</v>
      </c>
      <c r="N266" s="127">
        <v>1981.19</v>
      </c>
      <c r="O266" s="127">
        <v>3069.94</v>
      </c>
      <c r="P266" s="128">
        <v>3386.1800000000003</v>
      </c>
      <c r="Q266" s="127">
        <v>2248.52</v>
      </c>
      <c r="R266" s="127">
        <v>3573.11</v>
      </c>
      <c r="S266" s="128">
        <v>3993.8700000000003</v>
      </c>
      <c r="T266" s="83">
        <v>130.65</v>
      </c>
      <c r="U266" s="1">
        <v>151.42000000000002</v>
      </c>
      <c r="V266" s="89">
        <v>193.63000000000002</v>
      </c>
      <c r="X266" s="123">
        <v>305.52000000000004</v>
      </c>
      <c r="Y266" s="127">
        <v>410.04</v>
      </c>
      <c r="Z266" s="128">
        <v>440.19000000000005</v>
      </c>
      <c r="AA266" s="127">
        <v>491.78000000000003</v>
      </c>
      <c r="AB266" s="127">
        <v>619.08000000000004</v>
      </c>
      <c r="AC266" s="128">
        <v>642.53000000000009</v>
      </c>
    </row>
    <row r="267" spans="1:43" x14ac:dyDescent="0.3">
      <c r="A267" s="41">
        <v>2035</v>
      </c>
      <c r="B267" s="123">
        <v>724.94</v>
      </c>
      <c r="C267" s="127">
        <v>724.94</v>
      </c>
      <c r="D267" s="127">
        <v>724.94</v>
      </c>
      <c r="E267" s="123">
        <v>657.94</v>
      </c>
      <c r="F267" s="127">
        <v>657.94</v>
      </c>
      <c r="G267" s="128">
        <v>657.94</v>
      </c>
      <c r="H267" s="123">
        <v>2796.5800000000004</v>
      </c>
      <c r="I267" s="127">
        <v>2796.5800000000004</v>
      </c>
      <c r="J267" s="128">
        <v>3291.71</v>
      </c>
      <c r="K267" s="127">
        <v>1330.6200000000001</v>
      </c>
      <c r="L267" s="127">
        <v>1358.0900000000001</v>
      </c>
      <c r="M267" s="128">
        <v>1370.15</v>
      </c>
      <c r="N267" s="127">
        <v>1902.8000000000002</v>
      </c>
      <c r="O267" s="127">
        <v>3029.7400000000002</v>
      </c>
      <c r="P267" s="128">
        <v>3363.4</v>
      </c>
      <c r="Q267" s="127">
        <v>2134.6200000000003</v>
      </c>
      <c r="R267" s="127">
        <v>3491.3700000000003</v>
      </c>
      <c r="S267" s="128">
        <v>3932.9</v>
      </c>
      <c r="T267" s="83">
        <v>129.31</v>
      </c>
      <c r="U267" s="1">
        <v>148.07000000000002</v>
      </c>
      <c r="V267" s="89">
        <v>186.93</v>
      </c>
      <c r="X267" s="123">
        <v>290.78000000000003</v>
      </c>
      <c r="Y267" s="127">
        <v>388.6</v>
      </c>
      <c r="Z267" s="128">
        <v>426.12</v>
      </c>
      <c r="AA267" s="127">
        <v>434.16</v>
      </c>
      <c r="AB267" s="127">
        <v>556.77</v>
      </c>
      <c r="AC267" s="128">
        <v>581.56000000000006</v>
      </c>
    </row>
    <row r="268" spans="1:43" x14ac:dyDescent="0.3">
      <c r="A268" s="41">
        <v>2036</v>
      </c>
      <c r="B268" s="123">
        <v>710.87</v>
      </c>
      <c r="C268" s="127">
        <v>713.55000000000007</v>
      </c>
      <c r="D268" s="127">
        <v>716.23</v>
      </c>
      <c r="E268" s="123">
        <v>644.54000000000008</v>
      </c>
      <c r="F268" s="127">
        <v>647.22</v>
      </c>
      <c r="G268" s="128">
        <v>649.23</v>
      </c>
      <c r="H268" s="123">
        <v>2740.9700000000003</v>
      </c>
      <c r="I268" s="127">
        <v>2740.9700000000003</v>
      </c>
      <c r="J268" s="128">
        <v>3250.17</v>
      </c>
      <c r="K268" s="127">
        <v>1306.5</v>
      </c>
      <c r="L268" s="127">
        <v>1340.67</v>
      </c>
      <c r="M268" s="128">
        <v>1353.4</v>
      </c>
      <c r="N268" s="127">
        <v>1862.6000000000001</v>
      </c>
      <c r="O268" s="127">
        <v>3006.96</v>
      </c>
      <c r="P268" s="128">
        <v>3347.32</v>
      </c>
      <c r="Q268" s="127">
        <v>2079.0100000000002</v>
      </c>
      <c r="R268" s="127">
        <v>3449.8300000000004</v>
      </c>
      <c r="S268" s="128">
        <v>3903.42</v>
      </c>
      <c r="T268" s="83">
        <v>127.97000000000001</v>
      </c>
      <c r="U268" s="1">
        <v>145.39000000000001</v>
      </c>
      <c r="V268" s="89">
        <v>182.24</v>
      </c>
      <c r="X268" s="123">
        <v>278.05</v>
      </c>
      <c r="Y268" s="127">
        <v>377.88</v>
      </c>
      <c r="Z268" s="128">
        <v>414.06</v>
      </c>
      <c r="AA268" s="127">
        <v>383.24</v>
      </c>
      <c r="AB268" s="127">
        <v>500.49</v>
      </c>
      <c r="AC268" s="128">
        <v>526.62</v>
      </c>
    </row>
    <row r="269" spans="1:43" x14ac:dyDescent="0.3">
      <c r="A269" s="41">
        <v>2037</v>
      </c>
      <c r="B269" s="123">
        <v>688.76</v>
      </c>
      <c r="C269" s="127">
        <v>697.47</v>
      </c>
      <c r="D269" s="127">
        <v>706.18000000000006</v>
      </c>
      <c r="E269" s="123">
        <v>623.77</v>
      </c>
      <c r="F269" s="127">
        <v>631.14</v>
      </c>
      <c r="G269" s="128">
        <v>639.18000000000006</v>
      </c>
      <c r="H269" s="123">
        <v>2684.02</v>
      </c>
      <c r="I269" s="127">
        <v>2684.02</v>
      </c>
      <c r="J269" s="128">
        <v>3210.6400000000003</v>
      </c>
      <c r="K269" s="127">
        <v>1292.43</v>
      </c>
      <c r="L269" s="127">
        <v>1333.97</v>
      </c>
      <c r="M269" s="128">
        <v>1345.3600000000001</v>
      </c>
      <c r="N269" s="127">
        <v>1857.24</v>
      </c>
      <c r="O269" s="127">
        <v>2996.2400000000002</v>
      </c>
      <c r="P269" s="128">
        <v>3337.27</v>
      </c>
      <c r="Q269" s="127">
        <v>2077.67</v>
      </c>
      <c r="R269" s="127">
        <v>3443.13</v>
      </c>
      <c r="S269" s="128">
        <v>3902.0800000000004</v>
      </c>
      <c r="T269" s="83">
        <v>127.30000000000001</v>
      </c>
      <c r="U269" s="1">
        <v>143.38</v>
      </c>
      <c r="V269" s="89">
        <v>178.89000000000001</v>
      </c>
      <c r="X269" s="123">
        <v>265.99</v>
      </c>
      <c r="Y269" s="127">
        <v>367.16</v>
      </c>
      <c r="Z269" s="128">
        <v>402.67</v>
      </c>
      <c r="AA269" s="127">
        <v>338.35</v>
      </c>
      <c r="AB269" s="127">
        <v>450.24</v>
      </c>
      <c r="AC269" s="128">
        <v>477.04</v>
      </c>
    </row>
    <row r="270" spans="1:43" x14ac:dyDescent="0.3">
      <c r="A270" s="41">
        <v>2038</v>
      </c>
      <c r="B270" s="123">
        <v>647.89</v>
      </c>
      <c r="C270" s="127">
        <v>672.68000000000006</v>
      </c>
      <c r="D270" s="127">
        <v>697.47</v>
      </c>
      <c r="E270" s="123">
        <v>586.25</v>
      </c>
      <c r="F270" s="127">
        <v>608.36</v>
      </c>
      <c r="G270" s="128">
        <v>630.47</v>
      </c>
      <c r="H270" s="123">
        <v>2631.76</v>
      </c>
      <c r="I270" s="127">
        <v>2631.76</v>
      </c>
      <c r="J270" s="128">
        <v>3173.1200000000003</v>
      </c>
      <c r="K270" s="127">
        <v>1275.68</v>
      </c>
      <c r="L270" s="127">
        <v>1323.92</v>
      </c>
      <c r="M270" s="128">
        <v>1334.64</v>
      </c>
      <c r="N270" s="127">
        <v>1853.22</v>
      </c>
      <c r="O270" s="127">
        <v>2983.51</v>
      </c>
      <c r="P270" s="128">
        <v>3327.2200000000003</v>
      </c>
      <c r="Q270" s="127">
        <v>2077.67</v>
      </c>
      <c r="R270" s="127">
        <v>3435.76</v>
      </c>
      <c r="S270" s="128">
        <v>3888.01</v>
      </c>
      <c r="T270" s="83">
        <v>127.30000000000001</v>
      </c>
      <c r="U270" s="1">
        <v>141.37</v>
      </c>
      <c r="V270" s="89">
        <v>176.21</v>
      </c>
      <c r="X270" s="123">
        <v>255.27</v>
      </c>
      <c r="Y270" s="127">
        <v>357.78000000000003</v>
      </c>
      <c r="Z270" s="128">
        <v>391.28000000000003</v>
      </c>
      <c r="AA270" s="127">
        <v>298.82</v>
      </c>
      <c r="AB270" s="127">
        <v>405.35</v>
      </c>
      <c r="AC270" s="128">
        <v>432.15000000000003</v>
      </c>
    </row>
    <row r="271" spans="1:43" x14ac:dyDescent="0.3">
      <c r="A271" s="41">
        <v>2039</v>
      </c>
      <c r="B271" s="123">
        <v>604.34</v>
      </c>
      <c r="C271" s="127">
        <v>643.20000000000005</v>
      </c>
      <c r="D271" s="127">
        <v>682.06000000000006</v>
      </c>
      <c r="E271" s="123">
        <v>545.38</v>
      </c>
      <c r="F271" s="127">
        <v>580.89</v>
      </c>
      <c r="G271" s="128">
        <v>615.73</v>
      </c>
      <c r="H271" s="123">
        <v>2566.1000000000004</v>
      </c>
      <c r="I271" s="127">
        <v>2566.1000000000004</v>
      </c>
      <c r="J271" s="128">
        <v>3136.94</v>
      </c>
      <c r="K271" s="127">
        <v>1263.6200000000001</v>
      </c>
      <c r="L271" s="127">
        <v>1312.53</v>
      </c>
      <c r="M271" s="128">
        <v>1321.24</v>
      </c>
      <c r="N271" s="127">
        <v>1849.2</v>
      </c>
      <c r="O271" s="127">
        <v>2948.67</v>
      </c>
      <c r="P271" s="128">
        <v>3317.17</v>
      </c>
      <c r="Q271" s="127">
        <v>2077</v>
      </c>
      <c r="R271" s="127">
        <v>3361.3900000000003</v>
      </c>
      <c r="S271" s="128">
        <v>3859.2000000000003</v>
      </c>
      <c r="T271" s="83">
        <v>126.63000000000001</v>
      </c>
      <c r="U271" s="1">
        <v>140.03</v>
      </c>
      <c r="V271" s="89">
        <v>173.53</v>
      </c>
      <c r="X271" s="123">
        <v>243.21</v>
      </c>
      <c r="Y271" s="127">
        <v>345.72</v>
      </c>
      <c r="Z271" s="128">
        <v>378.55</v>
      </c>
      <c r="AA271" s="127">
        <v>263.31</v>
      </c>
      <c r="AB271" s="127">
        <v>364.48</v>
      </c>
      <c r="AC271" s="128">
        <v>391.28000000000003</v>
      </c>
    </row>
    <row r="272" spans="1:43" x14ac:dyDescent="0.3">
      <c r="A272" s="41">
        <v>2040</v>
      </c>
      <c r="B272" s="123">
        <v>557.44000000000005</v>
      </c>
      <c r="C272" s="127">
        <v>611.71</v>
      </c>
      <c r="D272" s="127">
        <v>665.98</v>
      </c>
      <c r="E272" s="123">
        <v>502.50000000000006</v>
      </c>
      <c r="F272" s="127">
        <v>551.41000000000008</v>
      </c>
      <c r="G272" s="128">
        <v>600.32000000000005</v>
      </c>
      <c r="H272" s="123">
        <v>2499.77</v>
      </c>
      <c r="I272" s="127">
        <v>2499.77</v>
      </c>
      <c r="J272" s="128">
        <v>3092.05</v>
      </c>
      <c r="K272" s="127">
        <v>1253.5700000000002</v>
      </c>
      <c r="L272" s="127">
        <v>1305.8300000000002</v>
      </c>
      <c r="M272" s="128">
        <v>1314.5400000000002</v>
      </c>
      <c r="N272" s="127">
        <v>1845.8500000000001</v>
      </c>
      <c r="O272" s="127">
        <v>2907.13</v>
      </c>
      <c r="P272" s="128">
        <v>3307.1200000000003</v>
      </c>
      <c r="Q272" s="127">
        <v>2077</v>
      </c>
      <c r="R272" s="127">
        <v>3282.3300000000004</v>
      </c>
      <c r="S272" s="128">
        <v>3833.7400000000002</v>
      </c>
      <c r="T272" s="83">
        <v>125.96000000000001</v>
      </c>
      <c r="U272" s="1">
        <v>138.69</v>
      </c>
      <c r="V272" s="89">
        <v>171.52</v>
      </c>
      <c r="X272" s="123">
        <v>232.49</v>
      </c>
      <c r="Y272" s="127">
        <v>327.63</v>
      </c>
      <c r="Z272" s="128">
        <v>354.43</v>
      </c>
      <c r="AA272" s="127">
        <v>232.49</v>
      </c>
      <c r="AB272" s="127">
        <v>327.63</v>
      </c>
      <c r="AC272" s="128">
        <v>354.43</v>
      </c>
    </row>
    <row r="273" spans="1:29" x14ac:dyDescent="0.3">
      <c r="A273" s="41">
        <v>2041</v>
      </c>
      <c r="B273" s="123">
        <v>519.25</v>
      </c>
      <c r="C273" s="127">
        <v>583.57000000000005</v>
      </c>
      <c r="D273" s="127">
        <v>647.22</v>
      </c>
      <c r="E273" s="123">
        <v>467.66</v>
      </c>
      <c r="F273" s="127">
        <v>525.95000000000005</v>
      </c>
      <c r="G273" s="128">
        <v>583.57000000000005</v>
      </c>
      <c r="H273" s="123">
        <v>2425.4</v>
      </c>
      <c r="I273" s="127">
        <v>2425.4</v>
      </c>
      <c r="J273" s="128">
        <v>3037.11</v>
      </c>
      <c r="K273" s="127">
        <v>1244.8600000000001</v>
      </c>
      <c r="L273" s="127">
        <v>1300.47</v>
      </c>
      <c r="M273" s="128">
        <v>1308.51</v>
      </c>
      <c r="N273" s="127">
        <v>1841.8300000000002</v>
      </c>
      <c r="O273" s="127">
        <v>2859.56</v>
      </c>
      <c r="P273" s="128">
        <v>3295.73</v>
      </c>
      <c r="Q273" s="127">
        <v>2075.6600000000003</v>
      </c>
      <c r="R273" s="127">
        <v>3197.9100000000003</v>
      </c>
      <c r="S273" s="128">
        <v>3819.67</v>
      </c>
      <c r="T273" s="83">
        <v>125.29</v>
      </c>
      <c r="U273" s="1">
        <v>138.02000000000001</v>
      </c>
      <c r="V273" s="89">
        <v>170.18</v>
      </c>
      <c r="X273" s="123">
        <v>222.44000000000003</v>
      </c>
      <c r="Y273" s="127">
        <v>320.26</v>
      </c>
      <c r="Z273" s="128">
        <v>345.72</v>
      </c>
      <c r="AA273" s="127">
        <v>222.44000000000003</v>
      </c>
      <c r="AB273" s="127">
        <v>320.26</v>
      </c>
      <c r="AC273" s="128">
        <v>345.72</v>
      </c>
    </row>
    <row r="274" spans="1:29" x14ac:dyDescent="0.3">
      <c r="A274" s="41">
        <v>2042</v>
      </c>
      <c r="B274" s="123">
        <v>488.43</v>
      </c>
      <c r="C274" s="127">
        <v>560.12</v>
      </c>
      <c r="D274" s="127">
        <v>631.81000000000006</v>
      </c>
      <c r="E274" s="123">
        <v>440.19000000000005</v>
      </c>
      <c r="F274" s="127">
        <v>504.51000000000005</v>
      </c>
      <c r="G274" s="128">
        <v>568.83000000000004</v>
      </c>
      <c r="H274" s="123">
        <v>2361.75</v>
      </c>
      <c r="I274" s="127">
        <v>2361.75</v>
      </c>
      <c r="J274" s="128">
        <v>2974.8</v>
      </c>
      <c r="K274" s="127">
        <v>1235.48</v>
      </c>
      <c r="L274" s="127">
        <v>1295.78</v>
      </c>
      <c r="M274" s="128">
        <v>1306.5</v>
      </c>
      <c r="N274" s="127">
        <v>1837.8100000000002</v>
      </c>
      <c r="O274" s="127">
        <v>2830.0800000000004</v>
      </c>
      <c r="P274" s="128">
        <v>3285.01</v>
      </c>
      <c r="Q274" s="127">
        <v>2074.9900000000002</v>
      </c>
      <c r="R274" s="127">
        <v>3176.4700000000003</v>
      </c>
      <c r="S274" s="128">
        <v>3819.67</v>
      </c>
      <c r="T274" s="83">
        <v>125.29</v>
      </c>
      <c r="U274" s="1">
        <v>136.68</v>
      </c>
      <c r="V274" s="89">
        <v>168.84</v>
      </c>
      <c r="X274" s="123">
        <v>213.73000000000002</v>
      </c>
      <c r="Y274" s="127">
        <v>309.54000000000002</v>
      </c>
      <c r="Z274" s="128">
        <v>334.33000000000004</v>
      </c>
      <c r="AA274" s="127">
        <v>213.73000000000002</v>
      </c>
      <c r="AB274" s="127">
        <v>309.54000000000002</v>
      </c>
      <c r="AC274" s="128">
        <v>334.33000000000004</v>
      </c>
    </row>
    <row r="275" spans="1:29" x14ac:dyDescent="0.3">
      <c r="A275" s="41">
        <v>2043</v>
      </c>
      <c r="B275" s="123">
        <v>464.31</v>
      </c>
      <c r="C275" s="127">
        <v>539.35</v>
      </c>
      <c r="D275" s="127">
        <v>615.06000000000006</v>
      </c>
      <c r="E275" s="123">
        <v>418.08000000000004</v>
      </c>
      <c r="F275" s="127">
        <v>485.75000000000006</v>
      </c>
      <c r="G275" s="128">
        <v>554.09</v>
      </c>
      <c r="H275" s="123">
        <v>2294.75</v>
      </c>
      <c r="I275" s="127">
        <v>2294.75</v>
      </c>
      <c r="J275" s="128">
        <v>2916.51</v>
      </c>
      <c r="K275" s="127">
        <v>1226.1000000000001</v>
      </c>
      <c r="L275" s="127">
        <v>1290.42</v>
      </c>
      <c r="M275" s="128">
        <v>1303.8200000000002</v>
      </c>
      <c r="N275" s="127">
        <v>1833.7900000000002</v>
      </c>
      <c r="O275" s="127">
        <v>2803.9500000000003</v>
      </c>
      <c r="P275" s="128">
        <v>3273.6200000000003</v>
      </c>
      <c r="Q275" s="127">
        <v>2074.3200000000002</v>
      </c>
      <c r="R275" s="127">
        <v>3157.04</v>
      </c>
      <c r="S275" s="128">
        <v>3819.67</v>
      </c>
      <c r="T275" s="83">
        <v>124.62</v>
      </c>
      <c r="U275" s="1">
        <v>136.01000000000002</v>
      </c>
      <c r="V275" s="89">
        <v>167.5</v>
      </c>
      <c r="X275" s="123">
        <v>205.02</v>
      </c>
      <c r="Y275" s="127">
        <v>298.82</v>
      </c>
      <c r="Z275" s="128">
        <v>326.29000000000002</v>
      </c>
      <c r="AA275" s="127">
        <v>205.02</v>
      </c>
      <c r="AB275" s="127">
        <v>298.82</v>
      </c>
      <c r="AC275" s="128">
        <v>326.29000000000002</v>
      </c>
    </row>
    <row r="276" spans="1:29" x14ac:dyDescent="0.3">
      <c r="A276" s="41">
        <v>2044</v>
      </c>
      <c r="B276" s="123">
        <v>447.56</v>
      </c>
      <c r="C276" s="127">
        <v>525.95000000000005</v>
      </c>
      <c r="D276" s="127">
        <v>603.67000000000007</v>
      </c>
      <c r="E276" s="123">
        <v>402.67</v>
      </c>
      <c r="F276" s="127">
        <v>473.02000000000004</v>
      </c>
      <c r="G276" s="128">
        <v>543.37</v>
      </c>
      <c r="H276" s="123">
        <v>2242.4900000000002</v>
      </c>
      <c r="I276" s="127">
        <v>2242.4900000000002</v>
      </c>
      <c r="J276" s="128">
        <v>2861.57</v>
      </c>
      <c r="K276" s="127">
        <v>1218.73</v>
      </c>
      <c r="L276" s="127">
        <v>1286.4000000000001</v>
      </c>
      <c r="M276" s="128">
        <v>1301.8100000000002</v>
      </c>
      <c r="N276" s="127">
        <v>1829.7700000000002</v>
      </c>
      <c r="O276" s="127">
        <v>2781.17</v>
      </c>
      <c r="P276" s="128">
        <v>3262.9</v>
      </c>
      <c r="Q276" s="127">
        <v>2073.65</v>
      </c>
      <c r="R276" s="127">
        <v>3140.29</v>
      </c>
      <c r="S276" s="128">
        <v>3819.67</v>
      </c>
      <c r="T276" s="83">
        <v>124.62</v>
      </c>
      <c r="U276" s="1">
        <v>135.34</v>
      </c>
      <c r="V276" s="89">
        <v>166.16</v>
      </c>
      <c r="X276" s="123">
        <v>197.65</v>
      </c>
      <c r="Y276" s="127">
        <v>287.43</v>
      </c>
      <c r="Z276" s="128">
        <v>313.56</v>
      </c>
      <c r="AA276" s="127">
        <v>197.65</v>
      </c>
      <c r="AB276" s="127">
        <v>287.43</v>
      </c>
      <c r="AC276" s="128">
        <v>313.56</v>
      </c>
    </row>
    <row r="277" spans="1:29" x14ac:dyDescent="0.3">
      <c r="A277" s="41">
        <v>2045</v>
      </c>
      <c r="B277" s="123">
        <v>432.15000000000003</v>
      </c>
      <c r="C277" s="127">
        <v>514.56000000000006</v>
      </c>
      <c r="D277" s="127">
        <v>596.97</v>
      </c>
      <c r="E277" s="123">
        <v>389.27000000000004</v>
      </c>
      <c r="F277" s="127">
        <v>462.97</v>
      </c>
      <c r="G277" s="128">
        <v>537.34</v>
      </c>
      <c r="H277" s="123">
        <v>2192.9100000000003</v>
      </c>
      <c r="I277" s="127">
        <v>2192.9100000000003</v>
      </c>
      <c r="J277" s="128">
        <v>2809.31</v>
      </c>
      <c r="K277" s="127">
        <v>1210.69</v>
      </c>
      <c r="L277" s="127">
        <v>1283.0500000000002</v>
      </c>
      <c r="M277" s="128">
        <v>1299.8000000000002</v>
      </c>
      <c r="N277" s="127">
        <v>1825.75</v>
      </c>
      <c r="O277" s="127">
        <v>2756.38</v>
      </c>
      <c r="P277" s="128">
        <v>3251.51</v>
      </c>
      <c r="Q277" s="127">
        <v>1996.6000000000001</v>
      </c>
      <c r="R277" s="127">
        <v>3122.2000000000003</v>
      </c>
      <c r="S277" s="128">
        <v>3819.67</v>
      </c>
      <c r="T277" s="83">
        <v>123.95</v>
      </c>
      <c r="U277" s="1">
        <v>134.67000000000002</v>
      </c>
      <c r="V277" s="89">
        <v>165.49</v>
      </c>
      <c r="X277" s="123">
        <v>190.95000000000002</v>
      </c>
      <c r="Y277" s="127">
        <v>278.05</v>
      </c>
      <c r="Z277" s="128">
        <v>301.5</v>
      </c>
      <c r="AA277" s="127">
        <v>190.95000000000002</v>
      </c>
      <c r="AB277" s="127">
        <v>278.05</v>
      </c>
      <c r="AC277" s="128">
        <v>301.5</v>
      </c>
    </row>
    <row r="278" spans="1:29" x14ac:dyDescent="0.3">
      <c r="A278" s="41">
        <v>2046</v>
      </c>
      <c r="B278" s="123">
        <v>422.1</v>
      </c>
      <c r="C278" s="127">
        <v>508.53000000000003</v>
      </c>
      <c r="D278" s="127">
        <v>594.29000000000008</v>
      </c>
      <c r="E278" s="123">
        <v>379.89000000000004</v>
      </c>
      <c r="F278" s="127">
        <v>456.94000000000005</v>
      </c>
      <c r="G278" s="128">
        <v>534.66000000000008</v>
      </c>
      <c r="H278" s="123">
        <v>2152.71</v>
      </c>
      <c r="I278" s="127">
        <v>2152.71</v>
      </c>
      <c r="J278" s="128">
        <v>2760.4</v>
      </c>
      <c r="K278" s="127">
        <v>1206</v>
      </c>
      <c r="L278" s="127">
        <v>1281.04</v>
      </c>
      <c r="M278" s="128">
        <v>1297.7900000000002</v>
      </c>
      <c r="N278" s="127">
        <v>1821.0600000000002</v>
      </c>
      <c r="O278" s="127">
        <v>2734.94</v>
      </c>
      <c r="P278" s="128">
        <v>3240.7900000000004</v>
      </c>
      <c r="Q278" s="127">
        <v>1867.2900000000002</v>
      </c>
      <c r="R278" s="127">
        <v>3106.79</v>
      </c>
      <c r="S278" s="128">
        <v>3819.67</v>
      </c>
      <c r="T278" s="83">
        <v>123.95</v>
      </c>
      <c r="U278" s="1">
        <v>134</v>
      </c>
      <c r="V278" s="89">
        <v>164.82000000000002</v>
      </c>
      <c r="X278" s="123">
        <v>184.25</v>
      </c>
      <c r="Y278" s="127">
        <v>270.01</v>
      </c>
      <c r="Z278" s="128">
        <v>288.10000000000002</v>
      </c>
      <c r="AA278" s="127">
        <v>184.25</v>
      </c>
      <c r="AB278" s="127">
        <v>270.01</v>
      </c>
      <c r="AC278" s="128">
        <v>288.10000000000002</v>
      </c>
    </row>
    <row r="279" spans="1:29" x14ac:dyDescent="0.3">
      <c r="A279" s="41">
        <v>2047</v>
      </c>
      <c r="B279" s="123">
        <v>412.05</v>
      </c>
      <c r="C279" s="127">
        <v>497.14000000000004</v>
      </c>
      <c r="D279" s="127">
        <v>582.90000000000009</v>
      </c>
      <c r="E279" s="123">
        <v>370.51000000000005</v>
      </c>
      <c r="F279" s="127">
        <v>446.89000000000004</v>
      </c>
      <c r="G279" s="128">
        <v>523.94000000000005</v>
      </c>
      <c r="H279" s="123">
        <v>2113.85</v>
      </c>
      <c r="I279" s="127">
        <v>2113.85</v>
      </c>
      <c r="J279" s="128">
        <v>2714.17</v>
      </c>
      <c r="K279" s="127">
        <v>1200.6400000000001</v>
      </c>
      <c r="L279" s="127">
        <v>1279.03</v>
      </c>
      <c r="M279" s="128">
        <v>1295.78</v>
      </c>
      <c r="N279" s="127">
        <v>1816.3700000000001</v>
      </c>
      <c r="O279" s="127">
        <v>2715.51</v>
      </c>
      <c r="P279" s="128">
        <v>3230.07</v>
      </c>
      <c r="Q279" s="127">
        <v>1709.17</v>
      </c>
      <c r="R279" s="127">
        <v>3092.7200000000003</v>
      </c>
      <c r="S279" s="128">
        <v>3819.67</v>
      </c>
      <c r="T279" s="83">
        <v>123.95</v>
      </c>
      <c r="U279" s="1">
        <v>134</v>
      </c>
      <c r="V279" s="89">
        <v>164.15</v>
      </c>
      <c r="X279" s="123">
        <v>178.89000000000001</v>
      </c>
      <c r="Y279" s="127">
        <v>263.31</v>
      </c>
      <c r="Z279" s="128">
        <v>282.74</v>
      </c>
      <c r="AA279" s="127">
        <v>178.89000000000001</v>
      </c>
      <c r="AB279" s="127">
        <v>263.31</v>
      </c>
      <c r="AC279" s="128">
        <v>282.74</v>
      </c>
    </row>
    <row r="280" spans="1:29" x14ac:dyDescent="0.3">
      <c r="A280" s="41">
        <v>2048</v>
      </c>
      <c r="B280" s="123">
        <v>405.35</v>
      </c>
      <c r="C280" s="127">
        <v>488.43</v>
      </c>
      <c r="D280" s="127">
        <v>570.84</v>
      </c>
      <c r="E280" s="123">
        <v>363.81</v>
      </c>
      <c r="F280" s="127">
        <v>438.85</v>
      </c>
      <c r="G280" s="128">
        <v>513.22</v>
      </c>
      <c r="H280" s="123">
        <v>2078.34</v>
      </c>
      <c r="I280" s="127">
        <v>2078.34</v>
      </c>
      <c r="J280" s="128">
        <v>2670.6200000000003</v>
      </c>
      <c r="K280" s="127">
        <v>1195.95</v>
      </c>
      <c r="L280" s="127">
        <v>1273.67</v>
      </c>
      <c r="M280" s="128">
        <v>1293.77</v>
      </c>
      <c r="N280" s="127">
        <v>1811.68</v>
      </c>
      <c r="O280" s="127">
        <v>2698.76</v>
      </c>
      <c r="P280" s="128">
        <v>3219.3500000000004</v>
      </c>
      <c r="Q280" s="127">
        <v>1611.3500000000001</v>
      </c>
      <c r="R280" s="127">
        <v>3080.6600000000003</v>
      </c>
      <c r="S280" s="128">
        <v>3819.67</v>
      </c>
      <c r="T280" s="83">
        <v>123.28</v>
      </c>
      <c r="U280" s="1">
        <v>133.33000000000001</v>
      </c>
      <c r="V280" s="89">
        <v>163.48000000000002</v>
      </c>
      <c r="X280" s="123">
        <v>172.19</v>
      </c>
      <c r="Y280" s="127">
        <v>257.28000000000003</v>
      </c>
      <c r="Z280" s="128">
        <v>278.05</v>
      </c>
      <c r="AA280" s="127">
        <v>172.19</v>
      </c>
      <c r="AB280" s="127">
        <v>257.28000000000003</v>
      </c>
      <c r="AC280" s="128">
        <v>278.05</v>
      </c>
    </row>
    <row r="281" spans="1:29" x14ac:dyDescent="0.3">
      <c r="A281" s="41">
        <v>2049</v>
      </c>
      <c r="B281" s="123">
        <v>396.64000000000004</v>
      </c>
      <c r="C281" s="127">
        <v>473.69000000000005</v>
      </c>
      <c r="D281" s="127">
        <v>550.07000000000005</v>
      </c>
      <c r="E281" s="123">
        <v>356.44</v>
      </c>
      <c r="F281" s="127">
        <v>425.45000000000005</v>
      </c>
      <c r="G281" s="128">
        <v>493.79</v>
      </c>
      <c r="H281" s="123">
        <v>2043.5000000000002</v>
      </c>
      <c r="I281" s="127">
        <v>2043.5000000000002</v>
      </c>
      <c r="J281" s="128">
        <v>2628.4100000000003</v>
      </c>
      <c r="K281" s="127">
        <v>1187.9100000000001</v>
      </c>
      <c r="L281" s="127">
        <v>1267.6400000000001</v>
      </c>
      <c r="M281" s="128">
        <v>1291.0900000000001</v>
      </c>
      <c r="N281" s="127">
        <v>1806.3200000000002</v>
      </c>
      <c r="O281" s="127">
        <v>2683.3500000000004</v>
      </c>
      <c r="P281" s="128">
        <v>3208.63</v>
      </c>
      <c r="Q281" s="127">
        <v>1557.75</v>
      </c>
      <c r="R281" s="127">
        <v>3069.94</v>
      </c>
      <c r="S281" s="128">
        <v>3819.67</v>
      </c>
      <c r="T281" s="83">
        <v>123.28</v>
      </c>
      <c r="U281" s="1">
        <v>133.33000000000001</v>
      </c>
      <c r="V281" s="89">
        <v>162.81</v>
      </c>
      <c r="X281" s="123">
        <v>164.15</v>
      </c>
      <c r="Y281" s="127">
        <v>251.25000000000003</v>
      </c>
      <c r="Z281" s="128">
        <v>266.66000000000003</v>
      </c>
      <c r="AA281" s="127">
        <v>164.15</v>
      </c>
      <c r="AB281" s="127">
        <v>251.25000000000003</v>
      </c>
      <c r="AC281" s="128">
        <v>266.66000000000003</v>
      </c>
    </row>
    <row r="282" spans="1:29" x14ac:dyDescent="0.3">
      <c r="A282" s="41">
        <v>2050</v>
      </c>
      <c r="B282" s="123">
        <v>390.61</v>
      </c>
      <c r="C282" s="127">
        <v>460.29</v>
      </c>
      <c r="D282" s="127">
        <v>529.97</v>
      </c>
      <c r="E282" s="123">
        <v>351.08000000000004</v>
      </c>
      <c r="F282" s="127">
        <v>413.39000000000004</v>
      </c>
      <c r="G282" s="128">
        <v>475.70000000000005</v>
      </c>
      <c r="H282" s="123">
        <v>2014.69</v>
      </c>
      <c r="I282" s="127">
        <v>2014.69</v>
      </c>
      <c r="J282" s="128">
        <v>2598.2600000000002</v>
      </c>
      <c r="K282" s="127">
        <v>1181.21</v>
      </c>
      <c r="L282" s="127">
        <v>1262.95</v>
      </c>
      <c r="M282" s="128">
        <v>1289.0800000000002</v>
      </c>
      <c r="N282" s="127">
        <v>1802.97</v>
      </c>
      <c r="O282" s="127">
        <v>2673.3</v>
      </c>
      <c r="P282" s="128">
        <v>3201.26</v>
      </c>
      <c r="Q282" s="127">
        <v>1533.63</v>
      </c>
      <c r="R282" s="127">
        <v>3063.9100000000003</v>
      </c>
      <c r="S282" s="128">
        <v>3819.67</v>
      </c>
      <c r="T282" s="83">
        <v>123.28</v>
      </c>
      <c r="U282" s="1">
        <v>132.66</v>
      </c>
      <c r="V282" s="89">
        <v>162.14000000000001</v>
      </c>
      <c r="X282" s="123">
        <v>153.43</v>
      </c>
      <c r="Y282" s="127">
        <v>242.54000000000002</v>
      </c>
      <c r="Z282" s="128">
        <v>252.59</v>
      </c>
      <c r="AA282" s="127">
        <v>153.43</v>
      </c>
      <c r="AB282" s="127">
        <v>242.54000000000002</v>
      </c>
      <c r="AC282" s="128">
        <v>252.59</v>
      </c>
    </row>
    <row r="283" spans="1:29" x14ac:dyDescent="0.3">
      <c r="A283" s="41">
        <v>2051</v>
      </c>
      <c r="B283" s="123">
        <v>387.26000000000005</v>
      </c>
      <c r="C283" s="127">
        <v>457.61</v>
      </c>
      <c r="D283" s="127">
        <v>527.96</v>
      </c>
      <c r="E283" s="123">
        <v>347.73</v>
      </c>
      <c r="F283" s="127">
        <v>410.71000000000004</v>
      </c>
      <c r="G283" s="128">
        <v>474.36</v>
      </c>
      <c r="H283" s="123">
        <v>1985.88</v>
      </c>
      <c r="I283" s="127">
        <v>1985.88</v>
      </c>
      <c r="J283" s="128">
        <v>2567.44</v>
      </c>
      <c r="K283" s="127">
        <v>1173.8400000000001</v>
      </c>
      <c r="L283" s="127">
        <v>1260.94</v>
      </c>
      <c r="M283" s="128">
        <v>1286.4000000000001</v>
      </c>
      <c r="N283" s="127">
        <v>1798.2800000000002</v>
      </c>
      <c r="O283" s="127">
        <v>2663.92</v>
      </c>
      <c r="P283" s="128">
        <v>3190.54</v>
      </c>
      <c r="Q283" s="127">
        <v>1517.5500000000002</v>
      </c>
      <c r="R283" s="127">
        <v>3057.21</v>
      </c>
      <c r="S283" s="128">
        <v>3819.67</v>
      </c>
      <c r="T283" s="83">
        <v>123.28</v>
      </c>
      <c r="U283" s="1">
        <v>132.66</v>
      </c>
      <c r="V283" s="89">
        <v>162.14000000000001</v>
      </c>
      <c r="X283" s="123">
        <v>153.43</v>
      </c>
      <c r="Y283" s="127">
        <v>242.54000000000002</v>
      </c>
      <c r="Z283" s="128">
        <v>252.59</v>
      </c>
      <c r="AA283" s="127">
        <v>153.43</v>
      </c>
      <c r="AB283" s="127">
        <v>242.54000000000002</v>
      </c>
      <c r="AC283" s="128">
        <v>252.59</v>
      </c>
    </row>
    <row r="284" spans="1:29" x14ac:dyDescent="0.3">
      <c r="A284" s="41">
        <v>2052</v>
      </c>
      <c r="B284" s="123">
        <v>386.59000000000003</v>
      </c>
      <c r="C284" s="127">
        <v>456.94000000000005</v>
      </c>
      <c r="D284" s="127">
        <v>527.29000000000008</v>
      </c>
      <c r="E284" s="123">
        <v>347.06</v>
      </c>
      <c r="F284" s="127">
        <v>410.04</v>
      </c>
      <c r="G284" s="128">
        <v>473.02000000000004</v>
      </c>
      <c r="H284" s="123">
        <v>1957.74</v>
      </c>
      <c r="I284" s="127">
        <v>1957.74</v>
      </c>
      <c r="J284" s="128">
        <v>2537.29</v>
      </c>
      <c r="K284" s="127">
        <v>1171.8300000000002</v>
      </c>
      <c r="L284" s="127">
        <v>1259.6000000000001</v>
      </c>
      <c r="M284" s="128">
        <v>1285.0600000000002</v>
      </c>
      <c r="N284" s="127">
        <v>1796.2700000000002</v>
      </c>
      <c r="O284" s="127">
        <v>2658.56</v>
      </c>
      <c r="P284" s="128">
        <v>3182.5</v>
      </c>
      <c r="Q284" s="127">
        <v>1510.8500000000001</v>
      </c>
      <c r="R284" s="127">
        <v>3054.53</v>
      </c>
      <c r="S284" s="128">
        <v>3819.67</v>
      </c>
      <c r="T284" s="83">
        <v>122.61000000000001</v>
      </c>
      <c r="U284" s="1">
        <v>131.99</v>
      </c>
      <c r="V284" s="89">
        <v>161.47</v>
      </c>
      <c r="X284" s="123">
        <v>150.75</v>
      </c>
      <c r="Y284" s="127">
        <v>241.87</v>
      </c>
      <c r="Z284" s="128">
        <v>251.92000000000002</v>
      </c>
      <c r="AA284" s="127">
        <v>150.75</v>
      </c>
      <c r="AB284" s="127">
        <v>241.87</v>
      </c>
      <c r="AC284" s="128">
        <v>251.92000000000002</v>
      </c>
    </row>
    <row r="285" spans="1:29" x14ac:dyDescent="0.3">
      <c r="A285" s="41">
        <v>2053</v>
      </c>
      <c r="B285" s="123">
        <v>384.58000000000004</v>
      </c>
      <c r="C285" s="127">
        <v>454.93</v>
      </c>
      <c r="D285" s="127">
        <v>525.28000000000009</v>
      </c>
      <c r="E285" s="123">
        <v>345.72</v>
      </c>
      <c r="F285" s="127">
        <v>408.70000000000005</v>
      </c>
      <c r="G285" s="128">
        <v>471.68</v>
      </c>
      <c r="H285" s="123">
        <v>1929.6000000000001</v>
      </c>
      <c r="I285" s="127">
        <v>1929.6000000000001</v>
      </c>
      <c r="J285" s="128">
        <v>2507.81</v>
      </c>
      <c r="K285" s="127">
        <v>1167.8100000000002</v>
      </c>
      <c r="L285" s="127">
        <v>1256.25</v>
      </c>
      <c r="M285" s="128">
        <v>1283.0500000000002</v>
      </c>
      <c r="N285" s="127">
        <v>1790.91</v>
      </c>
      <c r="O285" s="127">
        <v>2641.1400000000003</v>
      </c>
      <c r="P285" s="128">
        <v>3167.76</v>
      </c>
      <c r="Q285" s="127">
        <v>1500.13</v>
      </c>
      <c r="R285" s="127">
        <v>3042.4700000000003</v>
      </c>
      <c r="S285" s="128">
        <v>3819.0000000000005</v>
      </c>
      <c r="T285" s="83">
        <v>122.61000000000001</v>
      </c>
      <c r="U285" s="1">
        <v>131.99</v>
      </c>
      <c r="V285" s="89">
        <v>161.47</v>
      </c>
      <c r="X285" s="123">
        <v>150.75</v>
      </c>
      <c r="Y285" s="127">
        <v>241.87</v>
      </c>
      <c r="Z285" s="128">
        <v>251.92000000000002</v>
      </c>
      <c r="AA285" s="127">
        <v>150.75</v>
      </c>
      <c r="AB285" s="127">
        <v>241.87</v>
      </c>
      <c r="AC285" s="128">
        <v>251.92000000000002</v>
      </c>
    </row>
    <row r="286" spans="1:29" x14ac:dyDescent="0.3">
      <c r="A286" s="41">
        <v>2054</v>
      </c>
      <c r="B286" s="123">
        <v>383.91</v>
      </c>
      <c r="C286" s="127">
        <v>454.26000000000005</v>
      </c>
      <c r="D286" s="127">
        <v>524.61</v>
      </c>
      <c r="E286" s="123">
        <v>345.05</v>
      </c>
      <c r="F286" s="127">
        <v>408.03000000000003</v>
      </c>
      <c r="G286" s="128">
        <v>471.01000000000005</v>
      </c>
      <c r="H286" s="123">
        <v>1902.13</v>
      </c>
      <c r="I286" s="127">
        <v>1902.13</v>
      </c>
      <c r="J286" s="128">
        <v>2478.33</v>
      </c>
      <c r="K286" s="127">
        <v>1166.47</v>
      </c>
      <c r="L286" s="127">
        <v>1254.9100000000001</v>
      </c>
      <c r="M286" s="128">
        <v>1281.71</v>
      </c>
      <c r="N286" s="127">
        <v>1788.9</v>
      </c>
      <c r="O286" s="127">
        <v>2628.4100000000003</v>
      </c>
      <c r="P286" s="128">
        <v>3160.3900000000003</v>
      </c>
      <c r="Q286" s="127">
        <v>1494.77</v>
      </c>
      <c r="R286" s="127">
        <v>3033.76</v>
      </c>
      <c r="S286" s="128">
        <v>3819.0000000000005</v>
      </c>
      <c r="T286" s="83">
        <v>121.94000000000001</v>
      </c>
      <c r="U286" s="1">
        <v>131.32000000000002</v>
      </c>
      <c r="V286" s="89">
        <v>160.80000000000001</v>
      </c>
      <c r="X286" s="123">
        <v>148.07000000000002</v>
      </c>
      <c r="Y286" s="127">
        <v>241.20000000000002</v>
      </c>
      <c r="Z286" s="128">
        <v>251.25000000000003</v>
      </c>
      <c r="AA286" s="127">
        <v>148.07000000000002</v>
      </c>
      <c r="AB286" s="127">
        <v>241.20000000000002</v>
      </c>
      <c r="AC286" s="128">
        <v>251.25000000000003</v>
      </c>
    </row>
    <row r="287" spans="1:29" ht="15" thickBot="1" x14ac:dyDescent="0.35">
      <c r="A287" s="42">
        <v>2055</v>
      </c>
      <c r="B287" s="124">
        <v>383.24</v>
      </c>
      <c r="C287" s="129">
        <v>453.59000000000003</v>
      </c>
      <c r="D287" s="129">
        <v>523.27</v>
      </c>
      <c r="E287" s="124">
        <v>343.71000000000004</v>
      </c>
      <c r="F287" s="129">
        <v>407.36</v>
      </c>
      <c r="G287" s="130">
        <v>470.34000000000003</v>
      </c>
      <c r="H287" s="124">
        <v>1874.66</v>
      </c>
      <c r="I287" s="129">
        <v>1874.66</v>
      </c>
      <c r="J287" s="130">
        <v>2448.8500000000004</v>
      </c>
      <c r="K287" s="129">
        <v>1165.1300000000001</v>
      </c>
      <c r="L287" s="129">
        <v>1252.9000000000001</v>
      </c>
      <c r="M287" s="130">
        <v>1280.3700000000001</v>
      </c>
      <c r="N287" s="129">
        <v>1786.22</v>
      </c>
      <c r="O287" s="129">
        <v>2616.3500000000004</v>
      </c>
      <c r="P287" s="130">
        <v>3153.02</v>
      </c>
      <c r="Q287" s="129">
        <v>1490.0800000000002</v>
      </c>
      <c r="R287" s="129">
        <v>3024.38</v>
      </c>
      <c r="S287" s="130">
        <v>3818.3300000000004</v>
      </c>
      <c r="T287" s="90">
        <v>121.94000000000001</v>
      </c>
      <c r="U287" s="91">
        <v>131.32000000000002</v>
      </c>
      <c r="V287" s="92">
        <v>160.80000000000001</v>
      </c>
      <c r="X287" s="124">
        <v>148.07000000000002</v>
      </c>
      <c r="Y287" s="129">
        <v>241.20000000000002</v>
      </c>
      <c r="Z287" s="130">
        <v>251.25000000000003</v>
      </c>
      <c r="AA287" s="129">
        <v>148.07000000000002</v>
      </c>
      <c r="AB287" s="129">
        <v>241.20000000000002</v>
      </c>
      <c r="AC287" s="130">
        <v>251.25000000000003</v>
      </c>
    </row>
    <row r="289" spans="1:43" ht="16.2" x14ac:dyDescent="0.3">
      <c r="A289" s="93" t="s">
        <v>271</v>
      </c>
    </row>
    <row r="290" spans="1:43" ht="15" thickBot="1" x14ac:dyDescent="0.35"/>
    <row r="291" spans="1:43" ht="18.600000000000001" thickBot="1" x14ac:dyDescent="0.4">
      <c r="A291" s="289" t="s">
        <v>0</v>
      </c>
      <c r="B291" s="407" t="s">
        <v>402</v>
      </c>
      <c r="C291" s="408"/>
      <c r="D291" s="408"/>
      <c r="E291" s="408"/>
      <c r="F291" s="408"/>
      <c r="G291" s="408"/>
      <c r="H291" s="408"/>
      <c r="I291" s="408"/>
      <c r="J291" s="408"/>
      <c r="K291" s="408"/>
      <c r="L291" s="408"/>
      <c r="M291" s="408"/>
      <c r="N291" s="408"/>
      <c r="O291" s="408"/>
      <c r="P291" s="408"/>
      <c r="Q291" s="408"/>
      <c r="R291" s="408"/>
      <c r="S291" s="408"/>
      <c r="T291" s="408"/>
      <c r="U291" s="408"/>
      <c r="V291" s="409"/>
      <c r="X291" s="380" t="s">
        <v>403</v>
      </c>
      <c r="Y291" s="381"/>
      <c r="Z291" s="381"/>
      <c r="AA291" s="381"/>
      <c r="AB291" s="381"/>
      <c r="AC291" s="382"/>
      <c r="AE291" s="407" t="s">
        <v>404</v>
      </c>
      <c r="AF291" s="408"/>
      <c r="AG291" s="408"/>
      <c r="AH291" s="408"/>
      <c r="AI291" s="408"/>
      <c r="AJ291" s="408"/>
      <c r="AK291" s="408"/>
      <c r="AL291" s="408"/>
      <c r="AM291" s="408"/>
      <c r="AN291" s="408"/>
      <c r="AO291" s="408"/>
      <c r="AP291" s="408"/>
      <c r="AQ291" s="409"/>
    </row>
    <row r="292" spans="1:43" ht="20.399999999999999" thickBot="1" x14ac:dyDescent="0.35">
      <c r="A292" s="344"/>
      <c r="B292" s="422" t="s">
        <v>58</v>
      </c>
      <c r="C292" s="423"/>
      <c r="D292" s="424"/>
      <c r="E292" s="425" t="s">
        <v>155</v>
      </c>
      <c r="F292" s="426"/>
      <c r="G292" s="427"/>
      <c r="H292" s="416" t="s">
        <v>307</v>
      </c>
      <c r="I292" s="417"/>
      <c r="J292" s="418"/>
      <c r="K292" s="428" t="s">
        <v>228</v>
      </c>
      <c r="L292" s="429"/>
      <c r="M292" s="430"/>
      <c r="N292" s="431" t="s">
        <v>278</v>
      </c>
      <c r="O292" s="432"/>
      <c r="P292" s="433"/>
      <c r="Q292" s="431" t="s">
        <v>279</v>
      </c>
      <c r="R292" s="432"/>
      <c r="S292" s="433"/>
      <c r="T292" s="434" t="s">
        <v>306</v>
      </c>
      <c r="U292" s="435"/>
      <c r="V292" s="436"/>
      <c r="X292" s="437" t="s">
        <v>272</v>
      </c>
      <c r="Y292" s="438"/>
      <c r="Z292" s="439"/>
      <c r="AA292" s="440" t="s">
        <v>273</v>
      </c>
      <c r="AB292" s="441"/>
      <c r="AC292" s="442"/>
      <c r="AE292" s="289" t="s">
        <v>0</v>
      </c>
      <c r="AF292" s="368" t="s">
        <v>58</v>
      </c>
      <c r="AG292" s="369"/>
      <c r="AH292" s="370"/>
      <c r="AI292" s="410" t="s">
        <v>228</v>
      </c>
      <c r="AJ292" s="411"/>
      <c r="AK292" s="412"/>
      <c r="AL292" s="316" t="s">
        <v>59</v>
      </c>
      <c r="AM292" s="317"/>
      <c r="AN292" s="318"/>
      <c r="AO292" s="413" t="s">
        <v>120</v>
      </c>
      <c r="AP292" s="414"/>
      <c r="AQ292" s="415"/>
    </row>
    <row r="293" spans="1:43" ht="15" thickBot="1" x14ac:dyDescent="0.35">
      <c r="A293" s="290"/>
      <c r="B293" s="29" t="s">
        <v>275</v>
      </c>
      <c r="C293" s="30" t="s">
        <v>276</v>
      </c>
      <c r="D293" s="31" t="s">
        <v>274</v>
      </c>
      <c r="E293" s="29" t="s">
        <v>275</v>
      </c>
      <c r="F293" s="30" t="s">
        <v>276</v>
      </c>
      <c r="G293" s="31" t="s">
        <v>274</v>
      </c>
      <c r="H293" s="29" t="s">
        <v>275</v>
      </c>
      <c r="I293" s="30" t="s">
        <v>276</v>
      </c>
      <c r="J293" s="31" t="s">
        <v>274</v>
      </c>
      <c r="K293" s="29" t="s">
        <v>275</v>
      </c>
      <c r="L293" s="30" t="s">
        <v>276</v>
      </c>
      <c r="M293" s="31" t="s">
        <v>274</v>
      </c>
      <c r="N293" s="29" t="s">
        <v>275</v>
      </c>
      <c r="O293" s="30" t="s">
        <v>276</v>
      </c>
      <c r="P293" s="31" t="s">
        <v>274</v>
      </c>
      <c r="Q293" s="29" t="s">
        <v>275</v>
      </c>
      <c r="R293" s="30" t="s">
        <v>276</v>
      </c>
      <c r="S293" s="30" t="s">
        <v>274</v>
      </c>
      <c r="T293" s="29" t="s">
        <v>275</v>
      </c>
      <c r="U293" s="30" t="s">
        <v>274</v>
      </c>
      <c r="V293" s="31" t="s">
        <v>276</v>
      </c>
      <c r="X293" s="29" t="s">
        <v>275</v>
      </c>
      <c r="Y293" s="30" t="s">
        <v>276</v>
      </c>
      <c r="Z293" s="31" t="s">
        <v>274</v>
      </c>
      <c r="AA293" s="29" t="s">
        <v>275</v>
      </c>
      <c r="AB293" s="30" t="s">
        <v>276</v>
      </c>
      <c r="AC293" s="31" t="s">
        <v>274</v>
      </c>
      <c r="AE293" s="344"/>
      <c r="AF293" s="419" t="s">
        <v>263</v>
      </c>
      <c r="AG293" s="420"/>
      <c r="AH293" s="421"/>
      <c r="AI293" s="419" t="s">
        <v>263</v>
      </c>
      <c r="AJ293" s="420"/>
      <c r="AK293" s="421"/>
      <c r="AL293" s="419" t="s">
        <v>263</v>
      </c>
      <c r="AM293" s="420"/>
      <c r="AN293" s="421"/>
      <c r="AO293" s="416"/>
      <c r="AP293" s="417"/>
      <c r="AQ293" s="418"/>
    </row>
    <row r="294" spans="1:43" ht="15" thickBot="1" x14ac:dyDescent="0.35">
      <c r="A294" s="41">
        <v>2024</v>
      </c>
      <c r="B294" s="123">
        <v>965.58</v>
      </c>
      <c r="C294" s="127">
        <v>965.58</v>
      </c>
      <c r="D294" s="127">
        <v>965.58</v>
      </c>
      <c r="E294" s="123">
        <v>881.76</v>
      </c>
      <c r="F294" s="127">
        <v>881.76</v>
      </c>
      <c r="G294" s="128">
        <v>881.76</v>
      </c>
      <c r="H294" s="123">
        <v>4467.54</v>
      </c>
      <c r="I294" s="127">
        <v>4467.54</v>
      </c>
      <c r="J294" s="128">
        <v>4467.54</v>
      </c>
      <c r="K294" s="127">
        <v>2127.1800000000003</v>
      </c>
      <c r="L294" s="127">
        <v>2127.1800000000003</v>
      </c>
      <c r="M294" s="128">
        <v>2127.1800000000003</v>
      </c>
      <c r="N294" s="127">
        <v>3108.6000000000004</v>
      </c>
      <c r="O294" s="127">
        <v>3108.6000000000004</v>
      </c>
      <c r="P294" s="128">
        <v>3108.6000000000004</v>
      </c>
      <c r="Q294" s="127">
        <v>5518.92</v>
      </c>
      <c r="R294" s="127">
        <v>5518.92</v>
      </c>
      <c r="S294" s="128">
        <v>5518.92</v>
      </c>
      <c r="T294" s="83">
        <v>279.18</v>
      </c>
      <c r="U294" s="1">
        <v>279.18</v>
      </c>
      <c r="V294" s="89">
        <v>279.18</v>
      </c>
      <c r="X294" s="123">
        <v>1785.96</v>
      </c>
      <c r="Y294" s="127">
        <v>1785.96</v>
      </c>
      <c r="Z294" s="128">
        <v>1785.96</v>
      </c>
      <c r="AA294" s="127">
        <v>1874.4</v>
      </c>
      <c r="AB294" s="127">
        <v>1874.4</v>
      </c>
      <c r="AC294" s="128">
        <v>1874.4</v>
      </c>
      <c r="AE294" s="290"/>
      <c r="AF294" s="78" t="s">
        <v>18</v>
      </c>
      <c r="AG294" s="79" t="s">
        <v>19</v>
      </c>
      <c r="AH294" s="80" t="s">
        <v>22</v>
      </c>
      <c r="AI294" s="78" t="s">
        <v>18</v>
      </c>
      <c r="AJ294" s="79" t="s">
        <v>19</v>
      </c>
      <c r="AK294" s="80" t="s">
        <v>22</v>
      </c>
      <c r="AL294" s="78" t="s">
        <v>18</v>
      </c>
      <c r="AM294" s="79" t="s">
        <v>19</v>
      </c>
      <c r="AN294" s="80" t="s">
        <v>22</v>
      </c>
      <c r="AO294" s="78" t="s">
        <v>18</v>
      </c>
      <c r="AP294" s="79" t="s">
        <v>19</v>
      </c>
      <c r="AQ294" s="80" t="s">
        <v>22</v>
      </c>
    </row>
    <row r="295" spans="1:43" x14ac:dyDescent="0.3">
      <c r="A295" s="41">
        <v>2025</v>
      </c>
      <c r="B295" s="123">
        <v>918.06000000000006</v>
      </c>
      <c r="C295" s="127">
        <v>925.98</v>
      </c>
      <c r="D295" s="127">
        <v>933.24</v>
      </c>
      <c r="E295" s="123">
        <v>835.56000000000006</v>
      </c>
      <c r="F295" s="127">
        <v>842.82</v>
      </c>
      <c r="G295" s="128">
        <v>849.42000000000007</v>
      </c>
      <c r="H295" s="123">
        <v>4289.34</v>
      </c>
      <c r="I295" s="127">
        <v>4289.34</v>
      </c>
      <c r="J295" s="128">
        <v>4377.7800000000007</v>
      </c>
      <c r="K295" s="127">
        <v>2040.0600000000002</v>
      </c>
      <c r="L295" s="127">
        <v>2045.3400000000001</v>
      </c>
      <c r="M295" s="128">
        <v>2054.58</v>
      </c>
      <c r="N295" s="127">
        <v>3057.78</v>
      </c>
      <c r="O295" s="127">
        <v>3096.06</v>
      </c>
      <c r="P295" s="128">
        <v>3101.34</v>
      </c>
      <c r="Q295" s="127">
        <v>5390.88</v>
      </c>
      <c r="R295" s="127">
        <v>5516.2800000000007</v>
      </c>
      <c r="S295" s="128">
        <v>5507.7</v>
      </c>
      <c r="T295" s="83">
        <v>248.16000000000003</v>
      </c>
      <c r="U295" s="1">
        <v>272.58000000000004</v>
      </c>
      <c r="V295" s="89">
        <v>260.04000000000002</v>
      </c>
      <c r="X295" s="123">
        <v>1603.14</v>
      </c>
      <c r="Y295" s="127">
        <v>1665.18</v>
      </c>
      <c r="Z295" s="128">
        <v>1696.8600000000001</v>
      </c>
      <c r="AA295" s="127">
        <v>1728.5400000000002</v>
      </c>
      <c r="AB295" s="127">
        <v>1782</v>
      </c>
      <c r="AC295" s="128">
        <v>1804.44</v>
      </c>
      <c r="AE295" s="52">
        <v>2024</v>
      </c>
      <c r="AF295" s="122">
        <v>28.557222004479293</v>
      </c>
      <c r="AG295" s="125">
        <v>38.326797953380101</v>
      </c>
      <c r="AH295" s="126">
        <v>48.096373902280916</v>
      </c>
      <c r="AI295" s="122">
        <v>46.299199522538359</v>
      </c>
      <c r="AJ295" s="125">
        <v>61.466178676473355</v>
      </c>
      <c r="AK295" s="126">
        <v>76.633157830408337</v>
      </c>
      <c r="AL295" s="122">
        <v>88.798478127165666</v>
      </c>
      <c r="AM295" s="125">
        <v>102.11824984624052</v>
      </c>
      <c r="AN295" s="126">
        <v>115.43802156531535</v>
      </c>
      <c r="AO295" s="122">
        <v>88.685416839522716</v>
      </c>
      <c r="AP295" s="125">
        <v>99.710186085799563</v>
      </c>
      <c r="AQ295" s="126">
        <v>110.7349553320764</v>
      </c>
    </row>
    <row r="296" spans="1:43" x14ac:dyDescent="0.3">
      <c r="A296" s="41">
        <v>2026</v>
      </c>
      <c r="B296" s="123">
        <v>879.12</v>
      </c>
      <c r="C296" s="127">
        <v>891.66000000000008</v>
      </c>
      <c r="D296" s="127">
        <v>903.54000000000008</v>
      </c>
      <c r="E296" s="123">
        <v>797.94</v>
      </c>
      <c r="F296" s="127">
        <v>809.16000000000008</v>
      </c>
      <c r="G296" s="128">
        <v>819.72</v>
      </c>
      <c r="H296" s="123">
        <v>4125.66</v>
      </c>
      <c r="I296" s="127">
        <v>4125.66</v>
      </c>
      <c r="J296" s="128">
        <v>4278.12</v>
      </c>
      <c r="K296" s="127">
        <v>1954.92</v>
      </c>
      <c r="L296" s="127">
        <v>1965.48</v>
      </c>
      <c r="M296" s="128">
        <v>1983.96</v>
      </c>
      <c r="N296" s="127">
        <v>3015.54</v>
      </c>
      <c r="O296" s="127">
        <v>3084.1800000000003</v>
      </c>
      <c r="P296" s="128">
        <v>3093.42</v>
      </c>
      <c r="Q296" s="127">
        <v>5283.96</v>
      </c>
      <c r="R296" s="127">
        <v>5514.96</v>
      </c>
      <c r="S296" s="128">
        <v>5501.1</v>
      </c>
      <c r="T296" s="83">
        <v>227.70000000000002</v>
      </c>
      <c r="U296" s="1">
        <v>265.32</v>
      </c>
      <c r="V296" s="89">
        <v>246.18</v>
      </c>
      <c r="X296" s="123">
        <v>1440.1200000000001</v>
      </c>
      <c r="Y296" s="127">
        <v>1552.98</v>
      </c>
      <c r="Z296" s="128">
        <v>1612.38</v>
      </c>
      <c r="AA296" s="127">
        <v>1593.9</v>
      </c>
      <c r="AB296" s="127">
        <v>1694.22</v>
      </c>
      <c r="AC296" s="128">
        <v>1737.1200000000001</v>
      </c>
      <c r="AE296" s="24">
        <v>2030</v>
      </c>
      <c r="AF296" s="123">
        <v>22.904569074586632</v>
      </c>
      <c r="AG296" s="127">
        <v>31.964481041421891</v>
      </c>
      <c r="AH296" s="128">
        <v>41.024393008257142</v>
      </c>
      <c r="AI296" s="123">
        <v>36.784125520028851</v>
      </c>
      <c r="AJ296" s="127">
        <v>50.041211217492318</v>
      </c>
      <c r="AK296" s="128">
        <v>63.298296914955785</v>
      </c>
      <c r="AL296" s="123">
        <v>81.601903901449063</v>
      </c>
      <c r="AM296" s="127">
        <v>97.808789205659892</v>
      </c>
      <c r="AN296" s="128">
        <v>114.01567450987072</v>
      </c>
      <c r="AO296" s="123">
        <v>79.890926568572567</v>
      </c>
      <c r="AP296" s="127">
        <v>93.929799129464271</v>
      </c>
      <c r="AQ296" s="128">
        <v>107.96867169035599</v>
      </c>
    </row>
    <row r="297" spans="1:43" x14ac:dyDescent="0.3">
      <c r="A297" s="41">
        <v>2027</v>
      </c>
      <c r="B297" s="123">
        <v>846.78000000000009</v>
      </c>
      <c r="C297" s="127">
        <v>859.32</v>
      </c>
      <c r="D297" s="127">
        <v>872.5200000000001</v>
      </c>
      <c r="E297" s="123">
        <v>767.58</v>
      </c>
      <c r="F297" s="127">
        <v>779.46</v>
      </c>
      <c r="G297" s="128">
        <v>790.68000000000006</v>
      </c>
      <c r="H297" s="123">
        <v>3996.96</v>
      </c>
      <c r="I297" s="127">
        <v>3996.96</v>
      </c>
      <c r="J297" s="128">
        <v>4182.42</v>
      </c>
      <c r="K297" s="127">
        <v>1872.42</v>
      </c>
      <c r="L297" s="127">
        <v>1887.6000000000001</v>
      </c>
      <c r="M297" s="128">
        <v>1914</v>
      </c>
      <c r="N297" s="127">
        <v>2982.54</v>
      </c>
      <c r="O297" s="127">
        <v>3068.34</v>
      </c>
      <c r="P297" s="128">
        <v>3084.1800000000003</v>
      </c>
      <c r="Q297" s="127">
        <v>5203.4400000000005</v>
      </c>
      <c r="R297" s="127">
        <v>5295.18</v>
      </c>
      <c r="S297" s="128">
        <v>5493.18</v>
      </c>
      <c r="T297" s="83">
        <v>211.86</v>
      </c>
      <c r="U297" s="1">
        <v>260.7</v>
      </c>
      <c r="V297" s="89">
        <v>236.28</v>
      </c>
      <c r="X297" s="123">
        <v>1288.98</v>
      </c>
      <c r="Y297" s="127">
        <v>1444.0800000000002</v>
      </c>
      <c r="Z297" s="128">
        <v>1527.24</v>
      </c>
      <c r="AA297" s="127">
        <v>1465.8600000000001</v>
      </c>
      <c r="AB297" s="127">
        <v>1605.78</v>
      </c>
      <c r="AC297" s="128">
        <v>1667.16</v>
      </c>
      <c r="AE297" s="24">
        <v>2040</v>
      </c>
      <c r="AF297" s="123">
        <v>14.632142590615349</v>
      </c>
      <c r="AG297" s="127">
        <v>24.741678717675356</v>
      </c>
      <c r="AH297" s="128">
        <v>34.85121484473536</v>
      </c>
      <c r="AI297" s="123">
        <v>29.613096852748829</v>
      </c>
      <c r="AJ297" s="127">
        <v>40.474468328791701</v>
      </c>
      <c r="AK297" s="128">
        <v>51.335839804834571</v>
      </c>
      <c r="AL297" s="123">
        <v>75.163097128521713</v>
      </c>
      <c r="AM297" s="127">
        <v>93.362813652310351</v>
      </c>
      <c r="AN297" s="128">
        <v>111.562530176099</v>
      </c>
      <c r="AO297" s="123">
        <v>65.541447414123681</v>
      </c>
      <c r="AP297" s="127">
        <v>80.971527894614098</v>
      </c>
      <c r="AQ297" s="128">
        <v>96.401608375104502</v>
      </c>
    </row>
    <row r="298" spans="1:43" ht="15" thickBot="1" x14ac:dyDescent="0.35">
      <c r="A298" s="41">
        <v>2028</v>
      </c>
      <c r="B298" s="123">
        <v>812.46</v>
      </c>
      <c r="C298" s="127">
        <v>830.28000000000009</v>
      </c>
      <c r="D298" s="127">
        <v>847.44</v>
      </c>
      <c r="E298" s="123">
        <v>735.90000000000009</v>
      </c>
      <c r="F298" s="127">
        <v>751.74</v>
      </c>
      <c r="G298" s="128">
        <v>767.58</v>
      </c>
      <c r="H298" s="123">
        <v>3872.88</v>
      </c>
      <c r="I298" s="127">
        <v>3906.54</v>
      </c>
      <c r="J298" s="128">
        <v>4097.9400000000005</v>
      </c>
      <c r="K298" s="127">
        <v>1792.5600000000002</v>
      </c>
      <c r="L298" s="127">
        <v>1812.3600000000001</v>
      </c>
      <c r="M298" s="128">
        <v>1846.02</v>
      </c>
      <c r="N298" s="127">
        <v>2954.1600000000003</v>
      </c>
      <c r="O298" s="127">
        <v>3023.46</v>
      </c>
      <c r="P298" s="128">
        <v>3074.28</v>
      </c>
      <c r="Q298" s="127">
        <v>5132.8200000000006</v>
      </c>
      <c r="R298" s="127">
        <v>5068.1400000000003</v>
      </c>
      <c r="S298" s="128">
        <v>5481.96</v>
      </c>
      <c r="T298" s="83">
        <v>198.66</v>
      </c>
      <c r="U298" s="1">
        <v>256.08</v>
      </c>
      <c r="V298" s="89">
        <v>227.04000000000002</v>
      </c>
      <c r="X298" s="123">
        <v>1154.3400000000001</v>
      </c>
      <c r="Y298" s="127">
        <v>1343.1000000000001</v>
      </c>
      <c r="Z298" s="128">
        <v>1447.38</v>
      </c>
      <c r="AA298" s="127">
        <v>1347.72</v>
      </c>
      <c r="AB298" s="127">
        <v>1522.6200000000001</v>
      </c>
      <c r="AC298" s="128">
        <v>1599.8400000000001</v>
      </c>
      <c r="AE298" s="25">
        <v>2050</v>
      </c>
      <c r="AF298" s="124">
        <v>12.826062174120665</v>
      </c>
      <c r="AG298" s="129">
        <v>20.752662554715506</v>
      </c>
      <c r="AH298" s="130">
        <v>28.679262935310348</v>
      </c>
      <c r="AI298" s="124">
        <v>28.685786704974213</v>
      </c>
      <c r="AJ298" s="129">
        <v>39.149572740632365</v>
      </c>
      <c r="AK298" s="130">
        <v>49.613358776290511</v>
      </c>
      <c r="AL298" s="124">
        <v>69.093463408780991</v>
      </c>
      <c r="AM298" s="129">
        <v>89.07099361770058</v>
      </c>
      <c r="AN298" s="130">
        <v>109.04852382662017</v>
      </c>
      <c r="AO298" s="124">
        <v>55.408095426167144</v>
      </c>
      <c r="AP298" s="129">
        <v>69.560820758718208</v>
      </c>
      <c r="AQ298" s="130">
        <v>83.713546091269265</v>
      </c>
    </row>
    <row r="299" spans="1:43" x14ac:dyDescent="0.3">
      <c r="A299" s="41">
        <v>2029</v>
      </c>
      <c r="B299" s="123">
        <v>781.44</v>
      </c>
      <c r="C299" s="127">
        <v>803.22</v>
      </c>
      <c r="D299" s="127">
        <v>825</v>
      </c>
      <c r="E299" s="123">
        <v>706.86</v>
      </c>
      <c r="F299" s="127">
        <v>726.66000000000008</v>
      </c>
      <c r="G299" s="128">
        <v>746.46</v>
      </c>
      <c r="H299" s="123">
        <v>3730.98</v>
      </c>
      <c r="I299" s="127">
        <v>3832.6200000000003</v>
      </c>
      <c r="J299" s="128">
        <v>4015.44</v>
      </c>
      <c r="K299" s="127">
        <v>1716.66</v>
      </c>
      <c r="L299" s="127">
        <v>1740.42</v>
      </c>
      <c r="M299" s="128">
        <v>1780.68</v>
      </c>
      <c r="N299" s="127">
        <v>2931.06</v>
      </c>
      <c r="O299" s="127">
        <v>2960.1000000000004</v>
      </c>
      <c r="P299" s="128">
        <v>3064.38</v>
      </c>
      <c r="Q299" s="127">
        <v>5072.76</v>
      </c>
      <c r="R299" s="127">
        <v>4777.74</v>
      </c>
      <c r="S299" s="128">
        <v>5472.06</v>
      </c>
      <c r="T299" s="83">
        <v>189.42000000000002</v>
      </c>
      <c r="U299" s="1">
        <v>252.78</v>
      </c>
      <c r="V299" s="89">
        <v>221.10000000000002</v>
      </c>
      <c r="X299" s="123">
        <v>1033.56</v>
      </c>
      <c r="Y299" s="127">
        <v>1248.72</v>
      </c>
      <c r="Z299" s="128">
        <v>1371.48</v>
      </c>
      <c r="AA299" s="127">
        <v>1239.48</v>
      </c>
      <c r="AB299" s="127">
        <v>1443.42</v>
      </c>
      <c r="AC299" s="128">
        <v>1535.8200000000002</v>
      </c>
    </row>
    <row r="300" spans="1:43" x14ac:dyDescent="0.3">
      <c r="A300" s="41">
        <v>2030</v>
      </c>
      <c r="B300" s="123">
        <v>753.06000000000006</v>
      </c>
      <c r="C300" s="127">
        <v>780.78000000000009</v>
      </c>
      <c r="D300" s="127">
        <v>807.84</v>
      </c>
      <c r="E300" s="123">
        <v>680.46</v>
      </c>
      <c r="F300" s="127">
        <v>705.54000000000008</v>
      </c>
      <c r="G300" s="128">
        <v>729.96</v>
      </c>
      <c r="H300" s="123">
        <v>3588.42</v>
      </c>
      <c r="I300" s="127">
        <v>3739.5600000000004</v>
      </c>
      <c r="J300" s="128">
        <v>3942.1800000000003</v>
      </c>
      <c r="K300" s="127">
        <v>1644.0600000000002</v>
      </c>
      <c r="L300" s="127">
        <v>1671.78</v>
      </c>
      <c r="M300" s="128">
        <v>1717.98</v>
      </c>
      <c r="N300" s="127">
        <v>2909.94</v>
      </c>
      <c r="O300" s="127">
        <v>2890.1400000000003</v>
      </c>
      <c r="P300" s="128">
        <v>3055.1400000000003</v>
      </c>
      <c r="Q300" s="127">
        <v>5016.66</v>
      </c>
      <c r="R300" s="127">
        <v>4641.7800000000007</v>
      </c>
      <c r="S300" s="128">
        <v>5466.12</v>
      </c>
      <c r="T300" s="83">
        <v>176.88</v>
      </c>
      <c r="U300" s="1">
        <v>242.22</v>
      </c>
      <c r="V300" s="89">
        <v>210.54000000000002</v>
      </c>
      <c r="X300" s="123">
        <v>925.32</v>
      </c>
      <c r="Y300" s="127">
        <v>1161.6000000000001</v>
      </c>
      <c r="Z300" s="128">
        <v>1298.8800000000001</v>
      </c>
      <c r="AA300" s="127">
        <v>1139.8200000000002</v>
      </c>
      <c r="AB300" s="127">
        <v>1368.18</v>
      </c>
      <c r="AC300" s="128">
        <v>1473.78</v>
      </c>
    </row>
    <row r="301" spans="1:43" x14ac:dyDescent="0.3">
      <c r="A301" s="41">
        <v>2031</v>
      </c>
      <c r="B301" s="123">
        <v>729.30000000000007</v>
      </c>
      <c r="C301" s="127">
        <v>757.68000000000006</v>
      </c>
      <c r="D301" s="127">
        <v>786.06000000000006</v>
      </c>
      <c r="E301" s="123">
        <v>658.02</v>
      </c>
      <c r="F301" s="127">
        <v>683.76</v>
      </c>
      <c r="G301" s="128">
        <v>709.5</v>
      </c>
      <c r="H301" s="123">
        <v>3465.6600000000003</v>
      </c>
      <c r="I301" s="127">
        <v>3628.02</v>
      </c>
      <c r="J301" s="128">
        <v>3875.52</v>
      </c>
      <c r="K301" s="127">
        <v>1574.76</v>
      </c>
      <c r="L301" s="127">
        <v>1605.1200000000001</v>
      </c>
      <c r="M301" s="128">
        <v>1657.26</v>
      </c>
      <c r="N301" s="127">
        <v>2892.1200000000003</v>
      </c>
      <c r="O301" s="127">
        <v>2841.3</v>
      </c>
      <c r="P301" s="128">
        <v>3045.9</v>
      </c>
      <c r="Q301" s="127">
        <v>4969.1400000000003</v>
      </c>
      <c r="R301" s="127">
        <v>4501.8600000000006</v>
      </c>
      <c r="S301" s="128">
        <v>5464.14</v>
      </c>
      <c r="T301" s="83">
        <v>172.92000000000002</v>
      </c>
      <c r="U301" s="1">
        <v>231.66000000000003</v>
      </c>
      <c r="V301" s="89">
        <v>205.26000000000002</v>
      </c>
      <c r="X301" s="123">
        <v>828.96</v>
      </c>
      <c r="Y301" s="127">
        <v>1079.76</v>
      </c>
      <c r="Z301" s="128">
        <v>1230.9000000000001</v>
      </c>
      <c r="AA301" s="127">
        <v>1048.0800000000002</v>
      </c>
      <c r="AB301" s="127">
        <v>1296.9000000000001</v>
      </c>
      <c r="AC301" s="128">
        <v>1415.04</v>
      </c>
    </row>
    <row r="302" spans="1:43" x14ac:dyDescent="0.3">
      <c r="A302" s="41">
        <v>2032</v>
      </c>
      <c r="B302" s="123">
        <v>712.80000000000007</v>
      </c>
      <c r="C302" s="127">
        <v>740.52</v>
      </c>
      <c r="D302" s="127">
        <v>768.24</v>
      </c>
      <c r="E302" s="123">
        <v>642.84</v>
      </c>
      <c r="F302" s="127">
        <v>667.92000000000007</v>
      </c>
      <c r="G302" s="128">
        <v>693</v>
      </c>
      <c r="H302" s="123">
        <v>3375.9</v>
      </c>
      <c r="I302" s="127">
        <v>3507.2400000000002</v>
      </c>
      <c r="J302" s="128">
        <v>3814.8</v>
      </c>
      <c r="K302" s="127">
        <v>1508.1000000000001</v>
      </c>
      <c r="L302" s="127">
        <v>1541.76</v>
      </c>
      <c r="M302" s="128">
        <v>1599.18</v>
      </c>
      <c r="N302" s="127">
        <v>2876.28</v>
      </c>
      <c r="O302" s="127">
        <v>2814.9</v>
      </c>
      <c r="P302" s="128">
        <v>3036</v>
      </c>
      <c r="Q302" s="127">
        <v>4928.22</v>
      </c>
      <c r="R302" s="127">
        <v>4418.04</v>
      </c>
      <c r="S302" s="128">
        <v>5466.12</v>
      </c>
      <c r="T302" s="83">
        <v>168.96</v>
      </c>
      <c r="U302" s="1">
        <v>226.38000000000002</v>
      </c>
      <c r="V302" s="89">
        <v>199.32000000000002</v>
      </c>
      <c r="X302" s="123">
        <v>741.84</v>
      </c>
      <c r="Y302" s="127">
        <v>1004.5200000000001</v>
      </c>
      <c r="Z302" s="128">
        <v>1166.22</v>
      </c>
      <c r="AA302" s="127">
        <v>963.6</v>
      </c>
      <c r="AB302" s="127">
        <v>1229.5800000000002</v>
      </c>
      <c r="AC302" s="128">
        <v>1358.28</v>
      </c>
    </row>
    <row r="303" spans="1:43" x14ac:dyDescent="0.3">
      <c r="A303" s="41">
        <v>2033</v>
      </c>
      <c r="B303" s="123">
        <v>700.92000000000007</v>
      </c>
      <c r="C303" s="127">
        <v>726.66000000000008</v>
      </c>
      <c r="D303" s="127">
        <v>752.40000000000009</v>
      </c>
      <c r="E303" s="123">
        <v>630.96</v>
      </c>
      <c r="F303" s="127">
        <v>654.72</v>
      </c>
      <c r="G303" s="128">
        <v>677.82</v>
      </c>
      <c r="H303" s="123">
        <v>3290.76</v>
      </c>
      <c r="I303" s="127">
        <v>3401.6400000000003</v>
      </c>
      <c r="J303" s="128">
        <v>3759.36</v>
      </c>
      <c r="K303" s="127">
        <v>1444.0800000000002</v>
      </c>
      <c r="L303" s="127">
        <v>1480.38</v>
      </c>
      <c r="M303" s="128">
        <v>1543.0800000000002</v>
      </c>
      <c r="N303" s="127">
        <v>2862.42</v>
      </c>
      <c r="O303" s="127">
        <v>2797.7400000000002</v>
      </c>
      <c r="P303" s="128">
        <v>3026.76</v>
      </c>
      <c r="Q303" s="127">
        <v>4892.58</v>
      </c>
      <c r="R303" s="127">
        <v>4391.6400000000003</v>
      </c>
      <c r="S303" s="128">
        <v>5468.76</v>
      </c>
      <c r="T303" s="83">
        <v>165.66</v>
      </c>
      <c r="U303" s="1">
        <v>220.44</v>
      </c>
      <c r="V303" s="89">
        <v>193.38</v>
      </c>
      <c r="X303" s="123">
        <v>664.62</v>
      </c>
      <c r="Y303" s="127">
        <v>933.90000000000009</v>
      </c>
      <c r="Z303" s="128">
        <v>1105.5</v>
      </c>
      <c r="AA303" s="127">
        <v>886.38</v>
      </c>
      <c r="AB303" s="127">
        <v>1165.56</v>
      </c>
      <c r="AC303" s="128">
        <v>1303.5</v>
      </c>
    </row>
    <row r="304" spans="1:43" x14ac:dyDescent="0.3">
      <c r="A304" s="41">
        <v>2034</v>
      </c>
      <c r="B304" s="123">
        <v>660</v>
      </c>
      <c r="C304" s="127">
        <v>703.56000000000006</v>
      </c>
      <c r="D304" s="127">
        <v>746.46</v>
      </c>
      <c r="E304" s="123">
        <v>594</v>
      </c>
      <c r="F304" s="127">
        <v>632.28000000000009</v>
      </c>
      <c r="G304" s="128">
        <v>671.22</v>
      </c>
      <c r="H304" s="123">
        <v>3219.48</v>
      </c>
      <c r="I304" s="127">
        <v>3313.86</v>
      </c>
      <c r="J304" s="128">
        <v>3707.88</v>
      </c>
      <c r="K304" s="127">
        <v>1382.7</v>
      </c>
      <c r="L304" s="127">
        <v>1421.64</v>
      </c>
      <c r="M304" s="128">
        <v>1472.46</v>
      </c>
      <c r="N304" s="127">
        <v>2849.88</v>
      </c>
      <c r="O304" s="127">
        <v>2789.1600000000003</v>
      </c>
      <c r="P304" s="128">
        <v>3017.52</v>
      </c>
      <c r="Q304" s="127">
        <v>4861.5600000000004</v>
      </c>
      <c r="R304" s="127">
        <v>4375.8</v>
      </c>
      <c r="S304" s="128">
        <v>5470.7400000000007</v>
      </c>
      <c r="T304" s="83">
        <v>162.36000000000001</v>
      </c>
      <c r="U304" s="1">
        <v>215.16</v>
      </c>
      <c r="V304" s="89">
        <v>187.44</v>
      </c>
      <c r="X304" s="123">
        <v>595.32000000000005</v>
      </c>
      <c r="Y304" s="127">
        <v>868.56000000000006</v>
      </c>
      <c r="Z304" s="128">
        <v>1047.42</v>
      </c>
      <c r="AA304" s="127">
        <v>815.1</v>
      </c>
      <c r="AB304" s="127">
        <v>1105.5</v>
      </c>
      <c r="AC304" s="128">
        <v>1251.3600000000001</v>
      </c>
    </row>
    <row r="305" spans="1:29" x14ac:dyDescent="0.3">
      <c r="A305" s="41">
        <v>2035</v>
      </c>
      <c r="B305" s="123">
        <v>601.26</v>
      </c>
      <c r="C305" s="127">
        <v>671.22</v>
      </c>
      <c r="D305" s="127">
        <v>741.18000000000006</v>
      </c>
      <c r="E305" s="123">
        <v>539.88</v>
      </c>
      <c r="F305" s="127">
        <v>603.24</v>
      </c>
      <c r="G305" s="128">
        <v>665.94</v>
      </c>
      <c r="H305" s="123">
        <v>3146.2200000000003</v>
      </c>
      <c r="I305" s="127">
        <v>3242.58</v>
      </c>
      <c r="J305" s="128">
        <v>3659.7000000000003</v>
      </c>
      <c r="K305" s="127">
        <v>1339.8</v>
      </c>
      <c r="L305" s="127">
        <v>1382.04</v>
      </c>
      <c r="M305" s="128">
        <v>1420.3200000000002</v>
      </c>
      <c r="N305" s="127">
        <v>2838.6600000000003</v>
      </c>
      <c r="O305" s="127">
        <v>2773.32</v>
      </c>
      <c r="P305" s="128">
        <v>3008.28</v>
      </c>
      <c r="Q305" s="127">
        <v>4834.5</v>
      </c>
      <c r="R305" s="127">
        <v>4338.18</v>
      </c>
      <c r="S305" s="128">
        <v>5472.06</v>
      </c>
      <c r="T305" s="83">
        <v>159.06</v>
      </c>
      <c r="U305" s="1">
        <v>210.54000000000002</v>
      </c>
      <c r="V305" s="89">
        <v>182.16</v>
      </c>
      <c r="X305" s="123">
        <v>566.94000000000005</v>
      </c>
      <c r="Y305" s="127">
        <v>848.1</v>
      </c>
      <c r="Z305" s="128">
        <v>1036.8600000000001</v>
      </c>
      <c r="AA305" s="127">
        <v>795.96</v>
      </c>
      <c r="AB305" s="127">
        <v>1098.24</v>
      </c>
      <c r="AC305" s="128">
        <v>1254</v>
      </c>
    </row>
    <row r="306" spans="1:29" x14ac:dyDescent="0.3">
      <c r="A306" s="41">
        <v>2036</v>
      </c>
      <c r="B306" s="123">
        <v>535.92000000000007</v>
      </c>
      <c r="C306" s="127">
        <v>635.58000000000004</v>
      </c>
      <c r="D306" s="127">
        <v>735.90000000000009</v>
      </c>
      <c r="E306" s="123">
        <v>481.14000000000004</v>
      </c>
      <c r="F306" s="127">
        <v>570.24</v>
      </c>
      <c r="G306" s="128">
        <v>660</v>
      </c>
      <c r="H306" s="123">
        <v>3084.84</v>
      </c>
      <c r="I306" s="127">
        <v>3189.1200000000003</v>
      </c>
      <c r="J306" s="128">
        <v>3614.1600000000003</v>
      </c>
      <c r="K306" s="127">
        <v>1313.4</v>
      </c>
      <c r="L306" s="127">
        <v>1361.5800000000002</v>
      </c>
      <c r="M306" s="128">
        <v>1382.04</v>
      </c>
      <c r="N306" s="127">
        <v>2828.76</v>
      </c>
      <c r="O306" s="127">
        <v>2762.1</v>
      </c>
      <c r="P306" s="128">
        <v>2999.04</v>
      </c>
      <c r="Q306" s="127">
        <v>4810.08</v>
      </c>
      <c r="R306" s="127">
        <v>4292.6400000000003</v>
      </c>
      <c r="S306" s="128">
        <v>5468.76</v>
      </c>
      <c r="T306" s="83">
        <v>155.76000000000002</v>
      </c>
      <c r="U306" s="1">
        <v>205.92000000000002</v>
      </c>
      <c r="V306" s="89">
        <v>176.88</v>
      </c>
      <c r="X306" s="123">
        <v>535.26</v>
      </c>
      <c r="Y306" s="127">
        <v>832.92000000000007</v>
      </c>
      <c r="Z306" s="128">
        <v>1021.0200000000001</v>
      </c>
      <c r="AA306" s="127">
        <v>769.56000000000006</v>
      </c>
      <c r="AB306" s="127">
        <v>1096.92</v>
      </c>
      <c r="AC306" s="128">
        <v>1249.3800000000001</v>
      </c>
    </row>
    <row r="307" spans="1:29" x14ac:dyDescent="0.3">
      <c r="A307" s="41">
        <v>2037</v>
      </c>
      <c r="B307" s="123">
        <v>498.96000000000004</v>
      </c>
      <c r="C307" s="127">
        <v>613.80000000000007</v>
      </c>
      <c r="D307" s="127">
        <v>728.64</v>
      </c>
      <c r="E307" s="123">
        <v>446.82</v>
      </c>
      <c r="F307" s="127">
        <v>549.78</v>
      </c>
      <c r="G307" s="128">
        <v>652.74</v>
      </c>
      <c r="H307" s="123">
        <v>3022.1400000000003</v>
      </c>
      <c r="I307" s="127">
        <v>3140.28</v>
      </c>
      <c r="J307" s="128">
        <v>3571.26</v>
      </c>
      <c r="K307" s="127">
        <v>1303.5</v>
      </c>
      <c r="L307" s="127">
        <v>1357.6200000000001</v>
      </c>
      <c r="M307" s="128">
        <v>1376.1000000000001</v>
      </c>
      <c r="N307" s="127">
        <v>2818.86</v>
      </c>
      <c r="O307" s="127">
        <v>2736.36</v>
      </c>
      <c r="P307" s="128">
        <v>2989.8</v>
      </c>
      <c r="Q307" s="127">
        <v>4788.96</v>
      </c>
      <c r="R307" s="127">
        <v>4252.38</v>
      </c>
      <c r="S307" s="128">
        <v>5452.92</v>
      </c>
      <c r="T307" s="83">
        <v>153.12</v>
      </c>
      <c r="U307" s="1">
        <v>201.3</v>
      </c>
      <c r="V307" s="89">
        <v>171.6</v>
      </c>
      <c r="X307" s="123">
        <v>504.90000000000003</v>
      </c>
      <c r="Y307" s="127">
        <v>818.40000000000009</v>
      </c>
      <c r="Z307" s="128">
        <v>1005.1800000000001</v>
      </c>
      <c r="AA307" s="127">
        <v>742.5</v>
      </c>
      <c r="AB307" s="127">
        <v>1096.26</v>
      </c>
      <c r="AC307" s="128">
        <v>1244.1000000000001</v>
      </c>
    </row>
    <row r="308" spans="1:29" x14ac:dyDescent="0.3">
      <c r="A308" s="41">
        <v>2038</v>
      </c>
      <c r="B308" s="123">
        <v>475.20000000000005</v>
      </c>
      <c r="C308" s="127">
        <v>597.30000000000007</v>
      </c>
      <c r="D308" s="127">
        <v>719.4</v>
      </c>
      <c r="E308" s="123">
        <v>425.70000000000005</v>
      </c>
      <c r="F308" s="127">
        <v>534.6</v>
      </c>
      <c r="G308" s="128">
        <v>643.5</v>
      </c>
      <c r="H308" s="123">
        <v>2964.06</v>
      </c>
      <c r="I308" s="127">
        <v>3098.04</v>
      </c>
      <c r="J308" s="128">
        <v>3531</v>
      </c>
      <c r="K308" s="127">
        <v>1294.92</v>
      </c>
      <c r="L308" s="127">
        <v>1354.3200000000002</v>
      </c>
      <c r="M308" s="128">
        <v>1368.8400000000001</v>
      </c>
      <c r="N308" s="127">
        <v>2810.28</v>
      </c>
      <c r="O308" s="127">
        <v>2704.02</v>
      </c>
      <c r="P308" s="128">
        <v>2980.56</v>
      </c>
      <c r="Q308" s="127">
        <v>4769.8200000000006</v>
      </c>
      <c r="R308" s="127">
        <v>4226.6400000000003</v>
      </c>
      <c r="S308" s="128">
        <v>5424.54</v>
      </c>
      <c r="T308" s="83">
        <v>150.48000000000002</v>
      </c>
      <c r="U308" s="1">
        <v>197.34</v>
      </c>
      <c r="V308" s="89">
        <v>166.98000000000002</v>
      </c>
      <c r="X308" s="123">
        <v>479.16</v>
      </c>
      <c r="Y308" s="127">
        <v>801.90000000000009</v>
      </c>
      <c r="Z308" s="128">
        <v>975.48</v>
      </c>
      <c r="AA308" s="127">
        <v>721.38</v>
      </c>
      <c r="AB308" s="127">
        <v>1091.6400000000001</v>
      </c>
      <c r="AC308" s="128">
        <v>1221.6600000000001</v>
      </c>
    </row>
    <row r="309" spans="1:29" x14ac:dyDescent="0.3">
      <c r="A309" s="41">
        <v>2039</v>
      </c>
      <c r="B309" s="123">
        <v>457.38</v>
      </c>
      <c r="C309" s="127">
        <v>578.82000000000005</v>
      </c>
      <c r="D309" s="127">
        <v>700.92000000000007</v>
      </c>
      <c r="E309" s="123">
        <v>408.54</v>
      </c>
      <c r="F309" s="127">
        <v>517.44000000000005</v>
      </c>
      <c r="G309" s="128">
        <v>626.34</v>
      </c>
      <c r="H309" s="123">
        <v>2890.8</v>
      </c>
      <c r="I309" s="127">
        <v>3052.5</v>
      </c>
      <c r="J309" s="128">
        <v>3492.06</v>
      </c>
      <c r="K309" s="127">
        <v>1287</v>
      </c>
      <c r="L309" s="127">
        <v>1349.7</v>
      </c>
      <c r="M309" s="128">
        <v>1360.26</v>
      </c>
      <c r="N309" s="127">
        <v>2802.36</v>
      </c>
      <c r="O309" s="127">
        <v>2655.1800000000003</v>
      </c>
      <c r="P309" s="128">
        <v>2971.98</v>
      </c>
      <c r="Q309" s="127">
        <v>4752.66</v>
      </c>
      <c r="R309" s="127">
        <v>4194.3</v>
      </c>
      <c r="S309" s="128">
        <v>5390.22</v>
      </c>
      <c r="T309" s="83">
        <v>147.18</v>
      </c>
      <c r="U309" s="1">
        <v>192.72</v>
      </c>
      <c r="V309" s="89">
        <v>163.02000000000001</v>
      </c>
      <c r="X309" s="123">
        <v>455.40000000000003</v>
      </c>
      <c r="Y309" s="127">
        <v>786.06000000000006</v>
      </c>
      <c r="Z309" s="128">
        <v>943.1400000000001</v>
      </c>
      <c r="AA309" s="127">
        <v>700.26</v>
      </c>
      <c r="AB309" s="127">
        <v>1087.68</v>
      </c>
      <c r="AC309" s="128">
        <v>1193.94</v>
      </c>
    </row>
    <row r="310" spans="1:29" x14ac:dyDescent="0.3">
      <c r="A310" s="41">
        <v>2040</v>
      </c>
      <c r="B310" s="123">
        <v>442.86</v>
      </c>
      <c r="C310" s="127">
        <v>556.38</v>
      </c>
      <c r="D310" s="127">
        <v>670.56000000000006</v>
      </c>
      <c r="E310" s="123">
        <v>395.34000000000003</v>
      </c>
      <c r="F310" s="127">
        <v>496.98</v>
      </c>
      <c r="G310" s="128">
        <v>598.62</v>
      </c>
      <c r="H310" s="123">
        <v>2817.54</v>
      </c>
      <c r="I310" s="127">
        <v>3016.2000000000003</v>
      </c>
      <c r="J310" s="128">
        <v>3443.2200000000003</v>
      </c>
      <c r="K310" s="127">
        <v>1280.4000000000001</v>
      </c>
      <c r="L310" s="127">
        <v>1345.74</v>
      </c>
      <c r="M310" s="128">
        <v>1351.02</v>
      </c>
      <c r="N310" s="127">
        <v>2795.1</v>
      </c>
      <c r="O310" s="127">
        <v>2614.2600000000002</v>
      </c>
      <c r="P310" s="128">
        <v>2962.7400000000002</v>
      </c>
      <c r="Q310" s="127">
        <v>4737.4800000000005</v>
      </c>
      <c r="R310" s="127">
        <v>4085.4</v>
      </c>
      <c r="S310" s="128">
        <v>5368.4400000000005</v>
      </c>
      <c r="T310" s="83">
        <v>147.18</v>
      </c>
      <c r="U310" s="1">
        <v>191.4</v>
      </c>
      <c r="V310" s="89">
        <v>161.70000000000002</v>
      </c>
      <c r="X310" s="123">
        <v>434.28000000000003</v>
      </c>
      <c r="Y310" s="127">
        <v>756.36</v>
      </c>
      <c r="Z310" s="128">
        <v>894.96</v>
      </c>
      <c r="AA310" s="127">
        <v>682.44</v>
      </c>
      <c r="AB310" s="127">
        <v>1063.26</v>
      </c>
      <c r="AC310" s="128">
        <v>1146.42</v>
      </c>
    </row>
    <row r="311" spans="1:29" x14ac:dyDescent="0.3">
      <c r="A311" s="41">
        <v>2041</v>
      </c>
      <c r="B311" s="123">
        <v>430.98</v>
      </c>
      <c r="C311" s="127">
        <v>533.28</v>
      </c>
      <c r="D311" s="127">
        <v>634.92000000000007</v>
      </c>
      <c r="E311" s="123">
        <v>384.78000000000003</v>
      </c>
      <c r="F311" s="127">
        <v>475.86</v>
      </c>
      <c r="G311" s="128">
        <v>566.94000000000005</v>
      </c>
      <c r="H311" s="123">
        <v>2733.7200000000003</v>
      </c>
      <c r="I311" s="127">
        <v>2970.6600000000003</v>
      </c>
      <c r="J311" s="128">
        <v>3382.5</v>
      </c>
      <c r="K311" s="127">
        <v>1273.1400000000001</v>
      </c>
      <c r="L311" s="127">
        <v>1341.78</v>
      </c>
      <c r="M311" s="128">
        <v>1342.44</v>
      </c>
      <c r="N311" s="127">
        <v>2787.1800000000003</v>
      </c>
      <c r="O311" s="127">
        <v>2579.2800000000002</v>
      </c>
      <c r="P311" s="128">
        <v>2952.84</v>
      </c>
      <c r="Q311" s="127">
        <v>4721.6400000000003</v>
      </c>
      <c r="R311" s="127">
        <v>3983.76</v>
      </c>
      <c r="S311" s="128">
        <v>5357.22</v>
      </c>
      <c r="T311" s="83">
        <v>146.52000000000001</v>
      </c>
      <c r="U311" s="1">
        <v>190.08</v>
      </c>
      <c r="V311" s="89">
        <v>160.38</v>
      </c>
      <c r="X311" s="123">
        <v>415.14000000000004</v>
      </c>
      <c r="Y311" s="127">
        <v>743.16000000000008</v>
      </c>
      <c r="Z311" s="128">
        <v>885.72</v>
      </c>
      <c r="AA311" s="127">
        <v>665.94</v>
      </c>
      <c r="AB311" s="127">
        <v>1061.28</v>
      </c>
      <c r="AC311" s="128">
        <v>1147.0800000000002</v>
      </c>
    </row>
    <row r="312" spans="1:29" x14ac:dyDescent="0.3">
      <c r="A312" s="41">
        <v>2042</v>
      </c>
      <c r="B312" s="123">
        <v>421.74</v>
      </c>
      <c r="C312" s="127">
        <v>514.80000000000007</v>
      </c>
      <c r="D312" s="127">
        <v>607.86</v>
      </c>
      <c r="E312" s="123">
        <v>376.20000000000005</v>
      </c>
      <c r="F312" s="127">
        <v>459.36</v>
      </c>
      <c r="G312" s="128">
        <v>541.86</v>
      </c>
      <c r="H312" s="123">
        <v>2662.44</v>
      </c>
      <c r="I312" s="127">
        <v>2924.46</v>
      </c>
      <c r="J312" s="128">
        <v>3313.2000000000003</v>
      </c>
      <c r="K312" s="127">
        <v>1267.2</v>
      </c>
      <c r="L312" s="127">
        <v>1339.14</v>
      </c>
      <c r="M312" s="128">
        <v>1336.5</v>
      </c>
      <c r="N312" s="127">
        <v>2779.26</v>
      </c>
      <c r="O312" s="127">
        <v>2552.88</v>
      </c>
      <c r="P312" s="128">
        <v>2942.94</v>
      </c>
      <c r="Q312" s="127">
        <v>4707.7800000000007</v>
      </c>
      <c r="R312" s="127">
        <v>3888.7200000000003</v>
      </c>
      <c r="S312" s="128">
        <v>5357.22</v>
      </c>
      <c r="T312" s="83">
        <v>145.86000000000001</v>
      </c>
      <c r="U312" s="1">
        <v>189.42000000000002</v>
      </c>
      <c r="V312" s="89">
        <v>159.06</v>
      </c>
      <c r="X312" s="123">
        <v>397.98</v>
      </c>
      <c r="Y312" s="127">
        <v>718.08</v>
      </c>
      <c r="Z312" s="128">
        <v>874.5</v>
      </c>
      <c r="AA312" s="127">
        <v>651.42000000000007</v>
      </c>
      <c r="AB312" s="127">
        <v>1040.82</v>
      </c>
      <c r="AC312" s="128">
        <v>1144.44</v>
      </c>
    </row>
    <row r="313" spans="1:29" x14ac:dyDescent="0.3">
      <c r="A313" s="41">
        <v>2043</v>
      </c>
      <c r="B313" s="123">
        <v>414.48</v>
      </c>
      <c r="C313" s="127">
        <v>502.26000000000005</v>
      </c>
      <c r="D313" s="127">
        <v>590.70000000000005</v>
      </c>
      <c r="E313" s="123">
        <v>369.6</v>
      </c>
      <c r="F313" s="127">
        <v>448.14000000000004</v>
      </c>
      <c r="G313" s="128">
        <v>526.68000000000006</v>
      </c>
      <c r="H313" s="123">
        <v>2587.86</v>
      </c>
      <c r="I313" s="127">
        <v>2875.6200000000003</v>
      </c>
      <c r="J313" s="128">
        <v>3248.52</v>
      </c>
      <c r="K313" s="127">
        <v>1262.5800000000002</v>
      </c>
      <c r="L313" s="127">
        <v>1335.8400000000001</v>
      </c>
      <c r="M313" s="128">
        <v>1331.88</v>
      </c>
      <c r="N313" s="127">
        <v>2772</v>
      </c>
      <c r="O313" s="127">
        <v>2529.7800000000002</v>
      </c>
      <c r="P313" s="128">
        <v>2933.04</v>
      </c>
      <c r="Q313" s="127">
        <v>4695.24</v>
      </c>
      <c r="R313" s="127">
        <v>3862.32</v>
      </c>
      <c r="S313" s="128">
        <v>5357.22</v>
      </c>
      <c r="T313" s="83">
        <v>145.86000000000001</v>
      </c>
      <c r="U313" s="1">
        <v>188.10000000000002</v>
      </c>
      <c r="V313" s="89">
        <v>158.4</v>
      </c>
      <c r="X313" s="123">
        <v>382.8</v>
      </c>
      <c r="Y313" s="127">
        <v>694.98</v>
      </c>
      <c r="Z313" s="128">
        <v>864.6</v>
      </c>
      <c r="AA313" s="127">
        <v>638.88</v>
      </c>
      <c r="AB313" s="127">
        <v>1022.34</v>
      </c>
      <c r="AC313" s="128">
        <v>1143.78</v>
      </c>
    </row>
    <row r="314" spans="1:29" x14ac:dyDescent="0.3">
      <c r="A314" s="41">
        <v>2044</v>
      </c>
      <c r="B314" s="123">
        <v>408.54</v>
      </c>
      <c r="C314" s="127">
        <v>493.02000000000004</v>
      </c>
      <c r="D314" s="127">
        <v>577.5</v>
      </c>
      <c r="E314" s="123">
        <v>363.66</v>
      </c>
      <c r="F314" s="127">
        <v>439.56</v>
      </c>
      <c r="G314" s="128">
        <v>514.80000000000007</v>
      </c>
      <c r="H314" s="123">
        <v>2528.46</v>
      </c>
      <c r="I314" s="127">
        <v>2830.08</v>
      </c>
      <c r="J314" s="128">
        <v>3187.8</v>
      </c>
      <c r="K314" s="127">
        <v>1258.6200000000001</v>
      </c>
      <c r="L314" s="127">
        <v>1333.2</v>
      </c>
      <c r="M314" s="128">
        <v>1328.5800000000002</v>
      </c>
      <c r="N314" s="127">
        <v>2765.4</v>
      </c>
      <c r="O314" s="127">
        <v>2509.98</v>
      </c>
      <c r="P314" s="128">
        <v>2923.1400000000003</v>
      </c>
      <c r="Q314" s="127">
        <v>4683.3600000000006</v>
      </c>
      <c r="R314" s="127">
        <v>3839.88</v>
      </c>
      <c r="S314" s="128">
        <v>5355.9000000000005</v>
      </c>
      <c r="T314" s="83">
        <v>145.86000000000001</v>
      </c>
      <c r="U314" s="1">
        <v>187.44</v>
      </c>
      <c r="V314" s="89">
        <v>157.74</v>
      </c>
      <c r="X314" s="123">
        <v>368.94</v>
      </c>
      <c r="Y314" s="127">
        <v>675.84</v>
      </c>
      <c r="Z314" s="128">
        <v>848.1</v>
      </c>
      <c r="AA314" s="127">
        <v>627</v>
      </c>
      <c r="AB314" s="127">
        <v>1009.1400000000001</v>
      </c>
      <c r="AC314" s="128">
        <v>1133.22</v>
      </c>
    </row>
    <row r="315" spans="1:29" x14ac:dyDescent="0.3">
      <c r="A315" s="41">
        <v>2045</v>
      </c>
      <c r="B315" s="123">
        <v>402.6</v>
      </c>
      <c r="C315" s="127">
        <v>483.78000000000003</v>
      </c>
      <c r="D315" s="127">
        <v>565.62</v>
      </c>
      <c r="E315" s="123">
        <v>358.38</v>
      </c>
      <c r="F315" s="127">
        <v>430.98</v>
      </c>
      <c r="G315" s="128">
        <v>503.58000000000004</v>
      </c>
      <c r="H315" s="123">
        <v>2473.02</v>
      </c>
      <c r="I315" s="127">
        <v>2789.82</v>
      </c>
      <c r="J315" s="128">
        <v>3130.38</v>
      </c>
      <c r="K315" s="127">
        <v>1254.6600000000001</v>
      </c>
      <c r="L315" s="127">
        <v>1331.22</v>
      </c>
      <c r="M315" s="128">
        <v>1324.6200000000001</v>
      </c>
      <c r="N315" s="127">
        <v>2758.8</v>
      </c>
      <c r="O315" s="127">
        <v>2491.5</v>
      </c>
      <c r="P315" s="128">
        <v>2913.2400000000002</v>
      </c>
      <c r="Q315" s="127">
        <v>4672.8</v>
      </c>
      <c r="R315" s="127">
        <v>3820.0800000000004</v>
      </c>
      <c r="S315" s="128">
        <v>5354.58</v>
      </c>
      <c r="T315" s="83">
        <v>145.20000000000002</v>
      </c>
      <c r="U315" s="1">
        <v>186.78</v>
      </c>
      <c r="V315" s="89">
        <v>157.08000000000001</v>
      </c>
      <c r="X315" s="123">
        <v>356.40000000000003</v>
      </c>
      <c r="Y315" s="127">
        <v>660</v>
      </c>
      <c r="Z315" s="128">
        <v>836.88</v>
      </c>
      <c r="AA315" s="127">
        <v>616.44000000000005</v>
      </c>
      <c r="AB315" s="127">
        <v>998.58</v>
      </c>
      <c r="AC315" s="128">
        <v>1130.5800000000002</v>
      </c>
    </row>
    <row r="316" spans="1:29" x14ac:dyDescent="0.3">
      <c r="A316" s="41">
        <v>2046</v>
      </c>
      <c r="B316" s="123">
        <v>397.98</v>
      </c>
      <c r="C316" s="127">
        <v>475.86</v>
      </c>
      <c r="D316" s="127">
        <v>554.4</v>
      </c>
      <c r="E316" s="123">
        <v>354.42</v>
      </c>
      <c r="F316" s="127">
        <v>423.72</v>
      </c>
      <c r="G316" s="128">
        <v>493.68</v>
      </c>
      <c r="H316" s="123">
        <v>2427.48</v>
      </c>
      <c r="I316" s="127">
        <v>2742.3</v>
      </c>
      <c r="J316" s="128">
        <v>3076.26</v>
      </c>
      <c r="K316" s="127">
        <v>1250.7</v>
      </c>
      <c r="L316" s="127">
        <v>1328.5800000000002</v>
      </c>
      <c r="M316" s="128">
        <v>1320.66</v>
      </c>
      <c r="N316" s="127">
        <v>2752.2000000000003</v>
      </c>
      <c r="O316" s="127">
        <v>2475.6600000000003</v>
      </c>
      <c r="P316" s="128">
        <v>2903.34</v>
      </c>
      <c r="Q316" s="127">
        <v>4662.9000000000005</v>
      </c>
      <c r="R316" s="127">
        <v>3802.92</v>
      </c>
      <c r="S316" s="128">
        <v>5353.92</v>
      </c>
      <c r="T316" s="83">
        <v>145.20000000000002</v>
      </c>
      <c r="U316" s="1">
        <v>186.12</v>
      </c>
      <c r="V316" s="89">
        <v>156.42000000000002</v>
      </c>
      <c r="X316" s="123">
        <v>344.52000000000004</v>
      </c>
      <c r="Y316" s="127">
        <v>645.48</v>
      </c>
      <c r="Z316" s="128">
        <v>820.38</v>
      </c>
      <c r="AA316" s="127">
        <v>606.54000000000008</v>
      </c>
      <c r="AB316" s="127">
        <v>990.66000000000008</v>
      </c>
      <c r="AC316" s="128">
        <v>1118.7</v>
      </c>
    </row>
    <row r="317" spans="1:29" x14ac:dyDescent="0.3">
      <c r="A317" s="41">
        <v>2047</v>
      </c>
      <c r="B317" s="123">
        <v>393.36</v>
      </c>
      <c r="C317" s="127">
        <v>469.26000000000005</v>
      </c>
      <c r="D317" s="127">
        <v>544.5</v>
      </c>
      <c r="E317" s="123">
        <v>349.8</v>
      </c>
      <c r="F317" s="127">
        <v>417.12</v>
      </c>
      <c r="G317" s="128">
        <v>485.1</v>
      </c>
      <c r="H317" s="123">
        <v>2384.58</v>
      </c>
      <c r="I317" s="127">
        <v>2688.1800000000003</v>
      </c>
      <c r="J317" s="128">
        <v>3024.78</v>
      </c>
      <c r="K317" s="127">
        <v>1246.0800000000002</v>
      </c>
      <c r="L317" s="127">
        <v>1325.94</v>
      </c>
      <c r="M317" s="128">
        <v>1315.38</v>
      </c>
      <c r="N317" s="127">
        <v>2746.26</v>
      </c>
      <c r="O317" s="127">
        <v>2461.1400000000003</v>
      </c>
      <c r="P317" s="128">
        <v>2894.1000000000004</v>
      </c>
      <c r="Q317" s="127">
        <v>4653.66</v>
      </c>
      <c r="R317" s="127">
        <v>3787.7400000000002</v>
      </c>
      <c r="S317" s="128">
        <v>5353.26</v>
      </c>
      <c r="T317" s="83">
        <v>144.54000000000002</v>
      </c>
      <c r="U317" s="1">
        <v>185.46</v>
      </c>
      <c r="V317" s="89">
        <v>155.76000000000002</v>
      </c>
      <c r="X317" s="123">
        <v>333.96000000000004</v>
      </c>
      <c r="Y317" s="127">
        <v>632.94000000000005</v>
      </c>
      <c r="Z317" s="128">
        <v>809.82</v>
      </c>
      <c r="AA317" s="127">
        <v>597.30000000000007</v>
      </c>
      <c r="AB317" s="127">
        <v>984.06000000000006</v>
      </c>
      <c r="AC317" s="128">
        <v>1115.4000000000001</v>
      </c>
    </row>
    <row r="318" spans="1:29" x14ac:dyDescent="0.3">
      <c r="A318" s="41">
        <v>2048</v>
      </c>
      <c r="B318" s="123">
        <v>390.06</v>
      </c>
      <c r="C318" s="127">
        <v>463.98</v>
      </c>
      <c r="D318" s="127">
        <v>538.56000000000006</v>
      </c>
      <c r="E318" s="123">
        <v>347.16</v>
      </c>
      <c r="F318" s="127">
        <v>413.16</v>
      </c>
      <c r="G318" s="128">
        <v>479.16</v>
      </c>
      <c r="H318" s="123">
        <v>2344.3200000000002</v>
      </c>
      <c r="I318" s="127">
        <v>2623.5</v>
      </c>
      <c r="J318" s="128">
        <v>2976.6000000000004</v>
      </c>
      <c r="K318" s="127">
        <v>1241.46</v>
      </c>
      <c r="L318" s="127">
        <v>1323.96</v>
      </c>
      <c r="M318" s="128">
        <v>1310.1000000000001</v>
      </c>
      <c r="N318" s="127">
        <v>2739.6600000000003</v>
      </c>
      <c r="O318" s="127">
        <v>2447.94</v>
      </c>
      <c r="P318" s="128">
        <v>2884.2000000000003</v>
      </c>
      <c r="Q318" s="127">
        <v>4644.42</v>
      </c>
      <c r="R318" s="127">
        <v>3774.54</v>
      </c>
      <c r="S318" s="128">
        <v>5353.26</v>
      </c>
      <c r="T318" s="83">
        <v>144.54000000000002</v>
      </c>
      <c r="U318" s="1">
        <v>184.8</v>
      </c>
      <c r="V318" s="89">
        <v>155.1</v>
      </c>
      <c r="X318" s="123">
        <v>320.76</v>
      </c>
      <c r="Y318" s="127">
        <v>621.06000000000006</v>
      </c>
      <c r="Z318" s="128">
        <v>795.30000000000007</v>
      </c>
      <c r="AA318" s="127">
        <v>583.44000000000005</v>
      </c>
      <c r="AB318" s="127">
        <v>978.78000000000009</v>
      </c>
      <c r="AC318" s="128">
        <v>1106.1600000000001</v>
      </c>
    </row>
    <row r="319" spans="1:29" x14ac:dyDescent="0.3">
      <c r="A319" s="41">
        <v>2049</v>
      </c>
      <c r="B319" s="123">
        <v>381.48</v>
      </c>
      <c r="C319" s="127">
        <v>458.04</v>
      </c>
      <c r="D319" s="127">
        <v>534.6</v>
      </c>
      <c r="E319" s="123">
        <v>339.24</v>
      </c>
      <c r="F319" s="127">
        <v>407.22</v>
      </c>
      <c r="G319" s="128">
        <v>475.20000000000005</v>
      </c>
      <c r="H319" s="123">
        <v>2305.38</v>
      </c>
      <c r="I319" s="127">
        <v>2561.46</v>
      </c>
      <c r="J319" s="128">
        <v>2929.7400000000002</v>
      </c>
      <c r="K319" s="127">
        <v>1236.18</v>
      </c>
      <c r="L319" s="127">
        <v>1321.98</v>
      </c>
      <c r="M319" s="128">
        <v>1302.8400000000001</v>
      </c>
      <c r="N319" s="127">
        <v>2733.7200000000003</v>
      </c>
      <c r="O319" s="127">
        <v>2436.06</v>
      </c>
      <c r="P319" s="128">
        <v>2874.3</v>
      </c>
      <c r="Q319" s="127">
        <v>4633.2</v>
      </c>
      <c r="R319" s="127">
        <v>3762</v>
      </c>
      <c r="S319" s="128">
        <v>5353.26</v>
      </c>
      <c r="T319" s="83">
        <v>144.54000000000002</v>
      </c>
      <c r="U319" s="1">
        <v>184.14000000000001</v>
      </c>
      <c r="V319" s="89">
        <v>154.44</v>
      </c>
      <c r="X319" s="123">
        <v>308.22000000000003</v>
      </c>
      <c r="Y319" s="127">
        <v>609.84</v>
      </c>
      <c r="Z319" s="128">
        <v>771.54000000000008</v>
      </c>
      <c r="AA319" s="127">
        <v>568.92000000000007</v>
      </c>
      <c r="AB319" s="127">
        <v>973.5</v>
      </c>
      <c r="AC319" s="128">
        <v>1083.72</v>
      </c>
    </row>
    <row r="320" spans="1:29" x14ac:dyDescent="0.3">
      <c r="A320" s="41">
        <v>2050</v>
      </c>
      <c r="B320" s="123">
        <v>375.54</v>
      </c>
      <c r="C320" s="127">
        <v>454.08000000000004</v>
      </c>
      <c r="D320" s="127">
        <v>532.62</v>
      </c>
      <c r="E320" s="123">
        <v>333.3</v>
      </c>
      <c r="F320" s="127">
        <v>403.92</v>
      </c>
      <c r="G320" s="128">
        <v>473.88</v>
      </c>
      <c r="H320" s="123">
        <v>2273.04</v>
      </c>
      <c r="I320" s="127">
        <v>2517.2400000000002</v>
      </c>
      <c r="J320" s="128">
        <v>2896.08</v>
      </c>
      <c r="K320" s="127">
        <v>1232.8800000000001</v>
      </c>
      <c r="L320" s="127">
        <v>1320.66</v>
      </c>
      <c r="M320" s="128">
        <v>1298.22</v>
      </c>
      <c r="N320" s="127">
        <v>2729.76</v>
      </c>
      <c r="O320" s="127">
        <v>2428.1400000000003</v>
      </c>
      <c r="P320" s="128">
        <v>2868.36</v>
      </c>
      <c r="Q320" s="127">
        <v>4625.2800000000007</v>
      </c>
      <c r="R320" s="127">
        <v>3751.44</v>
      </c>
      <c r="S320" s="128">
        <v>5353.92</v>
      </c>
      <c r="T320" s="83">
        <v>144.54000000000002</v>
      </c>
      <c r="U320" s="1">
        <v>184.14000000000001</v>
      </c>
      <c r="V320" s="89">
        <v>153.78</v>
      </c>
      <c r="X320" s="123">
        <v>294.36</v>
      </c>
      <c r="Y320" s="127">
        <v>599.94000000000005</v>
      </c>
      <c r="Z320" s="128">
        <v>755.04000000000008</v>
      </c>
      <c r="AA320" s="127">
        <v>552.42000000000007</v>
      </c>
      <c r="AB320" s="127">
        <v>969.54000000000008</v>
      </c>
      <c r="AC320" s="128">
        <v>1069.8600000000001</v>
      </c>
    </row>
    <row r="321" spans="1:33" x14ac:dyDescent="0.3">
      <c r="A321" s="41">
        <v>2051</v>
      </c>
      <c r="B321" s="123">
        <v>367.62</v>
      </c>
      <c r="C321" s="127">
        <v>449.46000000000004</v>
      </c>
      <c r="D321" s="127">
        <v>530.64</v>
      </c>
      <c r="E321" s="123">
        <v>327.36</v>
      </c>
      <c r="F321" s="127">
        <v>399.3</v>
      </c>
      <c r="G321" s="128">
        <v>471.90000000000003</v>
      </c>
      <c r="H321" s="123">
        <v>2240.7000000000003</v>
      </c>
      <c r="I321" s="127">
        <v>2473.6800000000003</v>
      </c>
      <c r="J321" s="128">
        <v>2862.42</v>
      </c>
      <c r="K321" s="127">
        <v>1226.28</v>
      </c>
      <c r="L321" s="127">
        <v>1316.7</v>
      </c>
      <c r="M321" s="128">
        <v>1294.26</v>
      </c>
      <c r="N321" s="127">
        <v>2723.1600000000003</v>
      </c>
      <c r="O321" s="127">
        <v>2414.2800000000002</v>
      </c>
      <c r="P321" s="128">
        <v>2857.8</v>
      </c>
      <c r="Q321" s="127">
        <v>4570.5</v>
      </c>
      <c r="R321" s="127">
        <v>3744.1800000000003</v>
      </c>
      <c r="S321" s="128">
        <v>5352.6</v>
      </c>
      <c r="T321" s="83">
        <v>144.54000000000002</v>
      </c>
      <c r="U321" s="1">
        <v>184.14000000000001</v>
      </c>
      <c r="V321" s="89">
        <v>153.78</v>
      </c>
      <c r="X321" s="123">
        <v>294.36</v>
      </c>
      <c r="Y321" s="127">
        <v>599.94000000000005</v>
      </c>
      <c r="Z321" s="128">
        <v>755.04000000000008</v>
      </c>
      <c r="AA321" s="127">
        <v>552.42000000000007</v>
      </c>
      <c r="AB321" s="127">
        <v>969.54000000000008</v>
      </c>
      <c r="AC321" s="128">
        <v>1069.8600000000001</v>
      </c>
    </row>
    <row r="322" spans="1:33" x14ac:dyDescent="0.3">
      <c r="A322" s="41">
        <v>2052</v>
      </c>
      <c r="B322" s="123">
        <v>366.96000000000004</v>
      </c>
      <c r="C322" s="127">
        <v>448.8</v>
      </c>
      <c r="D322" s="127">
        <v>529.98</v>
      </c>
      <c r="E322" s="123">
        <v>326.04000000000002</v>
      </c>
      <c r="F322" s="127">
        <v>398.64000000000004</v>
      </c>
      <c r="G322" s="128">
        <v>471.24</v>
      </c>
      <c r="H322" s="123">
        <v>2209.02</v>
      </c>
      <c r="I322" s="127">
        <v>2431.44</v>
      </c>
      <c r="J322" s="128">
        <v>2829.42</v>
      </c>
      <c r="K322" s="127">
        <v>1222.3200000000002</v>
      </c>
      <c r="L322" s="127">
        <v>1313.4</v>
      </c>
      <c r="M322" s="128">
        <v>1292.28</v>
      </c>
      <c r="N322" s="127">
        <v>2719.2000000000003</v>
      </c>
      <c r="O322" s="127">
        <v>2403.7200000000003</v>
      </c>
      <c r="P322" s="128">
        <v>2851.2000000000003</v>
      </c>
      <c r="Q322" s="127">
        <v>4520.34</v>
      </c>
      <c r="R322" s="127">
        <v>3730.98</v>
      </c>
      <c r="S322" s="128">
        <v>5352.6</v>
      </c>
      <c r="T322" s="83">
        <v>143.88</v>
      </c>
      <c r="U322" s="1">
        <v>183.48000000000002</v>
      </c>
      <c r="V322" s="89">
        <v>153.78</v>
      </c>
      <c r="X322" s="123">
        <v>291.06</v>
      </c>
      <c r="Y322" s="127">
        <v>598.62</v>
      </c>
      <c r="Z322" s="128">
        <v>752.40000000000009</v>
      </c>
      <c r="AA322" s="127">
        <v>545.16000000000008</v>
      </c>
      <c r="AB322" s="127">
        <v>966.90000000000009</v>
      </c>
      <c r="AC322" s="128">
        <v>1066.56</v>
      </c>
    </row>
    <row r="323" spans="1:33" x14ac:dyDescent="0.3">
      <c r="A323" s="41">
        <v>2053</v>
      </c>
      <c r="B323" s="123">
        <v>364.98</v>
      </c>
      <c r="C323" s="127">
        <v>446.82</v>
      </c>
      <c r="D323" s="127">
        <v>528.66</v>
      </c>
      <c r="E323" s="123">
        <v>324.72000000000003</v>
      </c>
      <c r="F323" s="127">
        <v>397.32</v>
      </c>
      <c r="G323" s="128">
        <v>469.92</v>
      </c>
      <c r="H323" s="123">
        <v>2178</v>
      </c>
      <c r="I323" s="127">
        <v>2389.2000000000003</v>
      </c>
      <c r="J323" s="128">
        <v>2796.42</v>
      </c>
      <c r="K323" s="127">
        <v>1215.06</v>
      </c>
      <c r="L323" s="127">
        <v>1307.46</v>
      </c>
      <c r="M323" s="128">
        <v>1288.98</v>
      </c>
      <c r="N323" s="127">
        <v>2711.28</v>
      </c>
      <c r="O323" s="127">
        <v>2382.6</v>
      </c>
      <c r="P323" s="128">
        <v>2838</v>
      </c>
      <c r="Q323" s="127">
        <v>4428.6000000000004</v>
      </c>
      <c r="R323" s="127">
        <v>3720.42</v>
      </c>
      <c r="S323" s="128">
        <v>5351.2800000000007</v>
      </c>
      <c r="T323" s="83">
        <v>143.88</v>
      </c>
      <c r="U323" s="1">
        <v>183.48000000000002</v>
      </c>
      <c r="V323" s="89">
        <v>153.78</v>
      </c>
      <c r="X323" s="123">
        <v>291.06</v>
      </c>
      <c r="Y323" s="127">
        <v>598.62</v>
      </c>
      <c r="Z323" s="128">
        <v>752.40000000000009</v>
      </c>
      <c r="AA323" s="127">
        <v>545.16000000000008</v>
      </c>
      <c r="AB323" s="127">
        <v>966.90000000000009</v>
      </c>
      <c r="AC323" s="128">
        <v>1066.56</v>
      </c>
      <c r="AG323" s="274"/>
    </row>
    <row r="324" spans="1:33" x14ac:dyDescent="0.3">
      <c r="A324" s="41">
        <v>2054</v>
      </c>
      <c r="B324" s="123">
        <v>364.32</v>
      </c>
      <c r="C324" s="127">
        <v>446.16</v>
      </c>
      <c r="D324" s="127">
        <v>528</v>
      </c>
      <c r="E324" s="123">
        <v>324.06</v>
      </c>
      <c r="F324" s="127">
        <v>396.66</v>
      </c>
      <c r="G324" s="128">
        <v>469.26000000000005</v>
      </c>
      <c r="H324" s="123">
        <v>2146.98</v>
      </c>
      <c r="I324" s="127">
        <v>2348.2800000000002</v>
      </c>
      <c r="J324" s="128">
        <v>2763.42</v>
      </c>
      <c r="K324" s="127">
        <v>1212.42</v>
      </c>
      <c r="L324" s="127">
        <v>1304.8200000000002</v>
      </c>
      <c r="M324" s="128">
        <v>1287</v>
      </c>
      <c r="N324" s="127">
        <v>2707.98</v>
      </c>
      <c r="O324" s="127">
        <v>2372.7000000000003</v>
      </c>
      <c r="P324" s="128">
        <v>2831.4</v>
      </c>
      <c r="Q324" s="127">
        <v>4385.7</v>
      </c>
      <c r="R324" s="127">
        <v>3701.28</v>
      </c>
      <c r="S324" s="128">
        <v>5350.62</v>
      </c>
      <c r="T324" s="83">
        <v>143.88</v>
      </c>
      <c r="U324" s="1">
        <v>182.82000000000002</v>
      </c>
      <c r="V324" s="89">
        <v>153.12</v>
      </c>
      <c r="X324" s="123">
        <v>287.10000000000002</v>
      </c>
      <c r="Y324" s="127">
        <v>596.64</v>
      </c>
      <c r="Z324" s="128">
        <v>751.08</v>
      </c>
      <c r="AA324" s="127">
        <v>537.9</v>
      </c>
      <c r="AB324" s="127">
        <v>964.26</v>
      </c>
      <c r="AC324" s="128">
        <v>1064.5800000000002</v>
      </c>
    </row>
    <row r="325" spans="1:33" ht="15" thickBot="1" x14ac:dyDescent="0.35">
      <c r="A325" s="42">
        <v>2055</v>
      </c>
      <c r="B325" s="124">
        <v>363.66</v>
      </c>
      <c r="C325" s="129">
        <v>445.5</v>
      </c>
      <c r="D325" s="129">
        <v>526.68000000000006</v>
      </c>
      <c r="E325" s="124">
        <v>323.40000000000003</v>
      </c>
      <c r="F325" s="129">
        <v>396</v>
      </c>
      <c r="G325" s="130">
        <v>468.6</v>
      </c>
      <c r="H325" s="124">
        <v>2116.62</v>
      </c>
      <c r="I325" s="129">
        <v>2308.02</v>
      </c>
      <c r="J325" s="130">
        <v>2731.7400000000002</v>
      </c>
      <c r="K325" s="129">
        <v>1209.78</v>
      </c>
      <c r="L325" s="129">
        <v>1302.18</v>
      </c>
      <c r="M325" s="130">
        <v>1285.02</v>
      </c>
      <c r="N325" s="129">
        <v>2704.02</v>
      </c>
      <c r="O325" s="129">
        <v>2362.8000000000002</v>
      </c>
      <c r="P325" s="130">
        <v>2824.8</v>
      </c>
      <c r="Q325" s="129">
        <v>4343.46</v>
      </c>
      <c r="R325" s="129">
        <v>3691.38</v>
      </c>
      <c r="S325" s="130">
        <v>5349.96</v>
      </c>
      <c r="T325" s="90">
        <v>143.88</v>
      </c>
      <c r="U325" s="91">
        <v>182.82000000000002</v>
      </c>
      <c r="V325" s="92">
        <v>153.12</v>
      </c>
      <c r="X325" s="124">
        <v>287.10000000000002</v>
      </c>
      <c r="Y325" s="129">
        <v>596.64</v>
      </c>
      <c r="Z325" s="130">
        <v>751.08</v>
      </c>
      <c r="AA325" s="129">
        <v>537.9</v>
      </c>
      <c r="AB325" s="129">
        <v>964.26</v>
      </c>
      <c r="AC325" s="130">
        <v>1064.5800000000002</v>
      </c>
    </row>
    <row r="327" spans="1:33" ht="16.2" x14ac:dyDescent="0.3">
      <c r="A327" s="93" t="s">
        <v>305</v>
      </c>
    </row>
    <row r="328" spans="1:33" ht="16.2" x14ac:dyDescent="0.3">
      <c r="A328" s="93" t="s">
        <v>304</v>
      </c>
      <c r="K328" s="4"/>
    </row>
    <row r="329" spans="1:33" x14ac:dyDescent="0.3">
      <c r="K329" s="4"/>
    </row>
    <row r="330" spans="1:33" x14ac:dyDescent="0.3">
      <c r="K330" s="4"/>
    </row>
  </sheetData>
  <sortState xmlns:xlrd2="http://schemas.microsoft.com/office/spreadsheetml/2017/richdata2" ref="I108:I130">
    <sortCondition ref="I108:I130"/>
  </sortState>
  <mergeCells count="169">
    <mergeCell ref="B1:P1"/>
    <mergeCell ref="A1:A3"/>
    <mergeCell ref="B2:D2"/>
    <mergeCell ref="E2:G2"/>
    <mergeCell ref="H2:J2"/>
    <mergeCell ref="K2:M2"/>
    <mergeCell ref="N2:P2"/>
    <mergeCell ref="R1:AJ1"/>
    <mergeCell ref="S3:U3"/>
    <mergeCell ref="V3:X3"/>
    <mergeCell ref="Y3:AA3"/>
    <mergeCell ref="AB3:AD3"/>
    <mergeCell ref="AE3:AG3"/>
    <mergeCell ref="Y63:AA63"/>
    <mergeCell ref="S70:U70"/>
    <mergeCell ref="V70:X70"/>
    <mergeCell ref="Y70:AA70"/>
    <mergeCell ref="AH3:AJ3"/>
    <mergeCell ref="A20:A22"/>
    <mergeCell ref="B21:D21"/>
    <mergeCell ref="E21:G21"/>
    <mergeCell ref="S10:U10"/>
    <mergeCell ref="V10:X10"/>
    <mergeCell ref="Y9:AA10"/>
    <mergeCell ref="AB10:AD10"/>
    <mergeCell ref="AE10:AG10"/>
    <mergeCell ref="S9:X9"/>
    <mergeCell ref="AB9:AG9"/>
    <mergeCell ref="H21:J21"/>
    <mergeCell ref="K21:M21"/>
    <mergeCell ref="R9:R11"/>
    <mergeCell ref="R2:R4"/>
    <mergeCell ref="S2:AJ2"/>
    <mergeCell ref="A101:A103"/>
    <mergeCell ref="B102:D102"/>
    <mergeCell ref="E102:G102"/>
    <mergeCell ref="H102:J102"/>
    <mergeCell ref="K102:M102"/>
    <mergeCell ref="N102:P102"/>
    <mergeCell ref="B101:S101"/>
    <mergeCell ref="Q102:S102"/>
    <mergeCell ref="B20:N20"/>
    <mergeCell ref="S62:AA62"/>
    <mergeCell ref="S69:AA69"/>
    <mergeCell ref="R61:AD61"/>
    <mergeCell ref="A61:A63"/>
    <mergeCell ref="B61:P61"/>
    <mergeCell ref="B62:D62"/>
    <mergeCell ref="E62:G62"/>
    <mergeCell ref="H62:J62"/>
    <mergeCell ref="K62:M62"/>
    <mergeCell ref="N62:P62"/>
    <mergeCell ref="R69:R71"/>
    <mergeCell ref="AB62:AD63"/>
    <mergeCell ref="R62:R64"/>
    <mergeCell ref="S63:U63"/>
    <mergeCell ref="V63:X63"/>
    <mergeCell ref="U109:U111"/>
    <mergeCell ref="V109:AD109"/>
    <mergeCell ref="V110:X110"/>
    <mergeCell ref="Y110:AA110"/>
    <mergeCell ref="AB110:AD110"/>
    <mergeCell ref="U101:AG101"/>
    <mergeCell ref="U102:U104"/>
    <mergeCell ref="V102:AD102"/>
    <mergeCell ref="AE102:AG103"/>
    <mergeCell ref="V103:X103"/>
    <mergeCell ref="Y103:AA103"/>
    <mergeCell ref="AB103:AD103"/>
    <mergeCell ref="AB140:AB142"/>
    <mergeCell ref="AC141:AE141"/>
    <mergeCell ref="AF141:AH141"/>
    <mergeCell ref="AC140:AE140"/>
    <mergeCell ref="AF140:AH140"/>
    <mergeCell ref="AI140:AK141"/>
    <mergeCell ref="AB139:AK139"/>
    <mergeCell ref="A139:A141"/>
    <mergeCell ref="B139:S139"/>
    <mergeCell ref="B140:D140"/>
    <mergeCell ref="E140:G140"/>
    <mergeCell ref="H140:J140"/>
    <mergeCell ref="K140:M140"/>
    <mergeCell ref="N140:P140"/>
    <mergeCell ref="Q140:S140"/>
    <mergeCell ref="U140:W140"/>
    <mergeCell ref="X140:Z140"/>
    <mergeCell ref="U139:Z139"/>
    <mergeCell ref="AC178:AE178"/>
    <mergeCell ref="AF178:AH178"/>
    <mergeCell ref="AI177:AK177"/>
    <mergeCell ref="AI178:AK178"/>
    <mergeCell ref="AB176:AN176"/>
    <mergeCell ref="A176:A178"/>
    <mergeCell ref="B176:S176"/>
    <mergeCell ref="U176:Z176"/>
    <mergeCell ref="B177:D177"/>
    <mergeCell ref="E177:G177"/>
    <mergeCell ref="H177:J177"/>
    <mergeCell ref="K177:M177"/>
    <mergeCell ref="N177:P177"/>
    <mergeCell ref="Q177:S177"/>
    <mergeCell ref="U177:W177"/>
    <mergeCell ref="X177:Z177"/>
    <mergeCell ref="AB177:AB179"/>
    <mergeCell ref="AC177:AE177"/>
    <mergeCell ref="AF177:AH177"/>
    <mergeCell ref="AL177:AN178"/>
    <mergeCell ref="AF214:AH214"/>
    <mergeCell ref="AI214:AK214"/>
    <mergeCell ref="AL214:AN214"/>
    <mergeCell ref="B212:V212"/>
    <mergeCell ref="T213:V213"/>
    <mergeCell ref="AE212:AN212"/>
    <mergeCell ref="A212:A214"/>
    <mergeCell ref="X212:AC212"/>
    <mergeCell ref="B213:D213"/>
    <mergeCell ref="E213:G213"/>
    <mergeCell ref="H213:J213"/>
    <mergeCell ref="K213:M213"/>
    <mergeCell ref="N213:P213"/>
    <mergeCell ref="Q213:S213"/>
    <mergeCell ref="X213:Z213"/>
    <mergeCell ref="AA213:AC213"/>
    <mergeCell ref="AE213:AE215"/>
    <mergeCell ref="AF213:AH213"/>
    <mergeCell ref="AI213:AK213"/>
    <mergeCell ref="AL213:AN213"/>
    <mergeCell ref="AL253:AN253"/>
    <mergeCell ref="AF254:AH254"/>
    <mergeCell ref="AI254:AK254"/>
    <mergeCell ref="AL254:AN254"/>
    <mergeCell ref="AE252:AQ252"/>
    <mergeCell ref="AO253:AQ254"/>
    <mergeCell ref="A252:A254"/>
    <mergeCell ref="B252:V252"/>
    <mergeCell ref="X252:AC252"/>
    <mergeCell ref="B253:D253"/>
    <mergeCell ref="E253:G253"/>
    <mergeCell ref="H253:J253"/>
    <mergeCell ref="K253:M253"/>
    <mergeCell ref="N253:P253"/>
    <mergeCell ref="Q253:S253"/>
    <mergeCell ref="T253:V253"/>
    <mergeCell ref="X253:Z253"/>
    <mergeCell ref="AA253:AC253"/>
    <mergeCell ref="AE253:AE255"/>
    <mergeCell ref="AF253:AH253"/>
    <mergeCell ref="AI253:AK253"/>
    <mergeCell ref="A291:A293"/>
    <mergeCell ref="B291:V291"/>
    <mergeCell ref="X291:AC291"/>
    <mergeCell ref="B292:D292"/>
    <mergeCell ref="E292:G292"/>
    <mergeCell ref="H292:J292"/>
    <mergeCell ref="K292:M292"/>
    <mergeCell ref="N292:P292"/>
    <mergeCell ref="Q292:S292"/>
    <mergeCell ref="T292:V292"/>
    <mergeCell ref="X292:Z292"/>
    <mergeCell ref="AA292:AC292"/>
    <mergeCell ref="AE291:AQ291"/>
    <mergeCell ref="AE292:AE294"/>
    <mergeCell ref="AF292:AH292"/>
    <mergeCell ref="AI292:AK292"/>
    <mergeCell ref="AL292:AN292"/>
    <mergeCell ref="AO292:AQ293"/>
    <mergeCell ref="AF293:AH293"/>
    <mergeCell ref="AI293:AK293"/>
    <mergeCell ref="AL293:AN293"/>
  </mergeCells>
  <pageMargins left="0.19685039370078741" right="0.19685039370078741" top="0.19685039370078741" bottom="0.19685039370078741" header="0.19685039370078741" footer="0.19685039370078741"/>
  <pageSetup paperSize="9" scale="12" orientation="landscape" r:id="rId1"/>
  <headerFooter>
    <oddHeader>&amp;A</oddHeader>
    <oddFooter>&amp;C_x000D_&amp;1#&amp;"Calibri"&amp;7&amp;K000000 Classification: In-Confidence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BD80C5A6E3BE6B41A2427F16147D47A40053312233075A4069A30329A9D6153650009BDFA1D5359CBD4C85DAD57477427FFF" ma:contentTypeVersion="30" ma:contentTypeDescription="Solar Project Document Content Type - extends Solar Document; published by the Content Type Hub" ma:contentTypeScope="" ma:versionID="0fb8144282e26997dbfbcfff0a847418">
  <xsd:schema xmlns:xsd="http://www.w3.org/2001/XMLSchema" xmlns:xs="http://www.w3.org/2001/XMLSchema" xmlns:p="http://schemas.microsoft.com/office/2006/metadata/properties" xmlns:ns2="6f562838-09de-4b65-939a-432777c5c6ca" targetNamespace="http://schemas.microsoft.com/office/2006/metadata/properties" ma:root="true" ma:fieldsID="219c1bdc2a51c6b4ea03056f61156727" ns2:_="">
    <xsd:import namespace="6f562838-09de-4b65-939a-432777c5c6ca"/>
    <xsd:element name="properties">
      <xsd:complexType>
        <xsd:sequence>
          <xsd:element name="documentManagement">
            <xsd:complexType>
              <xsd:all>
                <xsd:element ref="ns2:SolarAuthor" minOccurs="0"/>
                <xsd:element ref="ns2:TaxCatchAllLabel" minOccurs="0"/>
                <xsd:element ref="ns2:jb15094b84d04db39a8de0b202a5649b" minOccurs="0"/>
                <xsd:element ref="ns2:a01561942c7d47699e3a361a6a580934" minOccurs="0"/>
                <xsd:element ref="ns2:ece120804c3e4f2e81afd96eec8909f4" minOccurs="0"/>
                <xsd:element ref="ns2:i7a4717f7d5d4c169373d4bfa77876ba" minOccurs="0"/>
                <xsd:element ref="ns2:c2d7d53541144364bb9d71f286b51f7e" minOccurs="0"/>
                <xsd:element ref="ns2:b0b6db7483f14678a4ad7fdce99521be" minOccurs="0"/>
                <xsd:element ref="ns2:TaxCatchAll" minOccurs="0"/>
                <xsd:element ref="ns2:beaf417fcb4a4faab8ee781c2aab710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562838-09de-4b65-939a-432777c5c6ca" elementFormDefault="qualified">
    <xsd:import namespace="http://schemas.microsoft.com/office/2006/documentManagement/types"/>
    <xsd:import namespace="http://schemas.microsoft.com/office/infopath/2007/PartnerControls"/>
    <xsd:element name="SolarAuthor" ma:index="5" nillable="true" ma:displayName="Content Author" ma:description="Please specify the author of the content" ma:SharePointGroup="0" ma:internalName="SolarAutho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axCatchAllLabel" ma:index="10" nillable="true" ma:displayName="Taxonomy Catch All Column1" ma:hidden="true" ma:list="{391e412a-5cea-40ca-b974-b2b6d4e87d15}" ma:internalName="TaxCatchAllLabel" ma:readOnly="true" ma:showField="CatchAllDataLabel" ma:web="834cc484-bdff-4563-8615-a09634419f15">
      <xsd:complexType>
        <xsd:complexContent>
          <xsd:extension base="dms:MultiChoiceLookup">
            <xsd:sequence>
              <xsd:element name="Value" type="dms:Lookup" maxOccurs="unbounded" minOccurs="0" nillable="true"/>
            </xsd:sequence>
          </xsd:extension>
        </xsd:complexContent>
      </xsd:complexType>
    </xsd:element>
    <xsd:element name="jb15094b84d04db39a8de0b202a5649b" ma:index="12" nillable="true" ma:taxonomy="true" ma:internalName="jb15094b84d04db39a8de0b202a5649b" ma:taxonomyFieldName="SolarBusinessUnit" ma:displayName="Business Unit" ma:readOnly="false" ma:fieldId="{3b15094b-84d0-4db3-9a8d-e0b202a5649b}" ma:taxonomyMulti="true" ma:sspId="b9d2b188-b8f0-4527-ab9c-6ed07e2b5a47" ma:termSetId="9862a471-922d-4dbf-86ff-7f9443f4b69d" ma:anchorId="00000000-0000-0000-0000-000000000000" ma:open="false" ma:isKeyword="false">
      <xsd:complexType>
        <xsd:sequence>
          <xsd:element ref="pc:Terms" minOccurs="0" maxOccurs="1"/>
        </xsd:sequence>
      </xsd:complexType>
    </xsd:element>
    <xsd:element name="a01561942c7d47699e3a361a6a580934" ma:index="14" ma:taxonomy="true" ma:internalName="a01561942c7d47699e3a361a6a580934" ma:taxonomyFieldName="SolarDepartment" ma:displayName="Department" ma:default="" ma:fieldId="{a0156194-2c7d-4769-9e3a-361a6a580934}" ma:sspId="b9d2b188-b8f0-4527-ab9c-6ed07e2b5a47" ma:termSetId="a2a9cd89-8956-43cd-8902-c890ec3194cb" ma:anchorId="00000000-0000-0000-0000-000000000000" ma:open="false" ma:isKeyword="false">
      <xsd:complexType>
        <xsd:sequence>
          <xsd:element ref="pc:Terms" minOccurs="0" maxOccurs="1"/>
        </xsd:sequence>
      </xsd:complexType>
    </xsd:element>
    <xsd:element name="ece120804c3e4f2e81afd96eec8909f4" ma:index="17" ma:taxonomy="true" ma:internalName="ece120804c3e4f2e81afd96eec8909f4" ma:taxonomyFieldName="SolarCategory" ma:displayName="Category" ma:readOnly="false" ma:fieldId="{ece12080-4c3e-4f2e-81af-d96eec8909f4}" ma:sspId="b9d2b188-b8f0-4527-ab9c-6ed07e2b5a47" ma:termSetId="af3054d5-0efb-4d05-9185-ffb492b046bd" ma:anchorId="00000000-0000-0000-0000-000000000000" ma:open="false" ma:isKeyword="false">
      <xsd:complexType>
        <xsd:sequence>
          <xsd:element ref="pc:Terms" minOccurs="0" maxOccurs="1"/>
        </xsd:sequence>
      </xsd:complexType>
    </xsd:element>
    <xsd:element name="i7a4717f7d5d4c169373d4bfa77876ba" ma:index="19" ma:taxonomy="true" ma:internalName="i7a4717f7d5d4c169373d4bfa77876ba" ma:taxonomyFieldName="SolarDocumentType" ma:displayName="Document Type" ma:fieldId="{27a4717f-7d5d-4c16-9373-d4bfa77876ba}" ma:sspId="b9d2b188-b8f0-4527-ab9c-6ed07e2b5a47" ma:termSetId="3becb80b-35bf-4675-a7f1-fd97918282bf" ma:anchorId="00000000-0000-0000-0000-000000000000" ma:open="false" ma:isKeyword="false">
      <xsd:complexType>
        <xsd:sequence>
          <xsd:element ref="pc:Terms" minOccurs="0" maxOccurs="1"/>
        </xsd:sequence>
      </xsd:complexType>
    </xsd:element>
    <xsd:element name="c2d7d53541144364bb9d71f286b51f7e" ma:index="20" ma:taxonomy="true" ma:internalName="c2d7d53541144364bb9d71f286b51f7e" ma:taxonomyFieldName="SolarLocation" ma:displayName="Location" ma:default="1;#Ilam|17015150-e7d5-4990-b358-e90ea571f1b0" ma:fieldId="{c2d7d535-4114-4364-bb9d-71f286b51f7e}" ma:sspId="b9d2b188-b8f0-4527-ab9c-6ed07e2b5a47" ma:termSetId="91c000f1-3349-4c42-8265-e80d17e1367e" ma:anchorId="00000000-0000-0000-0000-000000000000" ma:open="false" ma:isKeyword="false">
      <xsd:complexType>
        <xsd:sequence>
          <xsd:element ref="pc:Terms" minOccurs="0" maxOccurs="1"/>
        </xsd:sequence>
      </xsd:complexType>
    </xsd:element>
    <xsd:element name="b0b6db7483f14678a4ad7fdce99521be" ma:index="21" nillable="true" ma:taxonomy="true" ma:internalName="b0b6db7483f14678a4ad7fdce99521be" ma:taxonomyFieldName="InformationValue" ma:displayName="Information Value" ma:default="" ma:fieldId="{b0b6db74-83f1-4678-a4ad-7fdce99521be}" ma:sspId="b9d2b188-b8f0-4527-ab9c-6ed07e2b5a47" ma:termSetId="34b0f4c5-defa-4470-bf4b-1423e5dab3a3"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391e412a-5cea-40ca-b974-b2b6d4e87d15}" ma:internalName="TaxCatchAll" ma:showField="CatchAllData" ma:web="834cc484-bdff-4563-8615-a09634419f15">
      <xsd:complexType>
        <xsd:complexContent>
          <xsd:extension base="dms:MultiChoiceLookup">
            <xsd:sequence>
              <xsd:element name="Value" type="dms:Lookup" maxOccurs="unbounded" minOccurs="0" nillable="true"/>
            </xsd:sequence>
          </xsd:extension>
        </xsd:complexContent>
      </xsd:complexType>
    </xsd:element>
    <xsd:element name="beaf417fcb4a4faab8ee781c2aab7105" ma:index="23" nillable="true" ma:taxonomy="true" ma:internalName="beaf417fcb4a4faab8ee781c2aab7105" ma:taxonomyFieldName="SolarRecordOutcome" ma:displayName="Business Classification" ma:default="" ma:fieldId="{beaf417f-cb4a-4faa-b8ee-781c2aab7105}" ma:sspId="b9d2b188-b8f0-4527-ab9c-6ed07e2b5a47" ma:termSetId="8c3df037-9251-4cc2-8e70-544a7250a86a"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2d7d53541144364bb9d71f286b51f7e xmlns="6f562838-09de-4b65-939a-432777c5c6ca">
      <Terms xmlns="http://schemas.microsoft.com/office/infopath/2007/PartnerControls">
        <TermInfo xmlns="http://schemas.microsoft.com/office/infopath/2007/PartnerControls">
          <TermName xmlns="http://schemas.microsoft.com/office/infopath/2007/PartnerControls">Ilam</TermName>
          <TermId xmlns="http://schemas.microsoft.com/office/infopath/2007/PartnerControls">17015150-e7d5-4990-b358-e90ea571f1b0</TermId>
        </TermInfo>
      </Terms>
    </c2d7d53541144364bb9d71f286b51f7e>
    <b0b6db7483f14678a4ad7fdce99521be xmlns="6f562838-09de-4b65-939a-432777c5c6ca">
      <Terms xmlns="http://schemas.microsoft.com/office/infopath/2007/PartnerControls"/>
    </b0b6db7483f14678a4ad7fdce99521be>
    <beaf417fcb4a4faab8ee781c2aab7105 xmlns="6f562838-09de-4b65-939a-432777c5c6ca">
      <Terms xmlns="http://schemas.microsoft.com/office/infopath/2007/PartnerControls"/>
    </beaf417fcb4a4faab8ee781c2aab7105>
    <a01561942c7d47699e3a361a6a580934 xmlns="6f562838-09de-4b65-939a-432777c5c6ca">
      <Terms xmlns="http://schemas.microsoft.com/office/infopath/2007/PartnerControls">
        <TermInfo xmlns="http://schemas.microsoft.com/office/infopath/2007/PartnerControls">
          <TermName xmlns="http://schemas.microsoft.com/office/infopath/2007/PartnerControls">Engineering</TermName>
          <TermId xmlns="http://schemas.microsoft.com/office/infopath/2007/PartnerControls">12b95fca-364a-4e75-bfde-3a4be67cafb1</TermId>
        </TermInfo>
      </Terms>
    </a01561942c7d47699e3a361a6a580934>
    <i7a4717f7d5d4c169373d4bfa77876ba xmlns="6f562838-09de-4b65-939a-432777c5c6ca">
      <Terms xmlns="http://schemas.microsoft.com/office/infopath/2007/PartnerControls">
        <TermInfo xmlns="http://schemas.microsoft.com/office/infopath/2007/PartnerControls">
          <TermName xmlns="http://schemas.microsoft.com/office/infopath/2007/PartnerControls">Project Document [Information]</TermName>
          <TermId xmlns="http://schemas.microsoft.com/office/infopath/2007/PartnerControls">1d129e84-9db2-4df6-a74b-09dd873e3970</TermId>
        </TermInfo>
      </Terms>
    </i7a4717f7d5d4c169373d4bfa77876ba>
    <jb15094b84d04db39a8de0b202a5649b xmlns="6f562838-09de-4b65-939a-432777c5c6ca">
      <Terms xmlns="http://schemas.microsoft.com/office/infopath/2007/PartnerControls"/>
    </jb15094b84d04db39a8de0b202a5649b>
    <SolarAuthor xmlns="6f562838-09de-4b65-939a-432777c5c6ca">
      <UserInfo>
        <DisplayName/>
        <AccountId xsi:nil="true"/>
        <AccountType/>
      </UserInfo>
    </SolarAuthor>
    <ece120804c3e4f2e81afd96eec8909f4 xmlns="6f562838-09de-4b65-939a-432777c5c6ca">
      <Terms xmlns="http://schemas.microsoft.com/office/infopath/2007/PartnerControls">
        <TermInfo xmlns="http://schemas.microsoft.com/office/infopath/2007/PartnerControls">
          <TermName xmlns="http://schemas.microsoft.com/office/infopath/2007/PartnerControls">Project</TermName>
          <TermId xmlns="http://schemas.microsoft.com/office/infopath/2007/PartnerControls">1b523ed0-c261-4ad9-b790-ca7c80e7725e</TermId>
        </TermInfo>
      </Terms>
    </ece120804c3e4f2e81afd96eec8909f4>
    <TaxCatchAll xmlns="6f562838-09de-4b65-939a-432777c5c6ca">
      <Value>4</Value>
      <Value>3</Value>
      <Value>2</Value>
      <Value>1</Value>
    </TaxCatchAl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b9d2b188-b8f0-4527-ab9c-6ed07e2b5a47" ContentTypeId="0x010100BD80C5A6E3BE6B41A2427F16147D47A40053312233075A4069A30329A9D6153650" PreviousValue="true"/>
</file>

<file path=customXml/itemProps1.xml><?xml version="1.0" encoding="utf-8"?>
<ds:datastoreItem xmlns:ds="http://schemas.openxmlformats.org/officeDocument/2006/customXml" ds:itemID="{4B965F09-81A1-420C-9F53-12E42935E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562838-09de-4b65-939a-432777c5c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11A20A-D12C-469B-AAD4-6C78D1EE0005}">
  <ds:schemaRefs>
    <ds:schemaRef ds:uri="http://purl.org/dc/dcmitype/"/>
    <ds:schemaRef ds:uri="6f562838-09de-4b65-939a-432777c5c6ca"/>
    <ds:schemaRef ds:uri="http://purl.org/dc/terms/"/>
    <ds:schemaRef ds:uri="http://schemas.microsoft.com/office/2006/metadata/properties"/>
    <ds:schemaRef ds:uri="http://schemas.microsoft.com/office/2006/documentManagement/types"/>
    <ds:schemaRef ds:uri="http://www.w3.org/XML/1998/namespace"/>
    <ds:schemaRef ds:uri="http://purl.org/dc/elements/1.1/"/>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D3BE0020-E6BB-4574-B89E-330EB3EC50DF}">
  <ds:schemaRefs>
    <ds:schemaRef ds:uri="http://schemas.microsoft.com/sharepoint/v3/contenttype/forms"/>
  </ds:schemaRefs>
</ds:datastoreItem>
</file>

<file path=customXml/itemProps4.xml><?xml version="1.0" encoding="utf-8"?>
<ds:datastoreItem xmlns:ds="http://schemas.openxmlformats.org/officeDocument/2006/customXml" ds:itemID="{B8E63BFB-6A5D-49ED-9EC1-63C93CE98C32}">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Preface</vt:lpstr>
      <vt:lpstr>Conversion rates</vt:lpstr>
      <vt:lpstr>CAPEX-Utility PV</vt:lpstr>
      <vt:lpstr>LCOE-Utility PV</vt:lpstr>
      <vt:lpstr>CAPEX-Rooftop PV</vt:lpstr>
      <vt:lpstr>LCOE-Rooftop PV</vt:lpstr>
      <vt:lpstr>CAPEX-CSP</vt:lpstr>
      <vt:lpstr>LCOE-CSP</vt:lpstr>
      <vt:lpstr>CAPEX-Onshore Wind</vt:lpstr>
      <vt:lpstr>LCOE-Onshore Wind</vt:lpstr>
      <vt:lpstr>CAPEX-Offshore wind</vt:lpstr>
      <vt:lpstr>LCOE-Offshore wind</vt:lpstr>
      <vt:lpstr>CAPEX-Li-Ion BESS</vt:lpstr>
      <vt:lpstr>CAPEX-Alkaline Electrolysis</vt:lpstr>
      <vt:lpstr>LCOH-Alkaline Electrolysis</vt:lpstr>
      <vt:lpstr>CAPEX-PEM Electrolysis</vt:lpstr>
      <vt:lpstr>LCOH-PEM Electrolysis</vt:lpstr>
      <vt:lpstr>NREL ATB-U.S. Data</vt:lpstr>
      <vt:lpstr>IEA WEO-World Data</vt:lpstr>
      <vt:lpstr>Fraunhofer ISE-Germany Data</vt:lpstr>
      <vt:lpstr>ETIP-EU Data</vt:lpstr>
      <vt:lpstr>CSIRO-Australia Data</vt:lpstr>
    </vt:vector>
  </TitlesOfParts>
  <Company>University of Canterbury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Hadi Vatankhah Ghadim</dc:creator>
  <cp:lastModifiedBy>Hadi Vatankhah Ghadim</cp:lastModifiedBy>
  <cp:lastPrinted>2025-05-07T09:33:04Z</cp:lastPrinted>
  <dcterms:created xsi:type="dcterms:W3CDTF">2025-01-22T09:46:59Z</dcterms:created>
  <dcterms:modified xsi:type="dcterms:W3CDTF">2025-07-11T02:27:34Z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0x010100BD80C5A6E3BE6B41A2427F16147D47A40053312233075A4069A30329A9D6153650009BDFA1D5359CBD4C85DAD57477427FFF</vt:lpwstr>
  </property>
  <property fmtid="{D5CDD505-2E9C-101B-9397-08002B2CF9AE}" pid="3" name="SolarRecordOutcome">
    <vt:lpwstr/>
  </property>
  <property fmtid="{D5CDD505-2E9C-101B-9397-08002B2CF9AE}" pid="4" name="SolarDocumentType">
    <vt:lpwstr>4;#Project Document [Information]|1d129e84-9db2-4df6-a74b-09dd873e3970</vt:lpwstr>
  </property>
  <property fmtid="{D5CDD505-2E9C-101B-9397-08002B2CF9AE}" pid="5" name="MediaServiceImageTags">
    <vt:lpwstr/>
  </property>
  <property fmtid="{D5CDD505-2E9C-101B-9397-08002B2CF9AE}" pid="6" name="SolarCategory">
    <vt:lpwstr>3;#Project|1b523ed0-c261-4ad9-b790-ca7c80e7725e</vt:lpwstr>
  </property>
  <property fmtid="{D5CDD505-2E9C-101B-9397-08002B2CF9AE}" pid="7" name="lcf76f155ced4ddcb4097134ff3c332f">
    <vt:lpwstr/>
  </property>
  <property fmtid="{D5CDD505-2E9C-101B-9397-08002B2CF9AE}" pid="8" name="SolarLocation">
    <vt:lpwstr>1;#Ilam|17015150-e7d5-4990-b358-e90ea571f1b0</vt:lpwstr>
  </property>
  <property fmtid="{D5CDD505-2E9C-101B-9397-08002B2CF9AE}" pid="9" name="SolarDepartment">
    <vt:lpwstr>2;#Engineering|12b95fca-364a-4e75-bfde-3a4be67cafb1</vt:lpwstr>
  </property>
  <property fmtid="{D5CDD505-2E9C-101B-9397-08002B2CF9AE}" pid="10" name="SolarBusinessUnit">
    <vt:lpwstr/>
  </property>
  <property fmtid="{D5CDD505-2E9C-101B-9397-08002B2CF9AE}" pid="11" name="InformationValue">
    <vt:lpwstr/>
  </property>
</Properties>
</file>